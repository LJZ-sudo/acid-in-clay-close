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roton\eis\V2.0\Acid in clay (2)\Acid in clay\eis_data_analysis\data\"/>
    </mc:Choice>
  </mc:AlternateContent>
  <xr:revisionPtr revIDLastSave="0" documentId="13_ncr:1_{2F516713-12EF-4292-9B6C-0D0D753377C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8" sheetId="1" r:id="rId1"/>
    <sheet name="S60" sheetId="2" r:id="rId2"/>
    <sheet name="S12" sheetId="3" r:id="rId3"/>
    <sheet name="S6" sheetId="5" r:id="rId4"/>
    <sheet name="S14" sheetId="4" r:id="rId5"/>
    <sheet name="S16" sheetId="6" r:id="rId6"/>
    <sheet name="S95" sheetId="7" r:id="rId7"/>
    <sheet name="S96" sheetId="8" r:id="rId8"/>
    <sheet name="S97" sheetId="9" r:id="rId9"/>
    <sheet name="S13" sheetId="10" r:id="rId10"/>
    <sheet name="S15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1" l="1"/>
  <c r="O3" i="11"/>
  <c r="K3" i="11"/>
  <c r="L3" i="11" s="1"/>
  <c r="G3" i="11"/>
  <c r="H3" i="11" s="1"/>
  <c r="D3" i="11"/>
  <c r="V3" i="10"/>
  <c r="O3" i="10"/>
  <c r="K3" i="10"/>
  <c r="L3" i="10" s="1"/>
  <c r="G3" i="10"/>
  <c r="H3" i="10" s="1"/>
  <c r="D3" i="10"/>
  <c r="T3" i="9"/>
  <c r="S3" i="9"/>
  <c r="U3" i="9" s="1"/>
  <c r="V3" i="9" s="1"/>
  <c r="Q3" i="9"/>
  <c r="O3" i="9"/>
  <c r="N3" i="9"/>
  <c r="D3" i="9"/>
  <c r="L3" i="9" s="1"/>
  <c r="T3" i="8"/>
  <c r="S3" i="8"/>
  <c r="U3" i="8" s="1"/>
  <c r="V3" i="8" s="1"/>
  <c r="Q3" i="8"/>
  <c r="O3" i="8"/>
  <c r="N3" i="8"/>
  <c r="D3" i="8"/>
  <c r="L3" i="8" s="1"/>
  <c r="T3" i="7"/>
  <c r="S3" i="7"/>
  <c r="U3" i="7" s="1"/>
  <c r="V3" i="7" s="1"/>
  <c r="Q3" i="7"/>
  <c r="O3" i="7"/>
  <c r="N3" i="7"/>
  <c r="D3" i="7"/>
  <c r="L3" i="7" s="1"/>
  <c r="T4" i="6"/>
  <c r="S4" i="6"/>
  <c r="U4" i="6" s="1"/>
  <c r="V4" i="6" s="1"/>
  <c r="M4" i="6"/>
  <c r="K4" i="6"/>
  <c r="G4" i="6"/>
  <c r="N4" i="6" s="1"/>
  <c r="D4" i="6"/>
  <c r="T3" i="6"/>
  <c r="S3" i="6"/>
  <c r="U3" i="6" s="1"/>
  <c r="V3" i="6" s="1"/>
  <c r="M3" i="6"/>
  <c r="K3" i="6"/>
  <c r="G3" i="6"/>
  <c r="N3" i="6" s="1"/>
  <c r="D3" i="6"/>
  <c r="H3" i="9" l="1"/>
  <c r="H3" i="8"/>
  <c r="H3" i="7"/>
  <c r="L3" i="6"/>
  <c r="Q3" i="6"/>
  <c r="L4" i="6"/>
  <c r="Q4" i="6"/>
  <c r="O3" i="6"/>
  <c r="H4" i="6"/>
  <c r="O4" i="6"/>
  <c r="H3" i="6"/>
  <c r="K5" i="5" l="1"/>
  <c r="L5" i="5" s="1"/>
  <c r="G5" i="5"/>
  <c r="N5" i="5" s="1"/>
  <c r="D5" i="5"/>
  <c r="K4" i="5"/>
  <c r="L4" i="5" s="1"/>
  <c r="G4" i="5"/>
  <c r="H4" i="5" s="1"/>
  <c r="D4" i="5"/>
  <c r="K3" i="5"/>
  <c r="L3" i="5" s="1"/>
  <c r="G3" i="5"/>
  <c r="M3" i="5" s="1"/>
  <c r="D3" i="5"/>
  <c r="I4" i="3"/>
  <c r="I3" i="3"/>
  <c r="H3" i="3"/>
  <c r="G4" i="3"/>
  <c r="H4" i="3" s="1"/>
  <c r="D4" i="3"/>
  <c r="G3" i="3"/>
  <c r="D3" i="3"/>
  <c r="T5" i="4"/>
  <c r="S5" i="4"/>
  <c r="U5" i="4" s="1"/>
  <c r="V5" i="4" s="1"/>
  <c r="M5" i="4"/>
  <c r="K5" i="4"/>
  <c r="G5" i="4"/>
  <c r="O5" i="4" s="1"/>
  <c r="D5" i="4"/>
  <c r="T4" i="4"/>
  <c r="S4" i="4"/>
  <c r="U4" i="4" s="1"/>
  <c r="V4" i="4" s="1"/>
  <c r="M4" i="4"/>
  <c r="Q4" i="4" s="1"/>
  <c r="K4" i="4"/>
  <c r="L4" i="4" s="1"/>
  <c r="G4" i="4"/>
  <c r="O4" i="4" s="1"/>
  <c r="D4" i="4"/>
  <c r="T3" i="4"/>
  <c r="S3" i="4"/>
  <c r="M3" i="4"/>
  <c r="K3" i="4"/>
  <c r="G3" i="4"/>
  <c r="O3" i="4" s="1"/>
  <c r="D3" i="4"/>
  <c r="K4" i="2"/>
  <c r="S18" i="2"/>
  <c r="R18" i="2"/>
  <c r="K18" i="2"/>
  <c r="G18" i="2"/>
  <c r="O18" i="2" s="1"/>
  <c r="S17" i="2"/>
  <c r="R17" i="2"/>
  <c r="K17" i="2"/>
  <c r="Q17" i="2" s="1"/>
  <c r="G17" i="2"/>
  <c r="O17" i="2" s="1"/>
  <c r="S16" i="2"/>
  <c r="R16" i="2"/>
  <c r="K16" i="2"/>
  <c r="G16" i="2"/>
  <c r="O16" i="2" s="1"/>
  <c r="S15" i="2"/>
  <c r="R15" i="2"/>
  <c r="K15" i="2"/>
  <c r="G15" i="2"/>
  <c r="O15" i="2" s="1"/>
  <c r="S14" i="2"/>
  <c r="R14" i="2"/>
  <c r="K14" i="2"/>
  <c r="G14" i="2"/>
  <c r="S13" i="2"/>
  <c r="R13" i="2"/>
  <c r="K13" i="2"/>
  <c r="Q13" i="2" s="1"/>
  <c r="G13" i="2"/>
  <c r="O13" i="2" s="1"/>
  <c r="S12" i="2"/>
  <c r="R12" i="2"/>
  <c r="K12" i="2"/>
  <c r="G12" i="2"/>
  <c r="L12" i="2" s="1"/>
  <c r="S11" i="2"/>
  <c r="R11" i="2"/>
  <c r="K11" i="2"/>
  <c r="Q11" i="2" s="1"/>
  <c r="G11" i="2"/>
  <c r="S10" i="2"/>
  <c r="R10" i="2"/>
  <c r="K10" i="2"/>
  <c r="G10" i="2"/>
  <c r="S9" i="2"/>
  <c r="R9" i="2"/>
  <c r="K9" i="2"/>
  <c r="Q9" i="2" s="1"/>
  <c r="G9" i="2"/>
  <c r="O9" i="2" s="1"/>
  <c r="S8" i="2"/>
  <c r="R8" i="2"/>
  <c r="K8" i="2"/>
  <c r="Q8" i="2" s="1"/>
  <c r="G8" i="2"/>
  <c r="S7" i="2"/>
  <c r="R7" i="2"/>
  <c r="K7" i="2"/>
  <c r="G7" i="2"/>
  <c r="O7" i="2" s="1"/>
  <c r="S6" i="2"/>
  <c r="R6" i="2"/>
  <c r="K6" i="2"/>
  <c r="G6" i="2"/>
  <c r="S5" i="2"/>
  <c r="R5" i="2"/>
  <c r="K5" i="2"/>
  <c r="Q5" i="2" s="1"/>
  <c r="G5" i="2"/>
  <c r="O5" i="2" s="1"/>
  <c r="S4" i="2"/>
  <c r="R4" i="2"/>
  <c r="G4" i="2"/>
  <c r="S3" i="2"/>
  <c r="R3" i="2"/>
  <c r="K3" i="2"/>
  <c r="G3" i="2"/>
  <c r="L3" i="2" s="1"/>
  <c r="T31" i="1"/>
  <c r="S31" i="1"/>
  <c r="M31" i="1"/>
  <c r="K31" i="1"/>
  <c r="G31" i="1"/>
  <c r="O31" i="1" s="1"/>
  <c r="D31" i="1"/>
  <c r="T30" i="1"/>
  <c r="S30" i="1"/>
  <c r="M30" i="1"/>
  <c r="K30" i="1"/>
  <c r="G30" i="1"/>
  <c r="N30" i="1" s="1"/>
  <c r="D30" i="1"/>
  <c r="T29" i="1"/>
  <c r="S29" i="1"/>
  <c r="M29" i="1"/>
  <c r="K29" i="1"/>
  <c r="G29" i="1"/>
  <c r="O29" i="1" s="1"/>
  <c r="D29" i="1"/>
  <c r="T28" i="1"/>
  <c r="S28" i="1"/>
  <c r="U28" i="1" s="1"/>
  <c r="V28" i="1" s="1"/>
  <c r="M28" i="1"/>
  <c r="K28" i="1"/>
  <c r="G28" i="1"/>
  <c r="D28" i="1"/>
  <c r="T27" i="1"/>
  <c r="S27" i="1"/>
  <c r="M27" i="1"/>
  <c r="K27" i="1"/>
  <c r="G27" i="1"/>
  <c r="O27" i="1" s="1"/>
  <c r="D27" i="1"/>
  <c r="T26" i="1"/>
  <c r="S26" i="1"/>
  <c r="U26" i="1" s="1"/>
  <c r="V26" i="1" s="1"/>
  <c r="M26" i="1"/>
  <c r="K26" i="1"/>
  <c r="G26" i="1"/>
  <c r="D26" i="1"/>
  <c r="T25" i="1"/>
  <c r="S25" i="1"/>
  <c r="M25" i="1"/>
  <c r="K25" i="1"/>
  <c r="G25" i="1"/>
  <c r="O25" i="1" s="1"/>
  <c r="D25" i="1"/>
  <c r="T24" i="1"/>
  <c r="S24" i="1"/>
  <c r="M24" i="1"/>
  <c r="K24" i="1"/>
  <c r="G24" i="1"/>
  <c r="O24" i="1" s="1"/>
  <c r="D24" i="1"/>
  <c r="T23" i="1"/>
  <c r="S23" i="1"/>
  <c r="U23" i="1" s="1"/>
  <c r="V23" i="1" s="1"/>
  <c r="M23" i="1"/>
  <c r="K23" i="1"/>
  <c r="G23" i="1"/>
  <c r="O23" i="1" s="1"/>
  <c r="D23" i="1"/>
  <c r="T22" i="1"/>
  <c r="S22" i="1"/>
  <c r="U22" i="1" s="1"/>
  <c r="V22" i="1" s="1"/>
  <c r="M22" i="1"/>
  <c r="K22" i="1"/>
  <c r="G22" i="1"/>
  <c r="D22" i="1"/>
  <c r="T21" i="1"/>
  <c r="S21" i="1"/>
  <c r="U21" i="1" s="1"/>
  <c r="V21" i="1" s="1"/>
  <c r="M21" i="1"/>
  <c r="K21" i="1"/>
  <c r="G21" i="1"/>
  <c r="D21" i="1"/>
  <c r="T20" i="1"/>
  <c r="S20" i="1"/>
  <c r="M20" i="1"/>
  <c r="K20" i="1"/>
  <c r="G20" i="1"/>
  <c r="D20" i="1"/>
  <c r="T19" i="1"/>
  <c r="S19" i="1"/>
  <c r="M19" i="1"/>
  <c r="K19" i="1"/>
  <c r="G19" i="1"/>
  <c r="D19" i="1"/>
  <c r="T18" i="1"/>
  <c r="S18" i="1"/>
  <c r="M18" i="1"/>
  <c r="K18" i="1"/>
  <c r="G18" i="1"/>
  <c r="D18" i="1"/>
  <c r="T17" i="1"/>
  <c r="S17" i="1"/>
  <c r="U17" i="1" s="1"/>
  <c r="V17" i="1" s="1"/>
  <c r="M17" i="1"/>
  <c r="K17" i="1"/>
  <c r="G17" i="1"/>
  <c r="D17" i="1"/>
  <c r="T16" i="1"/>
  <c r="S16" i="1"/>
  <c r="M16" i="1"/>
  <c r="K16" i="1"/>
  <c r="G16" i="1"/>
  <c r="O16" i="1" s="1"/>
  <c r="D16" i="1"/>
  <c r="T15" i="1"/>
  <c r="S15" i="1"/>
  <c r="U15" i="1" s="1"/>
  <c r="V15" i="1" s="1"/>
  <c r="M15" i="1"/>
  <c r="K15" i="1"/>
  <c r="G15" i="1"/>
  <c r="D15" i="1"/>
  <c r="T14" i="1"/>
  <c r="S14" i="1"/>
  <c r="U14" i="1" s="1"/>
  <c r="V14" i="1" s="1"/>
  <c r="M14" i="1"/>
  <c r="K14" i="1"/>
  <c r="G14" i="1"/>
  <c r="D14" i="1"/>
  <c r="T13" i="1"/>
  <c r="S13" i="1"/>
  <c r="U13" i="1" s="1"/>
  <c r="V13" i="1" s="1"/>
  <c r="M13" i="1"/>
  <c r="K13" i="1"/>
  <c r="G13" i="1"/>
  <c r="D13" i="1"/>
  <c r="T12" i="1"/>
  <c r="S12" i="1"/>
  <c r="M12" i="1"/>
  <c r="K12" i="1"/>
  <c r="G12" i="1"/>
  <c r="O12" i="1" s="1"/>
  <c r="D12" i="1"/>
  <c r="T11" i="1"/>
  <c r="S11" i="1"/>
  <c r="U11" i="1" s="1"/>
  <c r="V11" i="1" s="1"/>
  <c r="M11" i="1"/>
  <c r="K11" i="1"/>
  <c r="G11" i="1"/>
  <c r="D11" i="1"/>
  <c r="T10" i="1"/>
  <c r="S10" i="1"/>
  <c r="U10" i="1" s="1"/>
  <c r="V10" i="1" s="1"/>
  <c r="M10" i="1"/>
  <c r="K10" i="1"/>
  <c r="G10" i="1"/>
  <c r="D10" i="1"/>
  <c r="T9" i="1"/>
  <c r="S9" i="1"/>
  <c r="M9" i="1"/>
  <c r="K9" i="1"/>
  <c r="G9" i="1"/>
  <c r="D9" i="1"/>
  <c r="T8" i="1"/>
  <c r="S8" i="1"/>
  <c r="M8" i="1"/>
  <c r="K8" i="1"/>
  <c r="G8" i="1"/>
  <c r="O8" i="1" s="1"/>
  <c r="D8" i="1"/>
  <c r="T7" i="1"/>
  <c r="S7" i="1"/>
  <c r="U7" i="1" s="1"/>
  <c r="V7" i="1" s="1"/>
  <c r="M7" i="1"/>
  <c r="K7" i="1"/>
  <c r="G7" i="1"/>
  <c r="D7" i="1"/>
  <c r="T6" i="1"/>
  <c r="S6" i="1"/>
  <c r="U6" i="1" s="1"/>
  <c r="V6" i="1" s="1"/>
  <c r="M6" i="1"/>
  <c r="K6" i="1"/>
  <c r="G6" i="1"/>
  <c r="D6" i="1"/>
  <c r="T5" i="1"/>
  <c r="S5" i="1"/>
  <c r="M5" i="1"/>
  <c r="K5" i="1"/>
  <c r="G5" i="1"/>
  <c r="D5" i="1"/>
  <c r="T4" i="1"/>
  <c r="S4" i="1"/>
  <c r="M4" i="1"/>
  <c r="K4" i="1"/>
  <c r="G4" i="1"/>
  <c r="O4" i="1" s="1"/>
  <c r="D4" i="1"/>
  <c r="T3" i="1"/>
  <c r="S3" i="1"/>
  <c r="U3" i="1" s="1"/>
  <c r="V3" i="1" s="1"/>
  <c r="M3" i="1"/>
  <c r="K3" i="1"/>
  <c r="G3" i="1"/>
  <c r="D3" i="1"/>
  <c r="L3" i="4" l="1"/>
  <c r="U3" i="4"/>
  <c r="V3" i="4" s="1"/>
  <c r="L5" i="4"/>
  <c r="Q5" i="4"/>
  <c r="Q3" i="4"/>
  <c r="H3" i="5"/>
  <c r="N3" i="5"/>
  <c r="M4" i="5"/>
  <c r="N4" i="5"/>
  <c r="H5" i="5"/>
  <c r="M5" i="5"/>
  <c r="H5" i="4"/>
  <c r="H3" i="4"/>
  <c r="N5" i="4"/>
  <c r="N3" i="4"/>
  <c r="H4" i="4"/>
  <c r="N4" i="4"/>
  <c r="O19" i="1"/>
  <c r="L14" i="1"/>
  <c r="O6" i="1"/>
  <c r="U24" i="1"/>
  <c r="V24" i="1" s="1"/>
  <c r="U18" i="1"/>
  <c r="V18" i="1" s="1"/>
  <c r="U30" i="1"/>
  <c r="V30" i="1" s="1"/>
  <c r="L29" i="1"/>
  <c r="Q14" i="1"/>
  <c r="O10" i="1"/>
  <c r="U5" i="1"/>
  <c r="V5" i="1" s="1"/>
  <c r="U20" i="1"/>
  <c r="V20" i="1" s="1"/>
  <c r="U27" i="1"/>
  <c r="V27" i="1" s="1"/>
  <c r="O21" i="1"/>
  <c r="O4" i="2"/>
  <c r="Q6" i="2"/>
  <c r="Q7" i="2"/>
  <c r="L8" i="2"/>
  <c r="Q10" i="2"/>
  <c r="Q14" i="2"/>
  <c r="Q15" i="2"/>
  <c r="Q16" i="2"/>
  <c r="Q3" i="2"/>
  <c r="L11" i="2"/>
  <c r="L18" i="2"/>
  <c r="Q12" i="2"/>
  <c r="L10" i="1"/>
  <c r="Q10" i="1"/>
  <c r="U29" i="1"/>
  <c r="V29" i="1" s="1"/>
  <c r="L6" i="1"/>
  <c r="L19" i="1"/>
  <c r="Q26" i="1"/>
  <c r="L16" i="1"/>
  <c r="L31" i="1"/>
  <c r="Q31" i="1"/>
  <c r="L12" i="1"/>
  <c r="U31" i="1"/>
  <c r="V31" i="1" s="1"/>
  <c r="Q27" i="1"/>
  <c r="U12" i="1"/>
  <c r="V12" i="1" s="1"/>
  <c r="Q29" i="1"/>
  <c r="L25" i="1"/>
  <c r="Q25" i="1"/>
  <c r="Q6" i="1"/>
  <c r="U25" i="1"/>
  <c r="V25" i="1" s="1"/>
  <c r="Q19" i="1"/>
  <c r="U19" i="1"/>
  <c r="V19" i="1" s="1"/>
  <c r="Q16" i="1"/>
  <c r="U16" i="1"/>
  <c r="V16" i="1" s="1"/>
  <c r="L27" i="1"/>
  <c r="Q12" i="1"/>
  <c r="L8" i="1"/>
  <c r="L23" i="1"/>
  <c r="Q8" i="1"/>
  <c r="Q23" i="1"/>
  <c r="L4" i="1"/>
  <c r="U8" i="1"/>
  <c r="V8" i="1" s="1"/>
  <c r="L21" i="1"/>
  <c r="Q4" i="1"/>
  <c r="Q21" i="1"/>
  <c r="U4" i="1"/>
  <c r="V4" i="1" s="1"/>
  <c r="U9" i="1"/>
  <c r="V9" i="1" s="1"/>
  <c r="O14" i="1"/>
  <c r="Q24" i="1"/>
  <c r="L7" i="2"/>
  <c r="O11" i="2"/>
  <c r="L16" i="2"/>
  <c r="O8" i="2"/>
  <c r="O12" i="2"/>
  <c r="L5" i="2"/>
  <c r="L9" i="2"/>
  <c r="L13" i="2"/>
  <c r="L17" i="2"/>
  <c r="L15" i="2"/>
  <c r="O3" i="2"/>
  <c r="Q4" i="2"/>
  <c r="Q18" i="2"/>
  <c r="L4" i="2"/>
  <c r="L6" i="2"/>
  <c r="L10" i="2"/>
  <c r="L14" i="2"/>
  <c r="O6" i="2"/>
  <c r="O10" i="2"/>
  <c r="O14" i="2"/>
  <c r="N3" i="1"/>
  <c r="H3" i="1"/>
  <c r="O3" i="1"/>
  <c r="O11" i="1"/>
  <c r="H11" i="1"/>
  <c r="N11" i="1"/>
  <c r="H18" i="1"/>
  <c r="N18" i="1"/>
  <c r="O18" i="1"/>
  <c r="L3" i="1"/>
  <c r="L11" i="1"/>
  <c r="L18" i="1"/>
  <c r="L24" i="1"/>
  <c r="P3" i="1"/>
  <c r="Q7" i="1"/>
  <c r="P15" i="1"/>
  <c r="O9" i="1"/>
  <c r="N9" i="1"/>
  <c r="H9" i="1"/>
  <c r="O20" i="1"/>
  <c r="N20" i="1"/>
  <c r="H20" i="1"/>
  <c r="H26" i="1"/>
  <c r="L5" i="1"/>
  <c r="L17" i="1"/>
  <c r="L26" i="1"/>
  <c r="P9" i="1"/>
  <c r="P20" i="1"/>
  <c r="N7" i="1"/>
  <c r="H7" i="1"/>
  <c r="O7" i="1"/>
  <c r="H15" i="1"/>
  <c r="N15" i="1"/>
  <c r="O15" i="1"/>
  <c r="O28" i="1"/>
  <c r="N28" i="1"/>
  <c r="H28" i="1"/>
  <c r="L7" i="1"/>
  <c r="L15" i="1"/>
  <c r="L28" i="1"/>
  <c r="Q11" i="1"/>
  <c r="Q18" i="1"/>
  <c r="Q28" i="1"/>
  <c r="N13" i="1"/>
  <c r="H13" i="1"/>
  <c r="O13" i="1"/>
  <c r="L9" i="1"/>
  <c r="L20" i="1"/>
  <c r="L30" i="1"/>
  <c r="Q5" i="1"/>
  <c r="P13" i="1"/>
  <c r="P17" i="1"/>
  <c r="P30" i="1"/>
  <c r="O5" i="1"/>
  <c r="N5" i="1"/>
  <c r="H5" i="1"/>
  <c r="O17" i="1"/>
  <c r="N17" i="1"/>
  <c r="H17" i="1"/>
  <c r="O22" i="1"/>
  <c r="N22" i="1"/>
  <c r="H22" i="1"/>
  <c r="L13" i="1"/>
  <c r="L22" i="1"/>
  <c r="Q22" i="1"/>
  <c r="P7" i="1"/>
  <c r="P11" i="1"/>
  <c r="P18" i="1"/>
  <c r="P22" i="1"/>
  <c r="P28" i="1"/>
  <c r="Q3" i="1"/>
  <c r="Q9" i="1"/>
  <c r="Q17" i="1"/>
  <c r="Q20" i="1"/>
  <c r="Q30" i="1"/>
  <c r="H4" i="1"/>
  <c r="H6" i="1"/>
  <c r="H8" i="1"/>
  <c r="H10" i="1"/>
  <c r="H12" i="1"/>
  <c r="H14" i="1"/>
  <c r="H16" i="1"/>
  <c r="H19" i="1"/>
  <c r="H21" i="1"/>
  <c r="H23" i="1"/>
  <c r="H25" i="1"/>
  <c r="H27" i="1"/>
  <c r="H29" i="1"/>
  <c r="H31" i="1"/>
  <c r="H24" i="1"/>
  <c r="N26" i="1"/>
  <c r="O26" i="1"/>
  <c r="P5" i="1"/>
  <c r="P24" i="1"/>
  <c r="Q13" i="1"/>
  <c r="N4" i="1"/>
  <c r="N6" i="1"/>
  <c r="N8" i="1"/>
  <c r="N10" i="1"/>
  <c r="N12" i="1"/>
  <c r="N14" i="1"/>
  <c r="N16" i="1"/>
  <c r="N19" i="1"/>
  <c r="N21" i="1"/>
  <c r="N23" i="1"/>
  <c r="N25" i="1"/>
  <c r="N27" i="1"/>
  <c r="N29" i="1"/>
  <c r="N31" i="1"/>
  <c r="N24" i="1"/>
  <c r="O30" i="1"/>
  <c r="P26" i="1"/>
  <c r="Q15" i="1"/>
  <c r="P4" i="1"/>
  <c r="P6" i="1"/>
  <c r="P8" i="1"/>
  <c r="P10" i="1"/>
  <c r="P12" i="1"/>
  <c r="P14" i="1"/>
  <c r="P16" i="1"/>
  <c r="P19" i="1"/>
  <c r="P21" i="1"/>
  <c r="P23" i="1"/>
  <c r="P25" i="1"/>
  <c r="P27" i="1"/>
  <c r="P29" i="1"/>
  <c r="P31" i="1"/>
  <c r="H30" i="1"/>
</calcChain>
</file>

<file path=xl/sharedStrings.xml><?xml version="1.0" encoding="utf-8"?>
<sst xmlns="http://schemas.openxmlformats.org/spreadsheetml/2006/main" count="474" uniqueCount="132">
  <si>
    <t>Sepiolite</t>
    <phoneticPr fontId="3" type="noConversion"/>
  </si>
  <si>
    <t>Mg2H2(SiO3)3.3H2O</t>
    <phoneticPr fontId="3" type="noConversion"/>
  </si>
  <si>
    <t>Wight (mg)</t>
    <phoneticPr fontId="3" type="noConversion"/>
  </si>
  <si>
    <t>Mol(mmol)</t>
    <phoneticPr fontId="3" type="noConversion"/>
  </si>
  <si>
    <t>H3PO4-lq</t>
    <phoneticPr fontId="3" type="noConversion"/>
  </si>
  <si>
    <t>Drop</t>
    <phoneticPr fontId="3" type="noConversion"/>
  </si>
  <si>
    <t>Weight (mg)</t>
    <phoneticPr fontId="3" type="noConversion"/>
  </si>
  <si>
    <t>Ratio (A1/S)</t>
    <phoneticPr fontId="3" type="noConversion"/>
  </si>
  <si>
    <t>H2O</t>
    <phoneticPr fontId="3" type="noConversion"/>
  </si>
  <si>
    <t>Ratio (A2/S)</t>
    <phoneticPr fontId="3" type="noConversion"/>
  </si>
  <si>
    <t>Wight A3 (mg)</t>
    <phoneticPr fontId="3" type="noConversion"/>
  </si>
  <si>
    <t>Ratio (A1/A3)</t>
    <phoneticPr fontId="3" type="noConversion"/>
  </si>
  <si>
    <t>Ratio (A3/S)</t>
    <phoneticPr fontId="3" type="noConversion"/>
  </si>
  <si>
    <t>Ratio (A3/A1)</t>
    <phoneticPr fontId="3" type="noConversion"/>
  </si>
  <si>
    <t>S8-2-1</t>
    <phoneticPr fontId="3" type="noConversion"/>
  </si>
  <si>
    <t>S8-2-2</t>
  </si>
  <si>
    <t>S8-3-1</t>
    <phoneticPr fontId="3" type="noConversion"/>
  </si>
  <si>
    <t>S8-3-2</t>
    <phoneticPr fontId="3" type="noConversion"/>
  </si>
  <si>
    <t>S8-3-3</t>
    <phoneticPr fontId="3" type="noConversion"/>
  </si>
  <si>
    <t>S8-3-4</t>
    <phoneticPr fontId="3" type="noConversion"/>
  </si>
  <si>
    <t>S8-3-5</t>
  </si>
  <si>
    <t>S8-3-6</t>
  </si>
  <si>
    <t>S8-3-7</t>
  </si>
  <si>
    <t>S8-3-8</t>
  </si>
  <si>
    <t>S8-3-9</t>
  </si>
  <si>
    <t>S8-3-10</t>
  </si>
  <si>
    <t>S8-3-11</t>
  </si>
  <si>
    <t>S8-3-20</t>
  </si>
  <si>
    <t>S8-3-21</t>
  </si>
  <si>
    <t>S8-3-22</t>
  </si>
  <si>
    <t>S8-3-23</t>
  </si>
  <si>
    <t>S8-3-24</t>
  </si>
  <si>
    <t>S8-3-25</t>
  </si>
  <si>
    <t>S8-3-27</t>
  </si>
  <si>
    <t>S8-3-28</t>
  </si>
  <si>
    <t>S8-3-29</t>
  </si>
  <si>
    <t>S8-3-31</t>
    <phoneticPr fontId="3" type="noConversion"/>
  </si>
  <si>
    <t>S8-3-32</t>
    <phoneticPr fontId="3" type="noConversion"/>
  </si>
  <si>
    <t>S8-3-33</t>
  </si>
  <si>
    <t>S8-3-35</t>
    <phoneticPr fontId="3" type="noConversion"/>
  </si>
  <si>
    <t>S8-3-36</t>
    <phoneticPr fontId="3" type="noConversion"/>
  </si>
  <si>
    <t>S8-3-37</t>
  </si>
  <si>
    <t>S8-3-38</t>
  </si>
  <si>
    <t>Concentration (A)</t>
    <phoneticPr fontId="3" type="noConversion"/>
  </si>
  <si>
    <t>S60-1-1</t>
    <phoneticPr fontId="3" type="noConversion"/>
  </si>
  <si>
    <t>S60-1-3</t>
    <phoneticPr fontId="3" type="noConversion"/>
  </si>
  <si>
    <t>S60-2-1</t>
    <phoneticPr fontId="3" type="noConversion"/>
  </si>
  <si>
    <t>S60-2-2</t>
    <phoneticPr fontId="3" type="noConversion"/>
  </si>
  <si>
    <t>S60-2-3</t>
  </si>
  <si>
    <t>S60-2-4</t>
  </si>
  <si>
    <t>S60-2-5</t>
  </si>
  <si>
    <t>S60-2-6</t>
  </si>
  <si>
    <t>S60-2-7</t>
  </si>
  <si>
    <t>S60-2-8</t>
  </si>
  <si>
    <t>S60-2-9</t>
  </si>
  <si>
    <t>S60-2-10</t>
  </si>
  <si>
    <t>S60-2-11</t>
  </si>
  <si>
    <t>S60-2-12</t>
  </si>
  <si>
    <t>S60-2-13</t>
  </si>
  <si>
    <t>S60-2-14</t>
  </si>
  <si>
    <t>材料类比</t>
    <phoneticPr fontId="1" type="noConversion"/>
  </si>
  <si>
    <t>材料成分</t>
    <phoneticPr fontId="1" type="noConversion"/>
  </si>
  <si>
    <t>黏土重量</t>
    <phoneticPr fontId="1" type="noConversion"/>
  </si>
  <si>
    <t>黏土摩尔量</t>
    <phoneticPr fontId="1" type="noConversion"/>
  </si>
  <si>
    <t>酸土摩尔比</t>
    <phoneticPr fontId="1" type="noConversion"/>
  </si>
  <si>
    <t>滴加85%酸的溶液的重量</t>
    <phoneticPr fontId="1" type="noConversion"/>
  </si>
  <si>
    <t>滴加水的重量</t>
    <phoneticPr fontId="1" type="noConversion"/>
  </si>
  <si>
    <t>滴加酸和水的总重量</t>
    <phoneticPr fontId="1" type="noConversion"/>
  </si>
  <si>
    <t>酸的种类</t>
    <phoneticPr fontId="1" type="noConversion"/>
  </si>
  <si>
    <t>酸加入滴数</t>
    <phoneticPr fontId="1" type="noConversion"/>
  </si>
  <si>
    <t>酸的重量（扣除酸里面的水）</t>
    <phoneticPr fontId="1" type="noConversion"/>
  </si>
  <si>
    <t>水</t>
    <phoneticPr fontId="1" type="noConversion"/>
  </si>
  <si>
    <t>水的重量（包含酸和加入的水）</t>
    <phoneticPr fontId="1" type="noConversion"/>
  </si>
  <si>
    <t>水土的摩尔比（其中水包含酸中的水和加入的水）</t>
    <phoneticPr fontId="1" type="noConversion"/>
  </si>
  <si>
    <t>水酸的摩尔比（水包含酸，加入水和土中水）</t>
    <phoneticPr fontId="1" type="noConversion"/>
  </si>
  <si>
    <t>水加入滴数</t>
    <phoneticPr fontId="1" type="noConversion"/>
  </si>
  <si>
    <t>酸重量占据体系的百分比</t>
    <phoneticPr fontId="1" type="noConversion"/>
  </si>
  <si>
    <t>酸水摩尔比</t>
    <phoneticPr fontId="1" type="noConversion"/>
  </si>
  <si>
    <t>水酸摩尔比</t>
    <phoneticPr fontId="1" type="noConversion"/>
  </si>
  <si>
    <t>加入酸溶液的重量</t>
    <phoneticPr fontId="1" type="noConversion"/>
  </si>
  <si>
    <t>加入水的重量</t>
    <phoneticPr fontId="1" type="noConversion"/>
  </si>
  <si>
    <t>L(cm)</t>
  </si>
  <si>
    <t>S(cm2)</t>
  </si>
  <si>
    <t>N</t>
    <phoneticPr fontId="1" type="noConversion"/>
  </si>
  <si>
    <t>R</t>
    <phoneticPr fontId="3" type="noConversion"/>
  </si>
  <si>
    <t>体系中水的总重量（包含酸，加入水和黏土中的水）</t>
    <phoneticPr fontId="1" type="noConversion"/>
  </si>
  <si>
    <t>酸水的摩尔比（水包含酸中的水和加入的水）</t>
    <phoneticPr fontId="1" type="noConversion"/>
  </si>
  <si>
    <t>酸水的摩尔比（水包含酸，加入水和黏土中水）</t>
    <phoneticPr fontId="1" type="noConversion"/>
  </si>
  <si>
    <t>水土的摩尔比（水包含酸，加入水和黏土中水）</t>
    <phoneticPr fontId="1" type="noConversion"/>
  </si>
  <si>
    <t>液体和黏土的重量比</t>
    <phoneticPr fontId="1" type="noConversion"/>
  </si>
  <si>
    <t>Wight(mg)</t>
    <phoneticPr fontId="3" type="noConversion"/>
  </si>
  <si>
    <t>H2O-lq</t>
    <phoneticPr fontId="3" type="noConversion"/>
  </si>
  <si>
    <t>Mol (mmol)</t>
    <phoneticPr fontId="3" type="noConversion"/>
  </si>
  <si>
    <t>Ratio (A/S)</t>
    <phoneticPr fontId="3" type="noConversion"/>
  </si>
  <si>
    <t>S12-1-1</t>
    <phoneticPr fontId="3" type="noConversion"/>
  </si>
  <si>
    <t>S12-1-2</t>
  </si>
  <si>
    <t>C6H18O24P6-Phytic acid</t>
    <phoneticPr fontId="3" type="noConversion"/>
  </si>
  <si>
    <t>N</t>
    <phoneticPr fontId="3" type="noConversion"/>
  </si>
  <si>
    <t>S6-4-1</t>
    <phoneticPr fontId="3" type="noConversion"/>
  </si>
  <si>
    <t>S6-4-2</t>
  </si>
  <si>
    <t>H4Al2O9Si2 · 0.32 H2O</t>
    <phoneticPr fontId="3" type="noConversion"/>
  </si>
  <si>
    <t>Halloysite nanoclay</t>
    <phoneticPr fontId="3" type="noConversion"/>
  </si>
  <si>
    <t>Ratio (A1/A2)</t>
    <phoneticPr fontId="3" type="noConversion"/>
  </si>
  <si>
    <t>S14-1-1</t>
    <phoneticPr fontId="3" type="noConversion"/>
  </si>
  <si>
    <t>S14-1-2</t>
  </si>
  <si>
    <t>good</t>
    <phoneticPr fontId="3" type="noConversion"/>
  </si>
  <si>
    <t>S14-1-3</t>
    <phoneticPr fontId="3" type="noConversion"/>
  </si>
  <si>
    <r>
      <t>H</t>
    </r>
    <r>
      <rPr>
        <vertAlign val="subscript"/>
        <sz val="10.5"/>
        <color theme="1"/>
        <rFont val="Calibri"/>
        <family val="2"/>
      </rPr>
      <t>2</t>
    </r>
    <r>
      <rPr>
        <sz val="10.5"/>
        <color theme="1"/>
        <rFont val="Calibri"/>
        <family val="2"/>
      </rPr>
      <t>Al</t>
    </r>
    <r>
      <rPr>
        <vertAlign val="subscript"/>
        <sz val="10.5"/>
        <color theme="1"/>
        <rFont val="Calibri"/>
        <family val="2"/>
      </rPr>
      <t>2</t>
    </r>
    <r>
      <rPr>
        <sz val="10.5"/>
        <color theme="1"/>
        <rFont val="Calibri"/>
        <family val="2"/>
      </rPr>
      <t>O</t>
    </r>
    <r>
      <rPr>
        <vertAlign val="subscript"/>
        <sz val="10.5"/>
        <color theme="1"/>
        <rFont val="Calibri"/>
        <family val="2"/>
      </rPr>
      <t>6</t>
    </r>
    <r>
      <rPr>
        <sz val="10.5"/>
        <color theme="1"/>
        <rFont val="Calibri"/>
        <family val="2"/>
      </rPr>
      <t>Si</t>
    </r>
    <r>
      <rPr>
        <sz val="10.5"/>
        <color theme="1"/>
        <rFont val="Times New Roman"/>
        <family val="1"/>
      </rPr>
      <t>·</t>
    </r>
    <r>
      <rPr>
        <sz val="10.5"/>
        <color theme="1"/>
        <rFont val="Calibri"/>
        <family val="2"/>
      </rPr>
      <t>1.19</t>
    </r>
    <r>
      <rPr>
        <sz val="10.5"/>
        <color theme="1"/>
        <rFont val="Times New Roman"/>
        <family val="1"/>
      </rPr>
      <t>H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Times New Roman"/>
        <family val="1"/>
      </rPr>
      <t>O</t>
    </r>
    <phoneticPr fontId="3" type="noConversion"/>
  </si>
  <si>
    <t>hydrophilic bentonite</t>
    <phoneticPr fontId="3" type="noConversion"/>
  </si>
  <si>
    <t>S16-1-1</t>
    <phoneticPr fontId="3" type="noConversion"/>
  </si>
  <si>
    <t>S16-1-2</t>
  </si>
  <si>
    <t>H2SO4-lq</t>
    <phoneticPr fontId="3" type="noConversion"/>
  </si>
  <si>
    <t>S95-1-1</t>
    <phoneticPr fontId="3" type="noConversion"/>
  </si>
  <si>
    <t>S96-1-1</t>
    <phoneticPr fontId="3" type="noConversion"/>
  </si>
  <si>
    <t>S97-1-1</t>
    <phoneticPr fontId="3" type="noConversion"/>
  </si>
  <si>
    <t>Bentonite</t>
    <phoneticPr fontId="3" type="noConversion"/>
  </si>
  <si>
    <r>
      <t>Al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Na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13</t>
    </r>
    <r>
      <rPr>
        <sz val="9"/>
        <color rgb="FF000000"/>
        <rFont val="Arial"/>
        <family val="2"/>
      </rPr>
      <t>Si</t>
    </r>
    <r>
      <rPr>
        <vertAlign val="subscript"/>
        <sz val="9"/>
        <color rgb="FF000000"/>
        <rFont val="Arial"/>
        <family val="2"/>
      </rPr>
      <t>4</t>
    </r>
    <phoneticPr fontId="3" type="noConversion"/>
  </si>
  <si>
    <t>C6H18O24P6</t>
    <phoneticPr fontId="3" type="noConversion"/>
  </si>
  <si>
    <t>S13-1-1-1</t>
    <phoneticPr fontId="3" type="noConversion"/>
  </si>
  <si>
    <t>Kaolin</t>
    <phoneticPr fontId="3" type="noConversion"/>
  </si>
  <si>
    <r>
      <t>H</t>
    </r>
    <r>
      <rPr>
        <vertAlign val="subscript"/>
        <sz val="9"/>
        <color rgb="FF000000"/>
        <rFont val="Arial"/>
        <family val="2"/>
      </rPr>
      <t>4</t>
    </r>
    <r>
      <rPr>
        <sz val="9"/>
        <color rgb="FF000000"/>
        <rFont val="Arial"/>
        <family val="2"/>
      </rPr>
      <t>Al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9</t>
    </r>
    <r>
      <rPr>
        <sz val="9"/>
        <color rgb="FF000000"/>
        <rFont val="Arial"/>
        <family val="2"/>
      </rPr>
      <t>Si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·2H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O</t>
    </r>
    <phoneticPr fontId="3" type="noConversion"/>
  </si>
  <si>
    <t>S15-1-1-1</t>
    <phoneticPr fontId="3" type="noConversion"/>
  </si>
  <si>
    <t>水土的摩尔</t>
    <phoneticPr fontId="1" type="noConversion"/>
  </si>
  <si>
    <t>液体和黏土的摩尔比</t>
    <phoneticPr fontId="1" type="noConversion"/>
  </si>
  <si>
    <t>酸水的摩尔比（水包含酸中的水和加入的水）</t>
  </si>
  <si>
    <t>R</t>
    <phoneticPr fontId="1" type="noConversion"/>
  </si>
  <si>
    <t>厚度</t>
    <phoneticPr fontId="1" type="noConversion"/>
  </si>
  <si>
    <t>接触面积</t>
    <phoneticPr fontId="1" type="noConversion"/>
  </si>
  <si>
    <t>酸的摩尔量</t>
    <phoneticPr fontId="1" type="noConversion"/>
  </si>
  <si>
    <t>水的摩尔</t>
    <phoneticPr fontId="1" type="noConversion"/>
  </si>
  <si>
    <t>S6-4-3</t>
    <phoneticPr fontId="1" type="noConversion"/>
  </si>
  <si>
    <t>酸的摩尔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</si>
</sst>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color rgb="FF000000"/>
      <name val="Arial"/>
      <family val="2"/>
    </font>
    <font>
      <sz val="10.5"/>
      <color theme="1"/>
      <name val="Calibri"/>
      <family val="2"/>
    </font>
    <font>
      <vertAlign val="subscript"/>
      <sz val="10.5"/>
      <color theme="1"/>
      <name val="Calibri"/>
      <family val="2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vertAlign val="subscript"/>
      <sz val="9"/>
      <color rgb="FF000000"/>
      <name val="Arial"/>
      <family val="2"/>
    </font>
    <font>
      <sz val="11"/>
      <color theme="1"/>
      <name val="宋体"/>
      <family val="1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2" borderId="0" xfId="0" applyNumberFormat="1" applyFont="1" applyFill="1" applyAlignment="1">
      <alignment vertical="center"/>
    </xf>
    <xf numFmtId="177" fontId="2" fillId="3" borderId="0" xfId="0" applyNumberFormat="1" applyFont="1" applyFill="1" applyAlignment="1">
      <alignment vertical="center"/>
    </xf>
    <xf numFmtId="177" fontId="2" fillId="4" borderId="0" xfId="0" applyNumberFormat="1" applyFont="1" applyFill="1" applyAlignment="1">
      <alignment vertical="center"/>
    </xf>
    <xf numFmtId="177" fontId="2" fillId="5" borderId="0" xfId="0" applyNumberFormat="1" applyFont="1" applyFill="1" applyAlignment="1">
      <alignment vertical="center"/>
    </xf>
    <xf numFmtId="176" fontId="2" fillId="6" borderId="0" xfId="0" applyNumberFormat="1" applyFont="1" applyFill="1" applyAlignment="1">
      <alignment vertic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176" fontId="2" fillId="5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176" fontId="2" fillId="7" borderId="0" xfId="0" applyNumberFormat="1" applyFont="1" applyFill="1" applyAlignment="1">
      <alignment vertical="center"/>
    </xf>
    <xf numFmtId="177" fontId="2" fillId="7" borderId="0" xfId="0" applyNumberFormat="1" applyFont="1" applyFill="1" applyAlignment="1">
      <alignment vertical="center"/>
    </xf>
    <xf numFmtId="178" fontId="2" fillId="7" borderId="0" xfId="0" applyNumberFormat="1" applyFont="1" applyFill="1" applyAlignment="1">
      <alignment vertical="center"/>
    </xf>
    <xf numFmtId="0" fontId="2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1" applyFont="1">
      <alignment vertical="center"/>
    </xf>
  </cellXfs>
  <cellStyles count="2">
    <cellStyle name="常规" xfId="0" builtinId="0"/>
    <cellStyle name="常规 2" xfId="1" xr:uid="{A03E7402-BFCA-4F0C-8B5C-E8AC882D3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workbookViewId="0">
      <selection activeCell="V1" sqref="V1"/>
    </sheetView>
  </sheetViews>
  <sheetFormatPr defaultRowHeight="14.25" x14ac:dyDescent="0.2"/>
  <cols>
    <col min="12" max="12" width="13.125" customWidth="1"/>
    <col min="13" max="13" width="16.25" customWidth="1"/>
    <col min="14" max="14" width="17.375" customWidth="1"/>
    <col min="15" max="15" width="15" customWidth="1"/>
  </cols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70</v>
      </c>
      <c r="H1" t="s">
        <v>64</v>
      </c>
      <c r="I1" t="s">
        <v>71</v>
      </c>
      <c r="J1" t="s">
        <v>75</v>
      </c>
      <c r="K1" t="s">
        <v>72</v>
      </c>
      <c r="L1" t="s">
        <v>73</v>
      </c>
      <c r="M1" t="s">
        <v>85</v>
      </c>
      <c r="N1" t="s">
        <v>86</v>
      </c>
      <c r="O1" t="s">
        <v>87</v>
      </c>
      <c r="P1" t="s">
        <v>88</v>
      </c>
      <c r="Q1" t="s">
        <v>74</v>
      </c>
      <c r="S1" t="s">
        <v>65</v>
      </c>
      <c r="T1" t="s">
        <v>66</v>
      </c>
      <c r="U1" t="s">
        <v>67</v>
      </c>
      <c r="V1" t="s">
        <v>89</v>
      </c>
      <c r="X1" s="15" t="s">
        <v>81</v>
      </c>
      <c r="Y1" s="15" t="s">
        <v>82</v>
      </c>
    </row>
    <row r="2" spans="1:25" s="1" customFormat="1" ht="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 t="s">
        <v>7</v>
      </c>
      <c r="I2" s="1" t="s">
        <v>8</v>
      </c>
      <c r="J2" s="1" t="s">
        <v>5</v>
      </c>
      <c r="K2" s="1" t="s">
        <v>2</v>
      </c>
      <c r="L2" s="4" t="s">
        <v>9</v>
      </c>
      <c r="M2" s="5" t="s">
        <v>10</v>
      </c>
      <c r="N2" s="17" t="s">
        <v>84</v>
      </c>
      <c r="O2" s="6" t="s">
        <v>11</v>
      </c>
      <c r="P2" s="5" t="s">
        <v>12</v>
      </c>
      <c r="Q2" s="7" t="s">
        <v>13</v>
      </c>
      <c r="V2" s="16" t="s">
        <v>83</v>
      </c>
    </row>
    <row r="3" spans="1:25" s="1" customFormat="1" ht="15" x14ac:dyDescent="0.2">
      <c r="B3" s="1" t="s">
        <v>14</v>
      </c>
      <c r="C3" s="1">
        <v>450</v>
      </c>
      <c r="D3" s="1">
        <f>C3/332.88</f>
        <v>1.3518385003604902</v>
      </c>
      <c r="F3" s="1">
        <v>45</v>
      </c>
      <c r="G3" s="2">
        <f>F3*46.56*0.85</f>
        <v>1780.92</v>
      </c>
      <c r="H3" s="3">
        <f>G3/98/D3</f>
        <v>13.442917224489797</v>
      </c>
      <c r="J3" s="1">
        <v>0</v>
      </c>
      <c r="K3" s="2">
        <f>J3*35.46+F3*46.56*0.15</f>
        <v>314.28000000000003</v>
      </c>
      <c r="L3" s="4">
        <f>K3/18/D3</f>
        <v>12.915744</v>
      </c>
      <c r="M3" s="8">
        <f>J3*35.46+F3*46.56*0.15+C3*0.1621</f>
        <v>387.22500000000002</v>
      </c>
      <c r="N3" s="2">
        <f>(G3/98)/(K3/18)</f>
        <v>1.0408163265306123</v>
      </c>
      <c r="O3" s="6">
        <f>(G3/98)/(M3/18)</f>
        <v>0.84474854439160896</v>
      </c>
      <c r="P3" s="8">
        <f>(M3/18)/D3</f>
        <v>15.913513333333336</v>
      </c>
      <c r="Q3" s="7">
        <f>(M3/18)/(G3/98)</f>
        <v>1.1837842238842846</v>
      </c>
      <c r="S3" s="9">
        <f>F3*46.56</f>
        <v>2095.2000000000003</v>
      </c>
      <c r="T3" s="9">
        <f>J3*35.46</f>
        <v>0</v>
      </c>
      <c r="U3" s="9">
        <f>S3+T3</f>
        <v>2095.2000000000003</v>
      </c>
      <c r="V3" s="1">
        <f>U3/C3</f>
        <v>4.6560000000000006</v>
      </c>
      <c r="X3" s="1">
        <v>0.12</v>
      </c>
      <c r="Y3" s="1">
        <v>3.9193479999999998</v>
      </c>
    </row>
    <row r="4" spans="1:25" s="1" customFormat="1" ht="15" x14ac:dyDescent="0.2">
      <c r="B4" s="1" t="s">
        <v>15</v>
      </c>
      <c r="C4" s="1">
        <v>450</v>
      </c>
      <c r="D4" s="1">
        <f t="shared" ref="D4:D31" si="0">C4/332.88</f>
        <v>1.3518385003604902</v>
      </c>
      <c r="F4" s="1">
        <v>40</v>
      </c>
      <c r="G4" s="2">
        <f t="shared" ref="G4:G31" si="1">F4*46.56*0.85</f>
        <v>1583.04</v>
      </c>
      <c r="H4" s="3">
        <f t="shared" ref="H4:H31" si="2">G4/98/D4</f>
        <v>11.949259755102041</v>
      </c>
      <c r="J4" s="1">
        <v>0</v>
      </c>
      <c r="K4" s="2">
        <f t="shared" ref="K4:K31" si="3">J4*35.46+F4*46.56*0.15</f>
        <v>279.36</v>
      </c>
      <c r="L4" s="4">
        <f t="shared" ref="L4:L31" si="4">K4/18/D4</f>
        <v>11.480661333333334</v>
      </c>
      <c r="M4" s="8">
        <f t="shared" ref="M4:M31" si="5">J4*35.46+F4*46.56*0.15+C4*0.1621</f>
        <v>352.30500000000001</v>
      </c>
      <c r="N4" s="2">
        <f t="shared" ref="N4:N31" si="6">(G4/98)/(K4/18)</f>
        <v>1.0408163265306121</v>
      </c>
      <c r="O4" s="6">
        <f t="shared" ref="O4:O31" si="7">(G4/98)/(M4/18)</f>
        <v>0.82531456828484362</v>
      </c>
      <c r="P4" s="8">
        <f t="shared" ref="P4:P31" si="8">(M4/18)/D4</f>
        <v>14.478430666666668</v>
      </c>
      <c r="Q4" s="7">
        <f t="shared" ref="Q4:Q31" si="9">(M4/18)/(G4/98)</f>
        <v>1.2116592126541339</v>
      </c>
      <c r="S4" s="9">
        <f t="shared" ref="S4:S31" si="10">F4*46.56</f>
        <v>1862.4</v>
      </c>
      <c r="T4" s="9">
        <f t="shared" ref="T4:T31" si="11">J4*35.46</f>
        <v>0</v>
      </c>
      <c r="U4" s="9">
        <f t="shared" ref="U4:U31" si="12">S4+T4</f>
        <v>1862.4</v>
      </c>
      <c r="V4" s="1">
        <f t="shared" ref="V4:V31" si="13">U4/C4</f>
        <v>4.1386666666666665</v>
      </c>
      <c r="X4" s="1">
        <v>0.12</v>
      </c>
      <c r="Y4" s="1">
        <v>3.9193479999999998</v>
      </c>
    </row>
    <row r="5" spans="1:25" s="1" customFormat="1" ht="15" x14ac:dyDescent="0.2">
      <c r="B5" s="1" t="s">
        <v>16</v>
      </c>
      <c r="C5" s="1">
        <v>450</v>
      </c>
      <c r="D5" s="1">
        <f t="shared" si="0"/>
        <v>1.3518385003604902</v>
      </c>
      <c r="F5" s="1">
        <v>30</v>
      </c>
      <c r="G5" s="2">
        <f t="shared" si="1"/>
        <v>1187.2800000000002</v>
      </c>
      <c r="H5" s="3">
        <f t="shared" si="2"/>
        <v>8.9619448163265325</v>
      </c>
      <c r="J5" s="1">
        <v>10</v>
      </c>
      <c r="K5" s="2">
        <f t="shared" si="3"/>
        <v>564.12</v>
      </c>
      <c r="L5" s="4">
        <f t="shared" si="4"/>
        <v>23.183242666666668</v>
      </c>
      <c r="M5" s="8">
        <f t="shared" si="5"/>
        <v>637.06500000000005</v>
      </c>
      <c r="N5" s="2">
        <f t="shared" si="6"/>
        <v>0.38656994386778332</v>
      </c>
      <c r="O5" s="6">
        <f t="shared" si="7"/>
        <v>0.34230704360574488</v>
      </c>
      <c r="P5" s="8">
        <f t="shared" si="8"/>
        <v>26.181012000000003</v>
      </c>
      <c r="Q5" s="7">
        <f t="shared" si="9"/>
        <v>2.921353850818678</v>
      </c>
      <c r="S5" s="9">
        <f t="shared" si="10"/>
        <v>1396.8000000000002</v>
      </c>
      <c r="T5" s="9">
        <f t="shared" si="11"/>
        <v>354.6</v>
      </c>
      <c r="U5" s="9">
        <f t="shared" si="12"/>
        <v>1751.4</v>
      </c>
      <c r="V5" s="1">
        <f t="shared" si="13"/>
        <v>3.8920000000000003</v>
      </c>
      <c r="X5" s="1">
        <v>0.12</v>
      </c>
      <c r="Y5" s="1">
        <v>3.9193479999999998</v>
      </c>
    </row>
    <row r="6" spans="1:25" s="1" customFormat="1" ht="15" x14ac:dyDescent="0.2">
      <c r="B6" s="1" t="s">
        <v>17</v>
      </c>
      <c r="C6" s="1">
        <v>450</v>
      </c>
      <c r="D6" s="1">
        <f t="shared" si="0"/>
        <v>1.3518385003604902</v>
      </c>
      <c r="F6" s="1">
        <v>30</v>
      </c>
      <c r="G6" s="2">
        <f t="shared" si="1"/>
        <v>1187.2800000000002</v>
      </c>
      <c r="H6" s="3">
        <f t="shared" si="2"/>
        <v>8.9619448163265325</v>
      </c>
      <c r="J6" s="1">
        <v>15</v>
      </c>
      <c r="K6" s="2">
        <f t="shared" si="3"/>
        <v>741.42</v>
      </c>
      <c r="L6" s="4">
        <f t="shared" si="4"/>
        <v>30.469615999999998</v>
      </c>
      <c r="M6" s="8">
        <f t="shared" si="5"/>
        <v>814.36500000000001</v>
      </c>
      <c r="N6" s="2">
        <f t="shared" si="6"/>
        <v>0.29412726488993274</v>
      </c>
      <c r="O6" s="6">
        <f t="shared" si="7"/>
        <v>0.26778144534047255</v>
      </c>
      <c r="P6" s="8">
        <f t="shared" si="8"/>
        <v>33.467385333333333</v>
      </c>
      <c r="Q6" s="7">
        <f t="shared" si="9"/>
        <v>3.7343886867461755</v>
      </c>
      <c r="S6" s="9">
        <f t="shared" si="10"/>
        <v>1396.8000000000002</v>
      </c>
      <c r="T6" s="9">
        <f t="shared" si="11"/>
        <v>531.9</v>
      </c>
      <c r="U6" s="9">
        <f t="shared" si="12"/>
        <v>1928.7000000000003</v>
      </c>
      <c r="V6" s="1">
        <f t="shared" si="13"/>
        <v>4.2860000000000005</v>
      </c>
      <c r="X6" s="1">
        <v>0.12</v>
      </c>
      <c r="Y6" s="1">
        <v>3.9193479999999998</v>
      </c>
    </row>
    <row r="7" spans="1:25" s="1" customFormat="1" ht="15" x14ac:dyDescent="0.2">
      <c r="B7" s="1" t="s">
        <v>18</v>
      </c>
      <c r="C7" s="1">
        <v>450</v>
      </c>
      <c r="D7" s="1">
        <f t="shared" si="0"/>
        <v>1.3518385003604902</v>
      </c>
      <c r="F7" s="1">
        <v>20</v>
      </c>
      <c r="G7" s="2">
        <f t="shared" si="1"/>
        <v>791.52</v>
      </c>
      <c r="H7" s="3">
        <f t="shared" si="2"/>
        <v>5.9746298775510205</v>
      </c>
      <c r="J7" s="1">
        <v>20</v>
      </c>
      <c r="K7" s="2">
        <f t="shared" si="3"/>
        <v>848.88000000000011</v>
      </c>
      <c r="L7" s="4">
        <f t="shared" si="4"/>
        <v>34.885824000000007</v>
      </c>
      <c r="M7" s="8">
        <f t="shared" si="5"/>
        <v>921.82500000000005</v>
      </c>
      <c r="N7" s="2">
        <f t="shared" si="6"/>
        <v>0.17126239808900659</v>
      </c>
      <c r="O7" s="6">
        <f t="shared" si="7"/>
        <v>0.15771022101786772</v>
      </c>
      <c r="P7" s="8">
        <f t="shared" si="8"/>
        <v>37.883593333333337</v>
      </c>
      <c r="Q7" s="7">
        <f t="shared" si="9"/>
        <v>6.3407431271477668</v>
      </c>
      <c r="S7" s="9">
        <f t="shared" si="10"/>
        <v>931.2</v>
      </c>
      <c r="T7" s="9">
        <f t="shared" si="11"/>
        <v>709.2</v>
      </c>
      <c r="U7" s="9">
        <f t="shared" si="12"/>
        <v>1640.4</v>
      </c>
      <c r="V7" s="1">
        <f t="shared" si="13"/>
        <v>3.6453333333333333</v>
      </c>
      <c r="X7" s="1">
        <v>0.12</v>
      </c>
      <c r="Y7" s="1">
        <v>3.9193479999999998</v>
      </c>
    </row>
    <row r="8" spans="1:25" s="1" customFormat="1" ht="15" x14ac:dyDescent="0.2">
      <c r="B8" s="1" t="s">
        <v>19</v>
      </c>
      <c r="C8" s="1">
        <v>450</v>
      </c>
      <c r="D8" s="1">
        <f t="shared" si="0"/>
        <v>1.3518385003604902</v>
      </c>
      <c r="F8" s="1">
        <v>10</v>
      </c>
      <c r="G8" s="2">
        <f t="shared" si="1"/>
        <v>395.76</v>
      </c>
      <c r="H8" s="3">
        <f t="shared" si="2"/>
        <v>2.9873149387755102</v>
      </c>
      <c r="I8" s="2"/>
      <c r="J8" s="1">
        <v>30</v>
      </c>
      <c r="K8" s="2">
        <f t="shared" si="3"/>
        <v>1133.6399999999999</v>
      </c>
      <c r="L8" s="4">
        <f t="shared" si="4"/>
        <v>46.588405333333327</v>
      </c>
      <c r="M8" s="8">
        <f t="shared" si="5"/>
        <v>1206.5849999999998</v>
      </c>
      <c r="N8" s="2">
        <f t="shared" si="6"/>
        <v>6.4121425006966909E-2</v>
      </c>
      <c r="O8" s="6">
        <f t="shared" si="7"/>
        <v>6.0244916226289878E-2</v>
      </c>
      <c r="P8" s="8">
        <f t="shared" si="8"/>
        <v>49.586174666666658</v>
      </c>
      <c r="Q8" s="7">
        <f t="shared" si="9"/>
        <v>16.598910956135029</v>
      </c>
      <c r="S8" s="9">
        <f t="shared" si="10"/>
        <v>465.6</v>
      </c>
      <c r="T8" s="9">
        <f t="shared" si="11"/>
        <v>1063.8</v>
      </c>
      <c r="U8" s="9">
        <f t="shared" si="12"/>
        <v>1529.4</v>
      </c>
      <c r="V8" s="1">
        <f t="shared" si="13"/>
        <v>3.3986666666666667</v>
      </c>
      <c r="X8" s="1">
        <v>0.12</v>
      </c>
      <c r="Y8" s="1">
        <v>3.9193479999999998</v>
      </c>
    </row>
    <row r="9" spans="1:25" s="1" customFormat="1" ht="15" x14ac:dyDescent="0.2">
      <c r="B9" s="1" t="s">
        <v>20</v>
      </c>
      <c r="C9" s="1">
        <v>450</v>
      </c>
      <c r="D9" s="1">
        <f t="shared" si="0"/>
        <v>1.3518385003604902</v>
      </c>
      <c r="F9" s="1">
        <v>40</v>
      </c>
      <c r="G9" s="2">
        <f t="shared" si="1"/>
        <v>1583.04</v>
      </c>
      <c r="H9" s="3">
        <f t="shared" si="2"/>
        <v>11.949259755102041</v>
      </c>
      <c r="J9" s="1">
        <v>5</v>
      </c>
      <c r="K9" s="2">
        <f t="shared" si="3"/>
        <v>456.66</v>
      </c>
      <c r="L9" s="4">
        <f t="shared" si="4"/>
        <v>18.767034666666667</v>
      </c>
      <c r="M9" s="8">
        <f t="shared" si="5"/>
        <v>529.60500000000002</v>
      </c>
      <c r="N9" s="2">
        <f t="shared" si="6"/>
        <v>0.63671538777119041</v>
      </c>
      <c r="O9" s="6">
        <f t="shared" si="7"/>
        <v>0.54901756777143695</v>
      </c>
      <c r="P9" s="8">
        <f t="shared" si="8"/>
        <v>21.764804000000002</v>
      </c>
      <c r="Q9" s="7">
        <f t="shared" si="9"/>
        <v>1.8214353395997573</v>
      </c>
      <c r="S9" s="9">
        <f t="shared" si="10"/>
        <v>1862.4</v>
      </c>
      <c r="T9" s="9">
        <f t="shared" si="11"/>
        <v>177.3</v>
      </c>
      <c r="U9" s="9">
        <f t="shared" si="12"/>
        <v>2039.7</v>
      </c>
      <c r="V9" s="1">
        <f t="shared" si="13"/>
        <v>4.5326666666666666</v>
      </c>
      <c r="X9" s="1">
        <v>0.12</v>
      </c>
      <c r="Y9" s="1">
        <v>3.9193479999999998</v>
      </c>
    </row>
    <row r="10" spans="1:25" s="1" customFormat="1" ht="15" x14ac:dyDescent="0.2">
      <c r="B10" s="1" t="s">
        <v>21</v>
      </c>
      <c r="C10" s="1">
        <v>450</v>
      </c>
      <c r="D10" s="1">
        <f t="shared" si="0"/>
        <v>1.3518385003604902</v>
      </c>
      <c r="F10" s="1">
        <v>35</v>
      </c>
      <c r="G10" s="2">
        <f t="shared" si="1"/>
        <v>1385.16</v>
      </c>
      <c r="H10" s="3">
        <f t="shared" si="2"/>
        <v>10.455602285714287</v>
      </c>
      <c r="J10" s="1">
        <v>12</v>
      </c>
      <c r="K10" s="2">
        <f t="shared" si="3"/>
        <v>669.96</v>
      </c>
      <c r="L10" s="4">
        <f t="shared" si="4"/>
        <v>27.532874666666665</v>
      </c>
      <c r="M10" s="8">
        <f t="shared" si="5"/>
        <v>742.90499999999997</v>
      </c>
      <c r="N10" s="2">
        <f t="shared" si="6"/>
        <v>0.37974975051815463</v>
      </c>
      <c r="O10" s="6">
        <f t="shared" si="7"/>
        <v>0.34246255289322708</v>
      </c>
      <c r="P10" s="8">
        <f t="shared" si="8"/>
        <v>30.530644000000002</v>
      </c>
      <c r="Q10" s="7">
        <f t="shared" si="9"/>
        <v>2.9200272892662218</v>
      </c>
      <c r="S10" s="9">
        <f t="shared" si="10"/>
        <v>1629.6000000000001</v>
      </c>
      <c r="T10" s="9">
        <f t="shared" si="11"/>
        <v>425.52</v>
      </c>
      <c r="U10" s="9">
        <f t="shared" si="12"/>
        <v>2055.12</v>
      </c>
      <c r="V10" s="1">
        <f t="shared" si="13"/>
        <v>4.5669333333333331</v>
      </c>
      <c r="X10" s="1">
        <v>0.12</v>
      </c>
      <c r="Y10" s="1">
        <v>3.9193479999999998</v>
      </c>
    </row>
    <row r="11" spans="1:25" s="1" customFormat="1" ht="15" x14ac:dyDescent="0.2">
      <c r="B11" s="1" t="s">
        <v>22</v>
      </c>
      <c r="C11" s="1">
        <v>450</v>
      </c>
      <c r="D11" s="1">
        <f t="shared" si="0"/>
        <v>1.3518385003604902</v>
      </c>
      <c r="F11" s="1">
        <v>45</v>
      </c>
      <c r="G11" s="2">
        <f t="shared" si="1"/>
        <v>1780.92</v>
      </c>
      <c r="H11" s="3">
        <f t="shared" si="2"/>
        <v>13.442917224489797</v>
      </c>
      <c r="J11" s="1">
        <v>15</v>
      </c>
      <c r="K11" s="2">
        <f t="shared" si="3"/>
        <v>846.18000000000006</v>
      </c>
      <c r="L11" s="4">
        <f t="shared" si="4"/>
        <v>34.774864000000001</v>
      </c>
      <c r="M11" s="8">
        <f t="shared" si="5"/>
        <v>919.125</v>
      </c>
      <c r="N11" s="2">
        <f t="shared" si="6"/>
        <v>0.38656994386778321</v>
      </c>
      <c r="O11" s="6">
        <f t="shared" si="7"/>
        <v>0.355890390427897</v>
      </c>
      <c r="P11" s="8">
        <f t="shared" si="8"/>
        <v>37.772633333333332</v>
      </c>
      <c r="Q11" s="7">
        <f t="shared" si="9"/>
        <v>2.8098538957392805</v>
      </c>
      <c r="S11" s="9">
        <f t="shared" si="10"/>
        <v>2095.2000000000003</v>
      </c>
      <c r="T11" s="9">
        <f t="shared" si="11"/>
        <v>531.9</v>
      </c>
      <c r="U11" s="9">
        <f t="shared" si="12"/>
        <v>2627.1000000000004</v>
      </c>
      <c r="V11" s="1">
        <f t="shared" si="13"/>
        <v>5.838000000000001</v>
      </c>
      <c r="X11" s="1">
        <v>0.12</v>
      </c>
      <c r="Y11" s="1">
        <v>3.9193479999999998</v>
      </c>
    </row>
    <row r="12" spans="1:25" s="1" customFormat="1" ht="15" x14ac:dyDescent="0.2">
      <c r="B12" s="1" t="s">
        <v>23</v>
      </c>
      <c r="C12" s="1">
        <v>450</v>
      </c>
      <c r="D12" s="1">
        <f t="shared" si="0"/>
        <v>1.3518385003604902</v>
      </c>
      <c r="F12" s="1">
        <v>54</v>
      </c>
      <c r="G12" s="2">
        <f t="shared" si="1"/>
        <v>2137.1040000000003</v>
      </c>
      <c r="H12" s="3">
        <f t="shared" si="2"/>
        <v>16.131500669387755</v>
      </c>
      <c r="J12" s="1">
        <v>18</v>
      </c>
      <c r="K12" s="2">
        <f t="shared" si="3"/>
        <v>1015.4159999999999</v>
      </c>
      <c r="L12" s="4">
        <f t="shared" si="4"/>
        <v>41.729836800000001</v>
      </c>
      <c r="M12" s="8">
        <f t="shared" si="5"/>
        <v>1088.3609999999999</v>
      </c>
      <c r="N12" s="2">
        <f t="shared" si="6"/>
        <v>0.38656994386778326</v>
      </c>
      <c r="O12" s="6">
        <f t="shared" si="7"/>
        <v>0.36066094441315799</v>
      </c>
      <c r="P12" s="8">
        <f t="shared" si="8"/>
        <v>44.727606133333332</v>
      </c>
      <c r="Q12" s="7">
        <f t="shared" si="9"/>
        <v>2.7726872440461481</v>
      </c>
      <c r="S12" s="9">
        <f t="shared" si="10"/>
        <v>2514.2400000000002</v>
      </c>
      <c r="T12" s="9">
        <f t="shared" si="11"/>
        <v>638.28</v>
      </c>
      <c r="U12" s="9">
        <f t="shared" si="12"/>
        <v>3152.5200000000004</v>
      </c>
      <c r="V12" s="1">
        <f t="shared" si="13"/>
        <v>7.0056000000000012</v>
      </c>
      <c r="X12" s="1">
        <v>0.12</v>
      </c>
      <c r="Y12" s="1">
        <v>3.9193479999999998</v>
      </c>
    </row>
    <row r="13" spans="1:25" s="1" customFormat="1" ht="15" x14ac:dyDescent="0.2">
      <c r="B13" s="1" t="s">
        <v>24</v>
      </c>
      <c r="C13" s="1">
        <v>450</v>
      </c>
      <c r="D13" s="1">
        <f t="shared" si="0"/>
        <v>1.3518385003604902</v>
      </c>
      <c r="F13" s="1">
        <v>30</v>
      </c>
      <c r="G13" s="2">
        <f t="shared" si="1"/>
        <v>1187.2800000000002</v>
      </c>
      <c r="H13" s="3">
        <f t="shared" si="2"/>
        <v>8.9619448163265325</v>
      </c>
      <c r="I13" s="2"/>
      <c r="J13" s="1">
        <v>15</v>
      </c>
      <c r="K13" s="2">
        <f t="shared" si="3"/>
        <v>741.42</v>
      </c>
      <c r="L13" s="4">
        <f t="shared" si="4"/>
        <v>30.469615999999998</v>
      </c>
      <c r="M13" s="8">
        <f t="shared" si="5"/>
        <v>814.36500000000001</v>
      </c>
      <c r="N13" s="2">
        <f t="shared" si="6"/>
        <v>0.29412726488993274</v>
      </c>
      <c r="O13" s="6">
        <f t="shared" si="7"/>
        <v>0.26778144534047255</v>
      </c>
      <c r="P13" s="8">
        <f t="shared" si="8"/>
        <v>33.467385333333333</v>
      </c>
      <c r="Q13" s="7">
        <f t="shared" si="9"/>
        <v>3.7343886867461755</v>
      </c>
      <c r="S13" s="9">
        <f t="shared" si="10"/>
        <v>1396.8000000000002</v>
      </c>
      <c r="T13" s="9">
        <f t="shared" si="11"/>
        <v>531.9</v>
      </c>
      <c r="U13" s="9">
        <f t="shared" si="12"/>
        <v>1928.7000000000003</v>
      </c>
      <c r="V13" s="1">
        <f t="shared" si="13"/>
        <v>4.2860000000000005</v>
      </c>
      <c r="X13" s="1">
        <v>0.12</v>
      </c>
      <c r="Y13" s="1">
        <v>3.9193479999999998</v>
      </c>
    </row>
    <row r="14" spans="1:25" s="1" customFormat="1" ht="15" x14ac:dyDescent="0.2">
      <c r="B14" s="1" t="s">
        <v>25</v>
      </c>
      <c r="C14" s="1">
        <v>450</v>
      </c>
      <c r="D14" s="1">
        <f t="shared" si="0"/>
        <v>1.3518385003604902</v>
      </c>
      <c r="F14" s="1">
        <v>40</v>
      </c>
      <c r="G14" s="2">
        <f t="shared" si="1"/>
        <v>1583.04</v>
      </c>
      <c r="H14" s="3">
        <f t="shared" si="2"/>
        <v>11.949259755102041</v>
      </c>
      <c r="J14" s="1">
        <v>10</v>
      </c>
      <c r="K14" s="2">
        <f t="shared" si="3"/>
        <v>633.96</v>
      </c>
      <c r="L14" s="4">
        <f t="shared" si="4"/>
        <v>26.053408000000001</v>
      </c>
      <c r="M14" s="8">
        <f t="shared" si="5"/>
        <v>706.90499999999997</v>
      </c>
      <c r="N14" s="2">
        <f t="shared" si="6"/>
        <v>0.45864478670514203</v>
      </c>
      <c r="O14" s="6">
        <f t="shared" si="7"/>
        <v>0.41131757305379341</v>
      </c>
      <c r="P14" s="8">
        <f t="shared" si="8"/>
        <v>29.051177333333335</v>
      </c>
      <c r="Q14" s="7">
        <f t="shared" si="9"/>
        <v>2.4312114665453812</v>
      </c>
      <c r="S14" s="9">
        <f t="shared" si="10"/>
        <v>1862.4</v>
      </c>
      <c r="T14" s="9">
        <f t="shared" si="11"/>
        <v>354.6</v>
      </c>
      <c r="U14" s="9">
        <f t="shared" si="12"/>
        <v>2217</v>
      </c>
      <c r="V14" s="1">
        <f t="shared" si="13"/>
        <v>4.9266666666666667</v>
      </c>
      <c r="X14" s="1">
        <v>0.12</v>
      </c>
      <c r="Y14" s="1">
        <v>3.9193479999999998</v>
      </c>
    </row>
    <row r="15" spans="1:25" s="1" customFormat="1" ht="15" x14ac:dyDescent="0.2">
      <c r="B15" s="1" t="s">
        <v>26</v>
      </c>
      <c r="C15" s="1">
        <v>450</v>
      </c>
      <c r="D15" s="1">
        <f t="shared" si="0"/>
        <v>1.3518385003604902</v>
      </c>
      <c r="F15" s="1">
        <v>32</v>
      </c>
      <c r="G15" s="2">
        <f t="shared" si="1"/>
        <v>1266.432</v>
      </c>
      <c r="H15" s="3">
        <f t="shared" si="2"/>
        <v>9.5594078040816317</v>
      </c>
      <c r="J15" s="1">
        <v>15</v>
      </c>
      <c r="K15" s="2">
        <f t="shared" si="3"/>
        <v>755.38799999999992</v>
      </c>
      <c r="L15" s="4">
        <f t="shared" si="4"/>
        <v>31.043649066666664</v>
      </c>
      <c r="M15" s="8">
        <f t="shared" si="5"/>
        <v>828.33299999999986</v>
      </c>
      <c r="N15" s="2">
        <f t="shared" si="6"/>
        <v>0.30793441143316214</v>
      </c>
      <c r="O15" s="6">
        <f t="shared" si="7"/>
        <v>0.2808169651380224</v>
      </c>
      <c r="P15" s="8">
        <f t="shared" si="8"/>
        <v>34.041418399999991</v>
      </c>
      <c r="Q15" s="7">
        <f t="shared" si="9"/>
        <v>3.5610384134323825</v>
      </c>
      <c r="S15" s="9">
        <f t="shared" si="10"/>
        <v>1489.92</v>
      </c>
      <c r="T15" s="9">
        <f t="shared" si="11"/>
        <v>531.9</v>
      </c>
      <c r="U15" s="9">
        <f t="shared" si="12"/>
        <v>2021.8200000000002</v>
      </c>
      <c r="V15" s="1">
        <f t="shared" si="13"/>
        <v>4.4929333333333341</v>
      </c>
      <c r="X15" s="1">
        <v>0.12</v>
      </c>
      <c r="Y15" s="1">
        <v>3.9193479999999998</v>
      </c>
    </row>
    <row r="16" spans="1:25" s="1" customFormat="1" ht="15" x14ac:dyDescent="0.2">
      <c r="B16" s="1" t="s">
        <v>27</v>
      </c>
      <c r="C16" s="1">
        <v>450</v>
      </c>
      <c r="D16" s="1">
        <f t="shared" si="0"/>
        <v>1.3518385003604902</v>
      </c>
      <c r="F16" s="1">
        <v>36</v>
      </c>
      <c r="G16" s="2">
        <f t="shared" si="1"/>
        <v>1424.7360000000001</v>
      </c>
      <c r="H16" s="3">
        <f t="shared" si="2"/>
        <v>10.754333779591837</v>
      </c>
      <c r="J16" s="1">
        <v>11</v>
      </c>
      <c r="K16" s="2">
        <f t="shared" si="3"/>
        <v>641.48400000000004</v>
      </c>
      <c r="L16" s="4">
        <f t="shared" si="4"/>
        <v>26.362616533333338</v>
      </c>
      <c r="M16" s="8">
        <f t="shared" si="5"/>
        <v>714.42900000000009</v>
      </c>
      <c r="N16" s="2">
        <f t="shared" si="6"/>
        <v>0.40793878581793563</v>
      </c>
      <c r="O16" s="6">
        <f t="shared" si="7"/>
        <v>0.36628720850026053</v>
      </c>
      <c r="P16" s="8">
        <f t="shared" si="8"/>
        <v>29.360385866666672</v>
      </c>
      <c r="Q16" s="7">
        <f t="shared" si="9"/>
        <v>2.7300980672910633</v>
      </c>
      <c r="S16" s="9">
        <f t="shared" si="10"/>
        <v>1676.16</v>
      </c>
      <c r="T16" s="9">
        <f t="shared" si="11"/>
        <v>390.06</v>
      </c>
      <c r="U16" s="9">
        <f t="shared" si="12"/>
        <v>2066.2200000000003</v>
      </c>
      <c r="V16" s="1">
        <f t="shared" si="13"/>
        <v>4.5916000000000006</v>
      </c>
      <c r="X16" s="1">
        <v>0.12</v>
      </c>
      <c r="Y16" s="1">
        <v>3.9193479999999998</v>
      </c>
    </row>
    <row r="17" spans="2:25" s="11" customFormat="1" ht="15" x14ac:dyDescent="0.2">
      <c r="B17" s="11" t="s">
        <v>28</v>
      </c>
      <c r="C17" s="11">
        <v>450</v>
      </c>
      <c r="D17" s="11">
        <f t="shared" si="0"/>
        <v>1.3518385003604902</v>
      </c>
      <c r="F17" s="11">
        <v>40</v>
      </c>
      <c r="G17" s="12">
        <f t="shared" si="1"/>
        <v>1583.04</v>
      </c>
      <c r="H17" s="12">
        <f t="shared" si="2"/>
        <v>11.949259755102041</v>
      </c>
      <c r="I17" s="12"/>
      <c r="J17" s="11">
        <v>7</v>
      </c>
      <c r="K17" s="12">
        <f t="shared" si="3"/>
        <v>527.58000000000004</v>
      </c>
      <c r="L17" s="13">
        <f t="shared" si="4"/>
        <v>21.681584000000001</v>
      </c>
      <c r="M17" s="13">
        <f t="shared" si="5"/>
        <v>600.52500000000009</v>
      </c>
      <c r="N17" s="12">
        <f t="shared" si="6"/>
        <v>0.55112485116871723</v>
      </c>
      <c r="O17" s="13">
        <f t="shared" si="7"/>
        <v>0.48418042376186138</v>
      </c>
      <c r="P17" s="13">
        <f t="shared" si="8"/>
        <v>24.679353333333339</v>
      </c>
      <c r="Q17" s="12">
        <f t="shared" si="9"/>
        <v>2.0653457903780073</v>
      </c>
      <c r="S17" s="14">
        <f t="shared" si="10"/>
        <v>1862.4</v>
      </c>
      <c r="T17" s="14">
        <f t="shared" si="11"/>
        <v>248.22</v>
      </c>
      <c r="U17" s="14">
        <f t="shared" si="12"/>
        <v>2110.62</v>
      </c>
      <c r="V17" s="11">
        <f t="shared" si="13"/>
        <v>4.6902666666666661</v>
      </c>
      <c r="X17" s="11">
        <v>0.12</v>
      </c>
      <c r="Y17" s="11">
        <v>3.9193479999999998</v>
      </c>
    </row>
    <row r="18" spans="2:25" s="1" customFormat="1" ht="15" x14ac:dyDescent="0.2">
      <c r="B18" s="1" t="s">
        <v>29</v>
      </c>
      <c r="C18" s="1">
        <v>450</v>
      </c>
      <c r="D18" s="1">
        <f t="shared" si="0"/>
        <v>1.3518385003604902</v>
      </c>
      <c r="F18" s="1">
        <v>26</v>
      </c>
      <c r="G18" s="2">
        <f t="shared" si="1"/>
        <v>1028.9759999999999</v>
      </c>
      <c r="H18" s="3">
        <f t="shared" si="2"/>
        <v>7.7670188408163261</v>
      </c>
      <c r="J18" s="1">
        <v>21</v>
      </c>
      <c r="K18" s="2">
        <f t="shared" si="3"/>
        <v>926.24399999999991</v>
      </c>
      <c r="L18" s="4">
        <f t="shared" si="4"/>
        <v>38.065197866666665</v>
      </c>
      <c r="M18" s="8">
        <f t="shared" si="5"/>
        <v>999.18899999999985</v>
      </c>
      <c r="N18" s="2">
        <f t="shared" si="6"/>
        <v>0.20404514559525858</v>
      </c>
      <c r="O18" s="6">
        <f t="shared" si="7"/>
        <v>0.18914899166897825</v>
      </c>
      <c r="P18" s="8">
        <f t="shared" si="8"/>
        <v>41.062967199999996</v>
      </c>
      <c r="Q18" s="7">
        <f t="shared" si="9"/>
        <v>5.2868375938797403</v>
      </c>
      <c r="S18" s="9">
        <f t="shared" si="10"/>
        <v>1210.56</v>
      </c>
      <c r="T18" s="9">
        <f t="shared" si="11"/>
        <v>744.66</v>
      </c>
      <c r="U18" s="9">
        <f t="shared" si="12"/>
        <v>1955.2199999999998</v>
      </c>
      <c r="V18" s="1">
        <f t="shared" si="13"/>
        <v>4.3449333333333326</v>
      </c>
      <c r="X18" s="1">
        <v>0.12</v>
      </c>
      <c r="Y18" s="1">
        <v>3.9193479999999998</v>
      </c>
    </row>
    <row r="19" spans="2:25" s="1" customFormat="1" ht="15" x14ac:dyDescent="0.2">
      <c r="B19" s="1" t="s">
        <v>30</v>
      </c>
      <c r="C19" s="1">
        <v>450</v>
      </c>
      <c r="D19" s="1">
        <f t="shared" si="0"/>
        <v>1.3518385003604902</v>
      </c>
      <c r="F19" s="1">
        <v>20</v>
      </c>
      <c r="G19" s="2">
        <f t="shared" si="1"/>
        <v>791.52</v>
      </c>
      <c r="H19" s="3">
        <f t="shared" si="2"/>
        <v>5.9746298775510205</v>
      </c>
      <c r="J19" s="1">
        <v>23</v>
      </c>
      <c r="K19" s="2">
        <f t="shared" si="3"/>
        <v>955.26</v>
      </c>
      <c r="L19" s="4">
        <f t="shared" si="4"/>
        <v>39.257648000000003</v>
      </c>
      <c r="M19" s="8">
        <f t="shared" si="5"/>
        <v>1028.2049999999999</v>
      </c>
      <c r="N19" s="2">
        <f t="shared" si="6"/>
        <v>0.15219021469526195</v>
      </c>
      <c r="O19" s="6">
        <f t="shared" si="7"/>
        <v>0.14139322848050334</v>
      </c>
      <c r="P19" s="8">
        <f t="shared" si="8"/>
        <v>42.255417333333334</v>
      </c>
      <c r="Q19" s="7">
        <f t="shared" si="9"/>
        <v>7.0724744794825138</v>
      </c>
      <c r="S19" s="9">
        <f t="shared" si="10"/>
        <v>931.2</v>
      </c>
      <c r="T19" s="9">
        <f t="shared" si="11"/>
        <v>815.58</v>
      </c>
      <c r="U19" s="9">
        <f t="shared" si="12"/>
        <v>1746.7800000000002</v>
      </c>
      <c r="V19" s="1">
        <f t="shared" si="13"/>
        <v>3.8817333333333339</v>
      </c>
      <c r="X19" s="1">
        <v>0.12</v>
      </c>
      <c r="Y19" s="1">
        <v>3.9193479999999998</v>
      </c>
    </row>
    <row r="20" spans="2:25" s="1" customFormat="1" ht="15" x14ac:dyDescent="0.2">
      <c r="B20" s="1" t="s">
        <v>31</v>
      </c>
      <c r="C20" s="1">
        <v>500</v>
      </c>
      <c r="D20" s="1">
        <f t="shared" si="0"/>
        <v>1.5020427781783225</v>
      </c>
      <c r="F20" s="1">
        <v>10</v>
      </c>
      <c r="G20" s="2">
        <f t="shared" si="1"/>
        <v>395.76</v>
      </c>
      <c r="H20" s="3">
        <f t="shared" si="2"/>
        <v>2.6885834448979593</v>
      </c>
      <c r="J20" s="1">
        <v>28</v>
      </c>
      <c r="K20" s="2">
        <f t="shared" si="3"/>
        <v>1062.72</v>
      </c>
      <c r="L20" s="4">
        <f t="shared" si="4"/>
        <v>39.306470400000002</v>
      </c>
      <c r="M20" s="8">
        <f t="shared" si="5"/>
        <v>1143.77</v>
      </c>
      <c r="N20" s="2">
        <f t="shared" si="6"/>
        <v>6.840053094408495E-2</v>
      </c>
      <c r="O20" s="6">
        <f t="shared" si="7"/>
        <v>6.3553522338317986E-2</v>
      </c>
      <c r="P20" s="8">
        <f t="shared" si="8"/>
        <v>42.304239733333333</v>
      </c>
      <c r="Q20" s="7">
        <f t="shared" si="9"/>
        <v>15.734769108101432</v>
      </c>
      <c r="S20" s="9">
        <f t="shared" si="10"/>
        <v>465.6</v>
      </c>
      <c r="T20" s="9">
        <f t="shared" si="11"/>
        <v>992.88</v>
      </c>
      <c r="U20" s="9">
        <f t="shared" si="12"/>
        <v>1458.48</v>
      </c>
      <c r="V20" s="1">
        <f t="shared" si="13"/>
        <v>2.91696</v>
      </c>
      <c r="X20" s="1">
        <v>0.12</v>
      </c>
      <c r="Y20" s="1">
        <v>3.9193479999999998</v>
      </c>
    </row>
    <row r="21" spans="2:25" s="11" customFormat="1" ht="15" x14ac:dyDescent="0.2">
      <c r="B21" s="11" t="s">
        <v>32</v>
      </c>
      <c r="C21" s="11">
        <v>450</v>
      </c>
      <c r="D21" s="11">
        <f t="shared" si="0"/>
        <v>1.3518385003604902</v>
      </c>
      <c r="F21" s="11">
        <v>50</v>
      </c>
      <c r="G21" s="12">
        <f t="shared" si="1"/>
        <v>1978.8</v>
      </c>
      <c r="H21" s="12">
        <f t="shared" si="2"/>
        <v>14.936574693877549</v>
      </c>
      <c r="J21" s="11">
        <v>0</v>
      </c>
      <c r="K21" s="12">
        <f t="shared" si="3"/>
        <v>349.2</v>
      </c>
      <c r="L21" s="13">
        <f t="shared" si="4"/>
        <v>14.350826666666666</v>
      </c>
      <c r="M21" s="13">
        <f t="shared" si="5"/>
        <v>422.14499999999998</v>
      </c>
      <c r="N21" s="12">
        <f t="shared" si="6"/>
        <v>1.0408163265306123</v>
      </c>
      <c r="O21" s="13">
        <f t="shared" si="7"/>
        <v>0.86096734824406251</v>
      </c>
      <c r="P21" s="13">
        <f t="shared" si="8"/>
        <v>17.348596000000001</v>
      </c>
      <c r="Q21" s="12">
        <f t="shared" si="9"/>
        <v>1.1614842328684052</v>
      </c>
      <c r="S21" s="14">
        <f t="shared" si="10"/>
        <v>2328</v>
      </c>
      <c r="T21" s="14">
        <f t="shared" si="11"/>
        <v>0</v>
      </c>
      <c r="U21" s="14">
        <f t="shared" si="12"/>
        <v>2328</v>
      </c>
      <c r="V21" s="11">
        <f t="shared" si="13"/>
        <v>5.1733333333333329</v>
      </c>
      <c r="X21" s="11">
        <v>0.12</v>
      </c>
      <c r="Y21" s="11">
        <v>3.9193479999999998</v>
      </c>
    </row>
    <row r="22" spans="2:25" s="1" customFormat="1" ht="15" x14ac:dyDescent="0.2">
      <c r="B22" s="1" t="s">
        <v>33</v>
      </c>
      <c r="C22" s="1">
        <v>450</v>
      </c>
      <c r="D22" s="1">
        <f t="shared" si="0"/>
        <v>1.3518385003604902</v>
      </c>
      <c r="F22" s="1">
        <v>0</v>
      </c>
      <c r="G22" s="2">
        <f t="shared" si="1"/>
        <v>0</v>
      </c>
      <c r="H22" s="3">
        <f t="shared" si="2"/>
        <v>0</v>
      </c>
      <c r="J22" s="1">
        <v>35</v>
      </c>
      <c r="K22" s="2">
        <f t="shared" si="3"/>
        <v>1241.1000000000001</v>
      </c>
      <c r="L22" s="4">
        <f t="shared" si="4"/>
        <v>51.004613333333339</v>
      </c>
      <c r="M22" s="8">
        <f t="shared" si="5"/>
        <v>1314.0450000000001</v>
      </c>
      <c r="N22" s="2">
        <f t="shared" si="6"/>
        <v>0</v>
      </c>
      <c r="O22" s="6">
        <f t="shared" si="7"/>
        <v>0</v>
      </c>
      <c r="P22" s="8">
        <f t="shared" si="8"/>
        <v>54.002382666666669</v>
      </c>
      <c r="Q22" s="7" t="e">
        <f t="shared" si="9"/>
        <v>#DIV/0!</v>
      </c>
      <c r="S22" s="9">
        <f t="shared" si="10"/>
        <v>0</v>
      </c>
      <c r="T22" s="9">
        <f t="shared" si="11"/>
        <v>1241.1000000000001</v>
      </c>
      <c r="U22" s="9">
        <f t="shared" si="12"/>
        <v>1241.1000000000001</v>
      </c>
      <c r="V22" s="1">
        <f t="shared" si="13"/>
        <v>2.7580000000000005</v>
      </c>
      <c r="X22" s="1">
        <v>0.12</v>
      </c>
      <c r="Y22" s="1">
        <v>3.9193479999999998</v>
      </c>
    </row>
    <row r="23" spans="2:25" s="1" customFormat="1" ht="15" x14ac:dyDescent="0.2">
      <c r="B23" s="1" t="s">
        <v>34</v>
      </c>
      <c r="C23" s="1">
        <v>450</v>
      </c>
      <c r="D23" s="1">
        <f t="shared" si="0"/>
        <v>1.3518385003604902</v>
      </c>
      <c r="F23" s="1">
        <v>10</v>
      </c>
      <c r="G23" s="2">
        <f t="shared" si="1"/>
        <v>395.76</v>
      </c>
      <c r="H23" s="3">
        <f t="shared" si="2"/>
        <v>2.9873149387755102</v>
      </c>
      <c r="J23" s="1">
        <v>30</v>
      </c>
      <c r="K23" s="2">
        <f t="shared" si="3"/>
        <v>1133.6399999999999</v>
      </c>
      <c r="L23" s="4">
        <f t="shared" si="4"/>
        <v>46.588405333333327</v>
      </c>
      <c r="M23" s="8">
        <f t="shared" si="5"/>
        <v>1206.5849999999998</v>
      </c>
      <c r="N23" s="2">
        <f t="shared" si="6"/>
        <v>6.4121425006966909E-2</v>
      </c>
      <c r="O23" s="6">
        <f t="shared" si="7"/>
        <v>6.0244916226289878E-2</v>
      </c>
      <c r="P23" s="8">
        <f t="shared" si="8"/>
        <v>49.586174666666658</v>
      </c>
      <c r="Q23" s="7">
        <f t="shared" si="9"/>
        <v>16.598910956135029</v>
      </c>
      <c r="S23" s="9">
        <f t="shared" si="10"/>
        <v>465.6</v>
      </c>
      <c r="T23" s="9">
        <f t="shared" si="11"/>
        <v>1063.8</v>
      </c>
      <c r="U23" s="9">
        <f t="shared" si="12"/>
        <v>1529.4</v>
      </c>
      <c r="V23" s="1">
        <f t="shared" si="13"/>
        <v>3.3986666666666667</v>
      </c>
      <c r="X23" s="1">
        <v>0.12</v>
      </c>
      <c r="Y23" s="1">
        <v>3.9193479999999998</v>
      </c>
    </row>
    <row r="24" spans="2:25" s="1" customFormat="1" ht="15" x14ac:dyDescent="0.2">
      <c r="B24" s="1" t="s">
        <v>35</v>
      </c>
      <c r="C24" s="1">
        <v>450</v>
      </c>
      <c r="D24" s="1">
        <f t="shared" si="0"/>
        <v>1.3518385003604902</v>
      </c>
      <c r="F24" s="1">
        <v>0</v>
      </c>
      <c r="G24" s="2">
        <f t="shared" si="1"/>
        <v>0</v>
      </c>
      <c r="H24" s="3">
        <f t="shared" si="2"/>
        <v>0</v>
      </c>
      <c r="J24" s="1">
        <v>15</v>
      </c>
      <c r="K24" s="2">
        <f t="shared" si="3"/>
        <v>531.9</v>
      </c>
      <c r="L24" s="4">
        <f t="shared" si="4"/>
        <v>21.859119999999997</v>
      </c>
      <c r="M24" s="8">
        <f t="shared" si="5"/>
        <v>604.84500000000003</v>
      </c>
      <c r="N24" s="2">
        <f t="shared" si="6"/>
        <v>0</v>
      </c>
      <c r="O24" s="6">
        <f t="shared" si="7"/>
        <v>0</v>
      </c>
      <c r="P24" s="8">
        <f t="shared" si="8"/>
        <v>24.856889333333331</v>
      </c>
      <c r="Q24" s="7" t="e">
        <f t="shared" si="9"/>
        <v>#DIV/0!</v>
      </c>
      <c r="S24" s="9">
        <f t="shared" si="10"/>
        <v>0</v>
      </c>
      <c r="T24" s="9">
        <f t="shared" si="11"/>
        <v>531.9</v>
      </c>
      <c r="U24" s="9">
        <f t="shared" si="12"/>
        <v>531.9</v>
      </c>
      <c r="V24" s="1">
        <f t="shared" si="13"/>
        <v>1.1819999999999999</v>
      </c>
      <c r="X24" s="1">
        <v>0.12</v>
      </c>
      <c r="Y24" s="1">
        <v>3.9193479999999998</v>
      </c>
    </row>
    <row r="25" spans="2:25" s="1" customFormat="1" ht="15" x14ac:dyDescent="0.2">
      <c r="B25" s="1" t="s">
        <v>36</v>
      </c>
      <c r="C25" s="1">
        <v>450</v>
      </c>
      <c r="D25" s="1">
        <f t="shared" si="0"/>
        <v>1.3518385003604902</v>
      </c>
      <c r="F25" s="1">
        <v>36</v>
      </c>
      <c r="G25" s="2">
        <f t="shared" si="1"/>
        <v>1424.7360000000001</v>
      </c>
      <c r="H25" s="3">
        <f t="shared" si="2"/>
        <v>10.754333779591837</v>
      </c>
      <c r="J25" s="1">
        <v>15</v>
      </c>
      <c r="K25" s="2">
        <f t="shared" si="3"/>
        <v>783.32399999999996</v>
      </c>
      <c r="L25" s="4">
        <f t="shared" si="4"/>
        <v>32.191715200000004</v>
      </c>
      <c r="M25" s="8">
        <f t="shared" si="5"/>
        <v>856.26900000000001</v>
      </c>
      <c r="N25" s="2">
        <f t="shared" si="6"/>
        <v>0.33407147499838208</v>
      </c>
      <c r="O25" s="6">
        <f t="shared" si="7"/>
        <v>0.30561214300836848</v>
      </c>
      <c r="P25" s="8">
        <f t="shared" si="8"/>
        <v>35.189484533333335</v>
      </c>
      <c r="Q25" s="7">
        <f t="shared" si="9"/>
        <v>3.2721212912427284</v>
      </c>
      <c r="S25" s="9">
        <f t="shared" si="10"/>
        <v>1676.16</v>
      </c>
      <c r="T25" s="9">
        <f t="shared" si="11"/>
        <v>531.9</v>
      </c>
      <c r="U25" s="9">
        <f t="shared" si="12"/>
        <v>2208.06</v>
      </c>
      <c r="V25" s="1">
        <f t="shared" si="13"/>
        <v>4.9067999999999996</v>
      </c>
      <c r="X25" s="1">
        <v>0.12</v>
      </c>
      <c r="Y25" s="1">
        <v>3.9193479999999998</v>
      </c>
    </row>
    <row r="26" spans="2:25" s="1" customFormat="1" ht="15" x14ac:dyDescent="0.2">
      <c r="B26" s="1" t="s">
        <v>37</v>
      </c>
      <c r="C26" s="1">
        <v>450</v>
      </c>
      <c r="D26" s="1">
        <f t="shared" si="0"/>
        <v>1.3518385003604902</v>
      </c>
      <c r="F26" s="1">
        <v>40</v>
      </c>
      <c r="G26" s="2">
        <f t="shared" si="1"/>
        <v>1583.04</v>
      </c>
      <c r="H26" s="3">
        <f t="shared" si="2"/>
        <v>11.949259755102041</v>
      </c>
      <c r="J26" s="1">
        <v>15</v>
      </c>
      <c r="K26" s="2">
        <f t="shared" si="3"/>
        <v>811.26</v>
      </c>
      <c r="L26" s="4">
        <f t="shared" si="4"/>
        <v>33.339781333333335</v>
      </c>
      <c r="M26" s="8">
        <f t="shared" si="5"/>
        <v>884.20499999999993</v>
      </c>
      <c r="N26" s="2">
        <f t="shared" si="6"/>
        <v>0.35840846212014871</v>
      </c>
      <c r="O26" s="6">
        <f t="shared" si="7"/>
        <v>0.32884053921838474</v>
      </c>
      <c r="P26" s="8">
        <f t="shared" si="8"/>
        <v>36.337550666666665</v>
      </c>
      <c r="Q26" s="7">
        <f t="shared" si="9"/>
        <v>3.0409875934910042</v>
      </c>
      <c r="S26" s="9">
        <f t="shared" si="10"/>
        <v>1862.4</v>
      </c>
      <c r="T26" s="9">
        <f t="shared" si="11"/>
        <v>531.9</v>
      </c>
      <c r="U26" s="9">
        <f t="shared" si="12"/>
        <v>2394.3000000000002</v>
      </c>
      <c r="V26" s="1">
        <f t="shared" si="13"/>
        <v>5.3206666666666669</v>
      </c>
      <c r="X26" s="1">
        <v>0.12</v>
      </c>
      <c r="Y26" s="1">
        <v>3.9193479999999998</v>
      </c>
    </row>
    <row r="27" spans="2:25" s="1" customFormat="1" ht="15" x14ac:dyDescent="0.2">
      <c r="B27" s="1" t="s">
        <v>38</v>
      </c>
      <c r="C27" s="1">
        <v>450</v>
      </c>
      <c r="D27" s="1">
        <f t="shared" si="0"/>
        <v>1.3518385003604902</v>
      </c>
      <c r="F27" s="1">
        <v>13</v>
      </c>
      <c r="G27" s="2">
        <f t="shared" si="1"/>
        <v>514.48799999999994</v>
      </c>
      <c r="H27" s="3">
        <f t="shared" si="2"/>
        <v>3.883509420408163</v>
      </c>
      <c r="J27" s="1">
        <v>39</v>
      </c>
      <c r="K27" s="2">
        <f>J27*35.46+F27*46.56*0.15</f>
        <v>1473.732</v>
      </c>
      <c r="L27" s="4">
        <f t="shared" si="4"/>
        <v>60.564926933333332</v>
      </c>
      <c r="M27" s="8">
        <f t="shared" si="5"/>
        <v>1546.6769999999999</v>
      </c>
      <c r="N27" s="2">
        <f t="shared" si="6"/>
        <v>6.4121425006966895E-2</v>
      </c>
      <c r="O27" s="6">
        <f t="shared" si="7"/>
        <v>6.1097304685055344E-2</v>
      </c>
      <c r="P27" s="8">
        <f t="shared" si="8"/>
        <v>63.562696266666663</v>
      </c>
      <c r="Q27" s="7">
        <f t="shared" si="9"/>
        <v>16.367334126354745</v>
      </c>
      <c r="S27" s="9">
        <f t="shared" si="10"/>
        <v>605.28</v>
      </c>
      <c r="T27" s="9">
        <f t="shared" si="11"/>
        <v>1382.94</v>
      </c>
      <c r="U27" s="9">
        <f t="shared" si="12"/>
        <v>1988.22</v>
      </c>
      <c r="V27" s="1">
        <f t="shared" si="13"/>
        <v>4.4182666666666668</v>
      </c>
      <c r="X27" s="1">
        <v>0.12</v>
      </c>
      <c r="Y27" s="1">
        <v>3.9193479999999998</v>
      </c>
    </row>
    <row r="28" spans="2:25" s="1" customFormat="1" ht="15" x14ac:dyDescent="0.2">
      <c r="B28" s="1" t="s">
        <v>39</v>
      </c>
      <c r="C28" s="1">
        <v>450</v>
      </c>
      <c r="D28" s="1">
        <f t="shared" si="0"/>
        <v>1.3518385003604902</v>
      </c>
      <c r="F28" s="1">
        <v>28.198908429351121</v>
      </c>
      <c r="G28" s="2">
        <f t="shared" si="1"/>
        <v>1116</v>
      </c>
      <c r="H28" s="3">
        <f t="shared" si="2"/>
        <v>8.4239020408163263</v>
      </c>
      <c r="J28" s="1">
        <v>13.735443415945058</v>
      </c>
      <c r="K28" s="2">
        <f t="shared" si="3"/>
        <v>684</v>
      </c>
      <c r="L28" s="4">
        <f t="shared" si="4"/>
        <v>28.109866666666669</v>
      </c>
      <c r="M28" s="8">
        <f t="shared" si="5"/>
        <v>756.94499999999994</v>
      </c>
      <c r="N28" s="2">
        <f t="shared" si="6"/>
        <v>0.2996777658431794</v>
      </c>
      <c r="O28" s="6">
        <f t="shared" si="7"/>
        <v>0.27079852807896837</v>
      </c>
      <c r="P28" s="8">
        <f t="shared" si="8"/>
        <v>31.107635999999996</v>
      </c>
      <c r="Q28" s="7">
        <f t="shared" si="9"/>
        <v>3.6927822580645153</v>
      </c>
      <c r="S28" s="9">
        <f t="shared" si="10"/>
        <v>1312.9411764705883</v>
      </c>
      <c r="T28" s="9">
        <f t="shared" si="11"/>
        <v>487.05882352941177</v>
      </c>
      <c r="U28" s="9">
        <f t="shared" si="12"/>
        <v>1800</v>
      </c>
      <c r="V28" s="1">
        <f t="shared" si="13"/>
        <v>4</v>
      </c>
      <c r="X28" s="1">
        <v>0.12</v>
      </c>
      <c r="Y28" s="1">
        <v>3.9193479999999998</v>
      </c>
    </row>
    <row r="29" spans="2:25" s="1" customFormat="1" ht="15" x14ac:dyDescent="0.2">
      <c r="B29" s="1" t="s">
        <v>40</v>
      </c>
      <c r="C29" s="1">
        <v>450</v>
      </c>
      <c r="D29" s="1">
        <f t="shared" si="0"/>
        <v>1.3518385003604902</v>
      </c>
      <c r="F29" s="1">
        <v>23.4990903577926</v>
      </c>
      <c r="G29" s="2">
        <f t="shared" si="1"/>
        <v>929.99999999999989</v>
      </c>
      <c r="H29" s="3">
        <f t="shared" si="2"/>
        <v>7.0199183673469383</v>
      </c>
      <c r="J29" s="1">
        <v>11.446202846620881</v>
      </c>
      <c r="K29" s="2">
        <f t="shared" si="3"/>
        <v>570</v>
      </c>
      <c r="L29" s="4">
        <f t="shared" si="4"/>
        <v>23.424888888888891</v>
      </c>
      <c r="M29" s="8">
        <f t="shared" si="5"/>
        <v>642.94499999999994</v>
      </c>
      <c r="N29" s="2">
        <f t="shared" si="6"/>
        <v>0.29967776584317934</v>
      </c>
      <c r="O29" s="6">
        <f t="shared" si="7"/>
        <v>0.26567797639084562</v>
      </c>
      <c r="P29" s="8">
        <f t="shared" si="8"/>
        <v>26.422658222222221</v>
      </c>
      <c r="Q29" s="7">
        <f t="shared" si="9"/>
        <v>3.7639551971326171</v>
      </c>
      <c r="S29" s="9">
        <f t="shared" si="10"/>
        <v>1094.1176470588234</v>
      </c>
      <c r="T29" s="9">
        <f t="shared" si="11"/>
        <v>405.88235294117646</v>
      </c>
      <c r="U29" s="9">
        <f t="shared" si="12"/>
        <v>1500</v>
      </c>
      <c r="V29" s="1">
        <f t="shared" si="13"/>
        <v>3.3333333333333335</v>
      </c>
      <c r="X29" s="1">
        <v>0.12</v>
      </c>
      <c r="Y29" s="1">
        <v>3.9193479999999998</v>
      </c>
    </row>
    <row r="30" spans="2:25" s="1" customFormat="1" ht="15" x14ac:dyDescent="0.2">
      <c r="B30" s="1" t="s">
        <v>41</v>
      </c>
      <c r="C30" s="1">
        <v>450</v>
      </c>
      <c r="D30" s="1">
        <f t="shared" si="0"/>
        <v>1.3518385003604902</v>
      </c>
      <c r="F30" s="1">
        <v>34.465332524762481</v>
      </c>
      <c r="G30" s="2">
        <f t="shared" si="1"/>
        <v>1364</v>
      </c>
      <c r="H30" s="3">
        <f t="shared" si="2"/>
        <v>10.295880272108844</v>
      </c>
      <c r="J30" s="1">
        <v>16.787764175043957</v>
      </c>
      <c r="K30" s="2">
        <f t="shared" si="3"/>
        <v>836</v>
      </c>
      <c r="L30" s="4">
        <f t="shared" si="4"/>
        <v>34.356503703703702</v>
      </c>
      <c r="M30" s="8">
        <f t="shared" si="5"/>
        <v>908.94499999999994</v>
      </c>
      <c r="N30" s="2">
        <f t="shared" si="6"/>
        <v>0.2996777658431794</v>
      </c>
      <c r="O30" s="6">
        <f t="shared" si="7"/>
        <v>0.27562791174922358</v>
      </c>
      <c r="P30" s="8">
        <f t="shared" si="8"/>
        <v>37.354273037037032</v>
      </c>
      <c r="Q30" s="7">
        <f t="shared" si="9"/>
        <v>3.6280795861844242</v>
      </c>
      <c r="S30" s="9">
        <f t="shared" si="10"/>
        <v>1604.7058823529412</v>
      </c>
      <c r="T30" s="9">
        <f t="shared" si="11"/>
        <v>595.29411764705878</v>
      </c>
      <c r="U30" s="9">
        <f t="shared" si="12"/>
        <v>2200</v>
      </c>
      <c r="V30" s="1">
        <f t="shared" si="13"/>
        <v>4.8888888888888893</v>
      </c>
      <c r="X30" s="1">
        <v>0.12</v>
      </c>
      <c r="Y30" s="1">
        <v>3.9193479999999998</v>
      </c>
    </row>
    <row r="31" spans="2:25" s="1" customFormat="1" ht="15" x14ac:dyDescent="0.2">
      <c r="B31" s="1" t="s">
        <v>42</v>
      </c>
      <c r="C31" s="1">
        <v>450</v>
      </c>
      <c r="D31" s="1">
        <f t="shared" si="0"/>
        <v>1.3518385003604902</v>
      </c>
      <c r="F31" s="1">
        <v>39.165150596320998</v>
      </c>
      <c r="G31" s="2">
        <f t="shared" si="1"/>
        <v>1550</v>
      </c>
      <c r="H31" s="3">
        <f t="shared" si="2"/>
        <v>11.699863945578231</v>
      </c>
      <c r="J31" s="1">
        <v>19.077004744368136</v>
      </c>
      <c r="K31" s="2">
        <f t="shared" si="3"/>
        <v>950</v>
      </c>
      <c r="L31" s="4">
        <f t="shared" si="4"/>
        <v>39.041481481481483</v>
      </c>
      <c r="M31" s="8">
        <f t="shared" si="5"/>
        <v>1022.9449999999999</v>
      </c>
      <c r="N31" s="2">
        <f t="shared" si="6"/>
        <v>0.29967776584317934</v>
      </c>
      <c r="O31" s="6">
        <f t="shared" si="7"/>
        <v>0.27830809823697306</v>
      </c>
      <c r="P31" s="8">
        <f t="shared" si="8"/>
        <v>42.039250814814814</v>
      </c>
      <c r="Q31" s="7">
        <f t="shared" si="9"/>
        <v>3.5931401433691756</v>
      </c>
      <c r="S31" s="9">
        <f t="shared" si="10"/>
        <v>1823.5294117647059</v>
      </c>
      <c r="T31" s="9">
        <f t="shared" si="11"/>
        <v>676.47058823529414</v>
      </c>
      <c r="U31" s="9">
        <f t="shared" si="12"/>
        <v>2500</v>
      </c>
      <c r="V31" s="1">
        <f t="shared" si="13"/>
        <v>5.5555555555555554</v>
      </c>
      <c r="X31" s="1">
        <v>0.12</v>
      </c>
      <c r="Y31" s="1">
        <v>3.9193479999999998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FBC9-A492-4DFA-B92D-199D27727D05}">
  <dimension ref="B1:V18"/>
  <sheetViews>
    <sheetView workbookViewId="0">
      <selection activeCell="K4" sqref="K4"/>
    </sheetView>
  </sheetViews>
  <sheetFormatPr defaultRowHeight="14.25" x14ac:dyDescent="0.2"/>
  <sheetData>
    <row r="1" spans="2:22" ht="15" x14ac:dyDescent="0.2">
      <c r="B1" t="s">
        <v>61</v>
      </c>
      <c r="E1" t="s">
        <v>68</v>
      </c>
      <c r="F1" t="s">
        <v>69</v>
      </c>
      <c r="G1" t="s">
        <v>70</v>
      </c>
      <c r="I1" t="s">
        <v>71</v>
      </c>
      <c r="J1" t="s">
        <v>75</v>
      </c>
      <c r="K1" t="s">
        <v>72</v>
      </c>
      <c r="L1" t="s">
        <v>76</v>
      </c>
      <c r="O1" t="s">
        <v>77</v>
      </c>
      <c r="Q1" t="s">
        <v>78</v>
      </c>
      <c r="R1" t="s">
        <v>79</v>
      </c>
      <c r="S1" t="s">
        <v>80</v>
      </c>
      <c r="U1" s="15" t="s">
        <v>81</v>
      </c>
      <c r="V1" s="15" t="s">
        <v>82</v>
      </c>
    </row>
    <row r="2" spans="2:22" s="1" customFormat="1" ht="15" x14ac:dyDescent="0.2">
      <c r="E2" s="1" t="s">
        <v>4</v>
      </c>
      <c r="F2" s="1" t="s">
        <v>5</v>
      </c>
      <c r="G2" s="2" t="s">
        <v>6</v>
      </c>
      <c r="H2" s="3" t="s">
        <v>7</v>
      </c>
      <c r="I2" s="1" t="s">
        <v>8</v>
      </c>
      <c r="J2" s="1" t="s">
        <v>5</v>
      </c>
      <c r="K2" s="2" t="s">
        <v>6</v>
      </c>
      <c r="L2" s="4" t="s">
        <v>43</v>
      </c>
      <c r="M2" s="8"/>
      <c r="N2" s="2"/>
      <c r="O2" s="18" t="s">
        <v>84</v>
      </c>
      <c r="P2" s="8"/>
      <c r="Q2" s="7" t="s">
        <v>13</v>
      </c>
    </row>
    <row r="3" spans="2:22" s="1" customFormat="1" ht="15" x14ac:dyDescent="0.2">
      <c r="B3" s="1" t="s">
        <v>44</v>
      </c>
      <c r="F3" s="1">
        <v>30</v>
      </c>
      <c r="G3" s="2">
        <f>F3*46.56*0.85</f>
        <v>1187.2800000000002</v>
      </c>
      <c r="H3" s="3"/>
      <c r="J3" s="1">
        <v>0</v>
      </c>
      <c r="K3" s="2">
        <f>J3*35.46+F3*46.56*0.15</f>
        <v>209.52</v>
      </c>
      <c r="L3" s="4">
        <f>G3/(G3+K3)*100</f>
        <v>85</v>
      </c>
      <c r="M3" s="8"/>
      <c r="N3" s="2"/>
      <c r="O3" s="10">
        <f>(G3/98)/(K3/18)</f>
        <v>1.0408163265306123</v>
      </c>
      <c r="P3" s="8"/>
      <c r="Q3" s="7">
        <f>(K3/18)/(G3/98)</f>
        <v>0.96078431372549011</v>
      </c>
      <c r="R3" s="9">
        <f>F3*46.56</f>
        <v>1396.8000000000002</v>
      </c>
      <c r="S3" s="9">
        <f>J3*35.46</f>
        <v>0</v>
      </c>
      <c r="U3" s="1">
        <v>0.7</v>
      </c>
      <c r="V3" s="1">
        <v>0.1963</v>
      </c>
    </row>
    <row r="4" spans="2:22" s="11" customFormat="1" ht="15" x14ac:dyDescent="0.2">
      <c r="B4" s="11" t="s">
        <v>45</v>
      </c>
      <c r="F4" s="11">
        <v>30</v>
      </c>
      <c r="G4" s="12">
        <f t="shared" ref="G4:G18" si="0">F4*46.56*0.85</f>
        <v>1187.2800000000002</v>
      </c>
      <c r="H4" s="12"/>
      <c r="J4" s="11">
        <v>0</v>
      </c>
      <c r="K4" s="12">
        <f>F4*46.56*0.15</f>
        <v>209.52</v>
      </c>
      <c r="L4" s="13">
        <f t="shared" ref="L4:L18" si="1">G4/(G4+K4)*100</f>
        <v>85</v>
      </c>
      <c r="M4" s="13"/>
      <c r="N4" s="12"/>
      <c r="O4" s="12">
        <f t="shared" ref="O4:O18" si="2">(G4/98)/(K4/18)</f>
        <v>1.0408163265306123</v>
      </c>
      <c r="P4" s="13"/>
      <c r="Q4" s="12">
        <f t="shared" ref="Q4:Q18" si="3">(K4/18)/(G4/98)</f>
        <v>0.96078431372549011</v>
      </c>
      <c r="R4" s="14">
        <f t="shared" ref="R4:R18" si="4">F4*46.56</f>
        <v>1396.8000000000002</v>
      </c>
      <c r="S4" s="14">
        <f t="shared" ref="S4:S18" si="5">J4*35.46</f>
        <v>0</v>
      </c>
      <c r="U4" s="1">
        <v>0.7</v>
      </c>
      <c r="V4" s="1">
        <v>0.1963</v>
      </c>
    </row>
    <row r="5" spans="2:22" s="1" customFormat="1" ht="15" x14ac:dyDescent="0.2">
      <c r="B5" s="1" t="s">
        <v>46</v>
      </c>
      <c r="F5" s="1">
        <v>8</v>
      </c>
      <c r="G5" s="2">
        <f t="shared" si="0"/>
        <v>316.608</v>
      </c>
      <c r="H5" s="3"/>
      <c r="J5" s="1">
        <v>20</v>
      </c>
      <c r="K5" s="2">
        <f t="shared" ref="K5:K18" si="6">J5*35.46+F5*46.56*0.15</f>
        <v>765.072</v>
      </c>
      <c r="L5" s="4">
        <f t="shared" si="1"/>
        <v>29.270024406478811</v>
      </c>
      <c r="M5" s="8"/>
      <c r="N5" s="2"/>
      <c r="O5" s="10">
        <f t="shared" si="2"/>
        <v>7.6009172726120372E-2</v>
      </c>
      <c r="P5" s="8"/>
      <c r="Q5" s="7">
        <f t="shared" si="3"/>
        <v>13.156306852637963</v>
      </c>
      <c r="R5" s="9">
        <f t="shared" si="4"/>
        <v>372.48</v>
      </c>
      <c r="S5" s="9">
        <f t="shared" si="5"/>
        <v>709.2</v>
      </c>
      <c r="U5" s="1">
        <v>0.7</v>
      </c>
      <c r="V5" s="1">
        <v>0.1963</v>
      </c>
    </row>
    <row r="6" spans="2:22" s="1" customFormat="1" ht="15" x14ac:dyDescent="0.2">
      <c r="B6" s="1" t="s">
        <v>47</v>
      </c>
      <c r="F6" s="1">
        <v>2</v>
      </c>
      <c r="G6" s="2">
        <f t="shared" si="0"/>
        <v>79.152000000000001</v>
      </c>
      <c r="H6" s="3"/>
      <c r="I6" s="2"/>
      <c r="J6" s="1">
        <v>18</v>
      </c>
      <c r="K6" s="2">
        <f t="shared" si="6"/>
        <v>652.24799999999993</v>
      </c>
      <c r="L6" s="4">
        <f t="shared" si="1"/>
        <v>10.821985233798195</v>
      </c>
      <c r="M6" s="8"/>
      <c r="N6" s="2"/>
      <c r="O6" s="10">
        <f t="shared" si="2"/>
        <v>2.2289255695655017E-2</v>
      </c>
      <c r="P6" s="8"/>
      <c r="Q6" s="7">
        <f t="shared" si="3"/>
        <v>44.864665453810389</v>
      </c>
      <c r="R6" s="9">
        <f t="shared" si="4"/>
        <v>93.12</v>
      </c>
      <c r="S6" s="9">
        <f t="shared" si="5"/>
        <v>638.28</v>
      </c>
      <c r="U6" s="1">
        <v>0.7</v>
      </c>
      <c r="V6" s="1">
        <v>0.1963</v>
      </c>
    </row>
    <row r="7" spans="2:22" s="1" customFormat="1" ht="15" x14ac:dyDescent="0.2">
      <c r="B7" s="1" t="s">
        <v>48</v>
      </c>
      <c r="F7" s="1">
        <v>1</v>
      </c>
      <c r="G7" s="2">
        <f t="shared" si="0"/>
        <v>39.576000000000001</v>
      </c>
      <c r="H7" s="3"/>
      <c r="I7" s="2"/>
      <c r="J7" s="1">
        <v>30</v>
      </c>
      <c r="K7" s="2">
        <f t="shared" si="6"/>
        <v>1070.7839999999999</v>
      </c>
      <c r="L7" s="4">
        <f t="shared" si="1"/>
        <v>3.5642494326164487</v>
      </c>
      <c r="M7" s="8"/>
      <c r="N7" s="2"/>
      <c r="O7" s="10">
        <f t="shared" si="2"/>
        <v>6.7885411292004701E-3</v>
      </c>
      <c r="P7" s="8"/>
      <c r="Q7" s="7">
        <f t="shared" si="3"/>
        <v>147.30705478067514</v>
      </c>
      <c r="R7" s="9">
        <f t="shared" si="4"/>
        <v>46.56</v>
      </c>
      <c r="S7" s="9">
        <f t="shared" si="5"/>
        <v>1063.8</v>
      </c>
      <c r="U7" s="1">
        <v>0.7</v>
      </c>
      <c r="V7" s="1">
        <v>0.1963</v>
      </c>
    </row>
    <row r="8" spans="2:22" s="1" customFormat="1" ht="15" x14ac:dyDescent="0.2">
      <c r="B8" s="1" t="s">
        <v>49</v>
      </c>
      <c r="F8" s="1">
        <v>4</v>
      </c>
      <c r="G8" s="2">
        <f t="shared" si="0"/>
        <v>158.304</v>
      </c>
      <c r="H8" s="3"/>
      <c r="I8" s="2"/>
      <c r="J8" s="1">
        <v>20</v>
      </c>
      <c r="K8" s="2">
        <f t="shared" si="6"/>
        <v>737.13600000000008</v>
      </c>
      <c r="L8" s="4">
        <f t="shared" si="1"/>
        <v>17.678906459394263</v>
      </c>
      <c r="M8" s="8"/>
      <c r="N8" s="2"/>
      <c r="O8" s="10">
        <f t="shared" si="2"/>
        <v>3.944488520158991E-2</v>
      </c>
      <c r="P8" s="8"/>
      <c r="Q8" s="7">
        <f t="shared" si="3"/>
        <v>25.351829391550439</v>
      </c>
      <c r="R8" s="9">
        <f t="shared" si="4"/>
        <v>186.24</v>
      </c>
      <c r="S8" s="9">
        <f t="shared" si="5"/>
        <v>709.2</v>
      </c>
      <c r="U8" s="1">
        <v>0.7</v>
      </c>
      <c r="V8" s="1">
        <v>0.1963</v>
      </c>
    </row>
    <row r="9" spans="2:22" s="1" customFormat="1" ht="15" x14ac:dyDescent="0.2">
      <c r="B9" s="1" t="s">
        <v>50</v>
      </c>
      <c r="F9" s="1">
        <v>0</v>
      </c>
      <c r="G9" s="2">
        <f t="shared" si="0"/>
        <v>0</v>
      </c>
      <c r="H9" s="3"/>
      <c r="I9" s="2"/>
      <c r="J9" s="1">
        <v>30</v>
      </c>
      <c r="K9" s="2">
        <f t="shared" si="6"/>
        <v>1063.8</v>
      </c>
      <c r="L9" s="4">
        <f t="shared" si="1"/>
        <v>0</v>
      </c>
      <c r="M9" s="8"/>
      <c r="N9" s="2"/>
      <c r="O9" s="10">
        <f t="shared" si="2"/>
        <v>0</v>
      </c>
      <c r="P9" s="8"/>
      <c r="Q9" s="7" t="e">
        <f t="shared" si="3"/>
        <v>#DIV/0!</v>
      </c>
      <c r="R9" s="9">
        <f t="shared" si="4"/>
        <v>0</v>
      </c>
      <c r="S9" s="9">
        <f t="shared" si="5"/>
        <v>1063.8</v>
      </c>
      <c r="U9" s="1">
        <v>0.7</v>
      </c>
      <c r="V9" s="1">
        <v>0.1963</v>
      </c>
    </row>
    <row r="10" spans="2:22" s="1" customFormat="1" ht="15" x14ac:dyDescent="0.2">
      <c r="B10" s="1" t="s">
        <v>51</v>
      </c>
      <c r="F10" s="1">
        <v>1</v>
      </c>
      <c r="G10" s="2">
        <f t="shared" si="0"/>
        <v>39.576000000000001</v>
      </c>
      <c r="H10" s="3"/>
      <c r="I10" s="2"/>
      <c r="J10" s="1">
        <v>18</v>
      </c>
      <c r="K10" s="2">
        <f t="shared" si="6"/>
        <v>645.26400000000001</v>
      </c>
      <c r="L10" s="4">
        <f t="shared" si="1"/>
        <v>5.7788680567723851</v>
      </c>
      <c r="M10" s="8"/>
      <c r="N10" s="2"/>
      <c r="O10" s="10">
        <f t="shared" si="2"/>
        <v>1.1265251469925172E-2</v>
      </c>
      <c r="P10" s="8"/>
      <c r="Q10" s="7">
        <f t="shared" si="3"/>
        <v>88.768546593895294</v>
      </c>
      <c r="R10" s="9">
        <f t="shared" si="4"/>
        <v>46.56</v>
      </c>
      <c r="S10" s="9">
        <f t="shared" si="5"/>
        <v>638.28</v>
      </c>
      <c r="U10" s="1">
        <v>0.7</v>
      </c>
      <c r="V10" s="1">
        <v>0.1963</v>
      </c>
    </row>
    <row r="11" spans="2:22" s="1" customFormat="1" ht="15" x14ac:dyDescent="0.2">
      <c r="B11" s="1" t="s">
        <v>52</v>
      </c>
      <c r="F11" s="1">
        <v>12</v>
      </c>
      <c r="G11" s="2">
        <f t="shared" si="0"/>
        <v>474.91200000000003</v>
      </c>
      <c r="H11" s="3"/>
      <c r="I11" s="2"/>
      <c r="J11" s="1">
        <v>6</v>
      </c>
      <c r="K11" s="2">
        <f t="shared" si="6"/>
        <v>296.56799999999998</v>
      </c>
      <c r="L11" s="4">
        <f t="shared" si="1"/>
        <v>61.558562762482502</v>
      </c>
      <c r="M11" s="8"/>
      <c r="N11" s="2"/>
      <c r="O11" s="10">
        <f t="shared" si="2"/>
        <v>0.29412726488993274</v>
      </c>
      <c r="P11" s="8"/>
      <c r="Q11" s="7">
        <f t="shared" si="3"/>
        <v>3.3998888215079841</v>
      </c>
      <c r="R11" s="9">
        <f t="shared" si="4"/>
        <v>558.72</v>
      </c>
      <c r="S11" s="9">
        <f t="shared" si="5"/>
        <v>212.76</v>
      </c>
      <c r="U11" s="1">
        <v>0.8</v>
      </c>
      <c r="V11" s="1">
        <v>0.1963</v>
      </c>
    </row>
    <row r="12" spans="2:22" s="1" customFormat="1" ht="15" x14ac:dyDescent="0.2">
      <c r="B12" s="1" t="s">
        <v>53</v>
      </c>
      <c r="F12" s="1">
        <v>14</v>
      </c>
      <c r="G12" s="2">
        <f t="shared" si="0"/>
        <v>554.06399999999996</v>
      </c>
      <c r="H12" s="3"/>
      <c r="I12" s="2"/>
      <c r="J12" s="1">
        <v>4</v>
      </c>
      <c r="K12" s="2">
        <f t="shared" si="6"/>
        <v>239.61599999999999</v>
      </c>
      <c r="L12" s="4">
        <f t="shared" si="1"/>
        <v>69.809495010583618</v>
      </c>
      <c r="M12" s="8"/>
      <c r="N12" s="2"/>
      <c r="O12" s="10">
        <f t="shared" si="2"/>
        <v>0.42470810439560436</v>
      </c>
      <c r="P12" s="8"/>
      <c r="Q12" s="7">
        <f t="shared" si="3"/>
        <v>2.3545583181726299</v>
      </c>
      <c r="R12" s="9">
        <f t="shared" si="4"/>
        <v>651.84</v>
      </c>
      <c r="S12" s="9">
        <f t="shared" si="5"/>
        <v>141.84</v>
      </c>
      <c r="U12" s="1">
        <v>0.7</v>
      </c>
      <c r="V12" s="1">
        <v>0.1963</v>
      </c>
    </row>
    <row r="13" spans="2:22" s="1" customFormat="1" ht="15" x14ac:dyDescent="0.2">
      <c r="B13" s="1" t="s">
        <v>54</v>
      </c>
      <c r="F13" s="1">
        <v>16</v>
      </c>
      <c r="G13" s="2">
        <f t="shared" si="0"/>
        <v>633.21600000000001</v>
      </c>
      <c r="H13" s="3"/>
      <c r="J13" s="1">
        <v>7.5</v>
      </c>
      <c r="K13" s="2">
        <f t="shared" si="6"/>
        <v>377.69399999999996</v>
      </c>
      <c r="L13" s="4">
        <f t="shared" si="1"/>
        <v>62.638217051963082</v>
      </c>
      <c r="M13" s="8"/>
      <c r="N13" s="2"/>
      <c r="O13" s="10">
        <f t="shared" si="2"/>
        <v>0.30793441143316214</v>
      </c>
      <c r="P13" s="8"/>
      <c r="Q13" s="7">
        <f t="shared" si="3"/>
        <v>3.2474447897715781</v>
      </c>
      <c r="R13" s="9">
        <f t="shared" si="4"/>
        <v>744.96</v>
      </c>
      <c r="S13" s="9">
        <f t="shared" si="5"/>
        <v>265.95</v>
      </c>
      <c r="U13" s="1">
        <v>0.3</v>
      </c>
      <c r="V13" s="1">
        <v>0.1963</v>
      </c>
    </row>
    <row r="14" spans="2:22" s="1" customFormat="1" ht="15" x14ac:dyDescent="0.2">
      <c r="B14" s="1" t="s">
        <v>55</v>
      </c>
      <c r="F14" s="1">
        <v>36</v>
      </c>
      <c r="G14" s="2">
        <f t="shared" si="0"/>
        <v>1424.7360000000001</v>
      </c>
      <c r="H14" s="3"/>
      <c r="I14" s="2"/>
      <c r="J14" s="1">
        <v>11</v>
      </c>
      <c r="K14" s="2">
        <f t="shared" si="6"/>
        <v>641.48400000000004</v>
      </c>
      <c r="L14" s="4">
        <f t="shared" si="1"/>
        <v>68.953741615123263</v>
      </c>
      <c r="M14" s="8"/>
      <c r="N14" s="2"/>
      <c r="O14" s="10">
        <f t="shared" si="2"/>
        <v>0.40793878581793563</v>
      </c>
      <c r="P14" s="8"/>
      <c r="Q14" s="7">
        <f t="shared" si="3"/>
        <v>2.4513481795925705</v>
      </c>
      <c r="R14" s="9">
        <f t="shared" si="4"/>
        <v>1676.16</v>
      </c>
      <c r="S14" s="9">
        <f t="shared" si="5"/>
        <v>390.06</v>
      </c>
      <c r="U14" s="1">
        <v>0.3</v>
      </c>
      <c r="V14" s="1">
        <v>0.1963</v>
      </c>
    </row>
    <row r="15" spans="2:22" s="1" customFormat="1" ht="15" x14ac:dyDescent="0.2">
      <c r="B15" s="1" t="s">
        <v>56</v>
      </c>
      <c r="F15" s="1">
        <v>40</v>
      </c>
      <c r="G15" s="2">
        <f t="shared" si="0"/>
        <v>1583.04</v>
      </c>
      <c r="H15" s="3"/>
      <c r="I15" s="2"/>
      <c r="J15" s="1">
        <v>7</v>
      </c>
      <c r="K15" s="2">
        <f t="shared" si="6"/>
        <v>527.58000000000004</v>
      </c>
      <c r="L15" s="4">
        <f t="shared" si="1"/>
        <v>75.003553458225554</v>
      </c>
      <c r="M15" s="8"/>
      <c r="N15" s="2"/>
      <c r="O15" s="10">
        <f t="shared" si="2"/>
        <v>0.55112485116871723</v>
      </c>
      <c r="P15" s="8"/>
      <c r="Q15" s="7">
        <f t="shared" si="3"/>
        <v>1.8144708914493635</v>
      </c>
      <c r="R15" s="9">
        <f t="shared" si="4"/>
        <v>1862.4</v>
      </c>
      <c r="S15" s="9">
        <f t="shared" si="5"/>
        <v>248.22</v>
      </c>
      <c r="U15" s="1">
        <v>0.3</v>
      </c>
      <c r="V15" s="1">
        <v>0.1963</v>
      </c>
    </row>
    <row r="16" spans="2:22" s="1" customFormat="1" ht="15" x14ac:dyDescent="0.2">
      <c r="B16" s="1" t="s">
        <v>57</v>
      </c>
      <c r="F16" s="1">
        <v>26</v>
      </c>
      <c r="G16" s="2">
        <f t="shared" si="0"/>
        <v>1028.9759999999999</v>
      </c>
      <c r="H16" s="3"/>
      <c r="I16" s="2"/>
      <c r="J16" s="1">
        <v>21</v>
      </c>
      <c r="K16" s="2">
        <f t="shared" si="6"/>
        <v>926.24399999999991</v>
      </c>
      <c r="L16" s="4">
        <f t="shared" si="1"/>
        <v>52.627121244668118</v>
      </c>
      <c r="M16" s="8"/>
      <c r="N16" s="2"/>
      <c r="O16" s="10">
        <f t="shared" si="2"/>
        <v>0.20404514559525858</v>
      </c>
      <c r="P16" s="8"/>
      <c r="Q16" s="7">
        <f t="shared" si="3"/>
        <v>4.900876210912597</v>
      </c>
      <c r="R16" s="9">
        <f t="shared" si="4"/>
        <v>1210.56</v>
      </c>
      <c r="S16" s="9">
        <f t="shared" si="5"/>
        <v>744.66</v>
      </c>
      <c r="U16" s="1">
        <v>0.3</v>
      </c>
      <c r="V16" s="1">
        <v>0.1963</v>
      </c>
    </row>
    <row r="17" spans="2:22" s="1" customFormat="1" ht="15" x14ac:dyDescent="0.2">
      <c r="B17" s="1" t="s">
        <v>58</v>
      </c>
      <c r="F17" s="1">
        <v>20</v>
      </c>
      <c r="G17" s="2">
        <f t="shared" si="0"/>
        <v>791.52</v>
      </c>
      <c r="H17" s="3"/>
      <c r="I17" s="2"/>
      <c r="J17" s="1">
        <v>23</v>
      </c>
      <c r="K17" s="2">
        <f t="shared" si="6"/>
        <v>955.26</v>
      </c>
      <c r="L17" s="4">
        <f t="shared" si="1"/>
        <v>45.313090371998769</v>
      </c>
      <c r="M17" s="8"/>
      <c r="N17" s="2"/>
      <c r="O17" s="10">
        <f t="shared" si="2"/>
        <v>0.15219021469526195</v>
      </c>
      <c r="P17" s="8"/>
      <c r="Q17" s="7">
        <f t="shared" si="3"/>
        <v>6.5707246816252276</v>
      </c>
      <c r="R17" s="9">
        <f t="shared" si="4"/>
        <v>931.2</v>
      </c>
      <c r="S17" s="9">
        <f t="shared" si="5"/>
        <v>815.58</v>
      </c>
      <c r="U17" s="1">
        <v>0.3</v>
      </c>
      <c r="V17" s="1">
        <v>0.1963</v>
      </c>
    </row>
    <row r="18" spans="2:22" s="1" customFormat="1" ht="15" x14ac:dyDescent="0.2">
      <c r="B18" s="1" t="s">
        <v>59</v>
      </c>
      <c r="F18" s="1">
        <v>10</v>
      </c>
      <c r="G18" s="2">
        <f t="shared" si="0"/>
        <v>395.76</v>
      </c>
      <c r="H18" s="3"/>
      <c r="I18" s="2"/>
      <c r="J18" s="1">
        <v>28</v>
      </c>
      <c r="K18" s="2">
        <f t="shared" si="6"/>
        <v>1062.72</v>
      </c>
      <c r="L18" s="4">
        <f t="shared" si="1"/>
        <v>27.135099555701824</v>
      </c>
      <c r="M18" s="8"/>
      <c r="N18" s="2"/>
      <c r="O18" s="10">
        <f t="shared" si="2"/>
        <v>6.840053094408495E-2</v>
      </c>
      <c r="P18" s="8"/>
      <c r="Q18" s="7">
        <f t="shared" si="3"/>
        <v>14.619769557307459</v>
      </c>
      <c r="R18" s="9">
        <f t="shared" si="4"/>
        <v>465.6</v>
      </c>
      <c r="S18" s="9">
        <f t="shared" si="5"/>
        <v>992.88</v>
      </c>
      <c r="U18" s="1">
        <v>0.3</v>
      </c>
      <c r="V18" s="1">
        <v>0.1963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4DDD-E683-4F55-B382-87E49B82557E}">
  <dimension ref="A1:Y10"/>
  <sheetViews>
    <sheetView workbookViewId="0">
      <selection activeCell="X3" sqref="X3:Y4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71</v>
      </c>
      <c r="F1" t="s">
        <v>75</v>
      </c>
      <c r="G1" t="s">
        <v>122</v>
      </c>
      <c r="H1" t="s">
        <v>123</v>
      </c>
      <c r="I1" t="s">
        <v>89</v>
      </c>
      <c r="J1" t="s">
        <v>124</v>
      </c>
      <c r="K1" s="21" t="s">
        <v>126</v>
      </c>
      <c r="L1" s="21" t="s">
        <v>127</v>
      </c>
      <c r="X1" s="15" t="s">
        <v>81</v>
      </c>
      <c r="Y1" s="15" t="s">
        <v>82</v>
      </c>
    </row>
    <row r="2" spans="1:25" s="1" customFormat="1" ht="15" x14ac:dyDescent="0.2">
      <c r="A2" s="1" t="s">
        <v>0</v>
      </c>
      <c r="B2" s="1" t="s">
        <v>1</v>
      </c>
      <c r="C2" s="1" t="s">
        <v>90</v>
      </c>
      <c r="D2" s="1" t="s">
        <v>3</v>
      </c>
      <c r="E2" s="1" t="s">
        <v>91</v>
      </c>
      <c r="F2" s="1" t="s">
        <v>5</v>
      </c>
      <c r="G2" s="2" t="s">
        <v>92</v>
      </c>
      <c r="H2" s="3" t="s">
        <v>93</v>
      </c>
      <c r="I2" s="2" t="s">
        <v>83</v>
      </c>
      <c r="J2" s="1" t="s">
        <v>125</v>
      </c>
      <c r="K2" s="15" t="s">
        <v>81</v>
      </c>
      <c r="L2" s="15" t="s">
        <v>82</v>
      </c>
      <c r="M2" s="8"/>
      <c r="N2" s="2"/>
      <c r="O2" s="6"/>
      <c r="P2" s="5"/>
      <c r="Q2" s="7"/>
      <c r="V2" s="16"/>
    </row>
    <row r="3" spans="1:25" ht="15" x14ac:dyDescent="0.2">
      <c r="A3" s="1"/>
      <c r="B3" s="1" t="s">
        <v>94</v>
      </c>
      <c r="C3" s="1">
        <v>450</v>
      </c>
      <c r="D3" s="1">
        <f>C3/332.88</f>
        <v>1.3518385003604902</v>
      </c>
      <c r="E3" s="1"/>
      <c r="F3" s="1">
        <v>45</v>
      </c>
      <c r="G3" s="2">
        <f>F3*2.053</f>
        <v>92.384999999999991</v>
      </c>
      <c r="H3" s="3">
        <f>G3/D3</f>
        <v>68.340263999999991</v>
      </c>
      <c r="I3" s="2">
        <f>G3*18/C3</f>
        <v>3.6953999999999998</v>
      </c>
      <c r="J3" s="1">
        <v>0</v>
      </c>
      <c r="K3" s="1">
        <v>0.12</v>
      </c>
      <c r="L3" s="1">
        <v>3.9193479999999998</v>
      </c>
      <c r="M3" s="8"/>
      <c r="N3" s="2"/>
      <c r="O3" s="6"/>
      <c r="P3" s="8"/>
      <c r="Q3" s="7"/>
      <c r="X3" s="1">
        <v>0.12</v>
      </c>
      <c r="Y3" s="1">
        <v>3.9193479999999998</v>
      </c>
    </row>
    <row r="4" spans="1:25" ht="15" x14ac:dyDescent="0.2">
      <c r="A4" s="1"/>
      <c r="B4" s="1" t="s">
        <v>95</v>
      </c>
      <c r="C4" s="1">
        <v>450</v>
      </c>
      <c r="D4" s="1">
        <f>C4/332.88</f>
        <v>1.3518385003604902</v>
      </c>
      <c r="E4" s="1"/>
      <c r="F4" s="1">
        <v>30</v>
      </c>
      <c r="G4" s="2">
        <f t="shared" ref="G4" si="0">F4*2.053</f>
        <v>61.589999999999996</v>
      </c>
      <c r="H4" s="3">
        <f t="shared" ref="H4" si="1">G4/D4</f>
        <v>45.560175999999998</v>
      </c>
      <c r="I4" s="2">
        <f>G4*18/C4</f>
        <v>2.4635999999999996</v>
      </c>
      <c r="J4" s="1">
        <v>0</v>
      </c>
      <c r="K4" s="1">
        <v>0.12</v>
      </c>
      <c r="L4" s="1">
        <v>3.9193479999999998</v>
      </c>
      <c r="M4" s="8"/>
      <c r="N4" s="2"/>
      <c r="O4" s="6"/>
      <c r="P4" s="8"/>
      <c r="Q4" s="7"/>
      <c r="X4" s="1">
        <v>0.12</v>
      </c>
      <c r="Y4" s="1">
        <v>3.9193479999999998</v>
      </c>
    </row>
    <row r="5" spans="1:25" ht="15" x14ac:dyDescent="0.2">
      <c r="A5" s="1"/>
      <c r="B5" s="1"/>
      <c r="C5" s="1"/>
      <c r="D5" s="1"/>
      <c r="E5" s="1"/>
      <c r="F5" s="1"/>
      <c r="G5" s="2"/>
      <c r="H5" s="3"/>
      <c r="I5" s="2"/>
      <c r="J5" s="1"/>
      <c r="K5" s="2"/>
      <c r="L5" s="4"/>
      <c r="M5" s="8"/>
      <c r="N5" s="2"/>
      <c r="O5" s="6"/>
      <c r="P5" s="8"/>
      <c r="Q5" s="7"/>
    </row>
    <row r="6" spans="1:25" ht="15" x14ac:dyDescent="0.2">
      <c r="A6" s="1"/>
      <c r="B6" s="1"/>
      <c r="C6" s="1"/>
      <c r="D6" s="1"/>
      <c r="E6" s="1"/>
      <c r="F6" s="1"/>
      <c r="G6" s="2"/>
      <c r="H6" s="3"/>
      <c r="I6" s="2"/>
      <c r="J6" s="1"/>
      <c r="K6" s="2"/>
      <c r="L6" s="4"/>
      <c r="M6" s="8"/>
      <c r="N6" s="2"/>
      <c r="O6" s="6"/>
      <c r="P6" s="8"/>
      <c r="Q6" s="7"/>
    </row>
    <row r="7" spans="1:25" ht="15" x14ac:dyDescent="0.2">
      <c r="A7" s="1"/>
      <c r="B7" s="1"/>
      <c r="C7" s="1"/>
      <c r="D7" s="1"/>
      <c r="E7" s="1"/>
      <c r="F7" s="1"/>
      <c r="G7" s="2"/>
      <c r="H7" s="3"/>
      <c r="I7" s="1"/>
      <c r="J7" s="1"/>
      <c r="K7" s="2"/>
      <c r="L7" s="4"/>
      <c r="M7" s="8"/>
      <c r="N7" s="2"/>
      <c r="O7" s="6"/>
      <c r="P7" s="8"/>
      <c r="Q7" s="7"/>
    </row>
    <row r="8" spans="1:25" ht="15" x14ac:dyDescent="0.2">
      <c r="A8" s="1"/>
      <c r="B8" s="1"/>
      <c r="C8" s="1"/>
      <c r="D8" s="1"/>
      <c r="E8" s="1"/>
      <c r="F8" s="1"/>
      <c r="G8" s="2"/>
      <c r="H8" s="3"/>
      <c r="I8" s="1"/>
      <c r="J8" s="1"/>
      <c r="K8" s="2"/>
      <c r="L8" s="4"/>
      <c r="M8" s="8"/>
      <c r="N8" s="2"/>
      <c r="O8" s="6"/>
      <c r="P8" s="8"/>
      <c r="Q8" s="7"/>
    </row>
    <row r="9" spans="1:25" ht="15" x14ac:dyDescent="0.2">
      <c r="A9" s="1"/>
      <c r="B9" s="1"/>
      <c r="C9" s="1"/>
      <c r="D9" s="1"/>
      <c r="E9" s="1"/>
      <c r="F9" s="1"/>
      <c r="G9" s="2"/>
      <c r="H9" s="3"/>
      <c r="I9" s="1"/>
      <c r="J9" s="1"/>
      <c r="K9" s="2"/>
      <c r="L9" s="4"/>
      <c r="M9" s="8"/>
      <c r="N9" s="2"/>
      <c r="O9" s="6"/>
      <c r="P9" s="8"/>
      <c r="Q9" s="7"/>
    </row>
    <row r="10" spans="1:25" ht="15" x14ac:dyDescent="0.2">
      <c r="A10" s="1"/>
      <c r="B10" s="1"/>
      <c r="C10" s="1"/>
      <c r="D10" s="1"/>
      <c r="E10" s="1"/>
      <c r="F10" s="1"/>
      <c r="G10" s="2"/>
      <c r="H10" s="3"/>
      <c r="I10" s="1"/>
      <c r="J10" s="1"/>
      <c r="K10" s="2"/>
      <c r="L10" s="4"/>
      <c r="M10" s="8"/>
      <c r="N10" s="2"/>
      <c r="O10" s="6"/>
      <c r="P10" s="8"/>
      <c r="Q10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B408-6F9E-4551-9E36-8476197D2678}">
  <dimension ref="A1:Y5"/>
  <sheetViews>
    <sheetView tabSelected="1" topLeftCell="G1" workbookViewId="0">
      <selection activeCell="X3" sqref="X3:Y5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128</v>
      </c>
      <c r="H1" t="s">
        <v>64</v>
      </c>
      <c r="I1" t="s">
        <v>71</v>
      </c>
      <c r="J1" t="s">
        <v>75</v>
      </c>
      <c r="K1" t="s">
        <v>129</v>
      </c>
      <c r="L1" t="s">
        <v>73</v>
      </c>
      <c r="M1" t="s">
        <v>77</v>
      </c>
      <c r="N1" t="s">
        <v>89</v>
      </c>
      <c r="O1" s="21" t="s">
        <v>126</v>
      </c>
      <c r="P1" s="21" t="s">
        <v>127</v>
      </c>
      <c r="X1" s="15" t="s">
        <v>81</v>
      </c>
      <c r="Y1" s="15" t="s">
        <v>82</v>
      </c>
    </row>
    <row r="2" spans="1:25" ht="15" x14ac:dyDescent="0.2">
      <c r="A2" s="1" t="s">
        <v>0</v>
      </c>
      <c r="B2" s="1" t="s">
        <v>1</v>
      </c>
      <c r="C2" s="1" t="s">
        <v>90</v>
      </c>
      <c r="D2" s="1" t="s">
        <v>3</v>
      </c>
      <c r="E2" s="1" t="s">
        <v>96</v>
      </c>
      <c r="F2" s="1" t="s">
        <v>5</v>
      </c>
      <c r="G2" s="2" t="s">
        <v>92</v>
      </c>
      <c r="H2" s="3" t="s">
        <v>93</v>
      </c>
      <c r="I2" s="1" t="s">
        <v>8</v>
      </c>
      <c r="J2" s="1" t="s">
        <v>5</v>
      </c>
      <c r="K2" s="2" t="s">
        <v>92</v>
      </c>
      <c r="L2" s="4" t="s">
        <v>93</v>
      </c>
      <c r="M2" s="8" t="s">
        <v>84</v>
      </c>
      <c r="N2" s="2" t="s">
        <v>97</v>
      </c>
      <c r="O2" s="15" t="s">
        <v>81</v>
      </c>
      <c r="P2" s="15" t="s">
        <v>82</v>
      </c>
    </row>
    <row r="3" spans="1:25" ht="15" x14ac:dyDescent="0.2">
      <c r="A3" s="1"/>
      <c r="B3" s="1" t="s">
        <v>98</v>
      </c>
      <c r="C3" s="1">
        <v>450</v>
      </c>
      <c r="D3" s="1">
        <f>C3/332.88</f>
        <v>1.3518385003604902</v>
      </c>
      <c r="E3" s="1"/>
      <c r="F3" s="1">
        <v>15</v>
      </c>
      <c r="G3" s="2">
        <f>F3*0.04</f>
        <v>0.6</v>
      </c>
      <c r="H3" s="3">
        <f t="shared" ref="H3:H5" si="0">G3/D3</f>
        <v>0.44384000000000001</v>
      </c>
      <c r="I3" s="1"/>
      <c r="J3" s="1">
        <v>15</v>
      </c>
      <c r="K3" s="2">
        <f>J3*2.053</f>
        <v>30.794999999999998</v>
      </c>
      <c r="L3" s="4">
        <f>K3/D3</f>
        <v>22.780087999999999</v>
      </c>
      <c r="M3" s="8">
        <f>G3/K3</f>
        <v>1.948368241597662E-2</v>
      </c>
      <c r="N3" s="2">
        <f>(660.04*G3+18*K3)/C3</f>
        <v>2.1118533333333329</v>
      </c>
      <c r="O3">
        <v>0.12</v>
      </c>
      <c r="P3">
        <v>3.9193479999999998</v>
      </c>
      <c r="X3">
        <v>0.12</v>
      </c>
      <c r="Y3">
        <v>3.9193479999999998</v>
      </c>
    </row>
    <row r="4" spans="1:25" ht="15" x14ac:dyDescent="0.2">
      <c r="A4" s="1"/>
      <c r="B4" s="1" t="s">
        <v>99</v>
      </c>
      <c r="C4" s="1">
        <v>450</v>
      </c>
      <c r="D4" s="1">
        <f t="shared" ref="D4:D5" si="1">C4/332.88</f>
        <v>1.3518385003604902</v>
      </c>
      <c r="E4" s="1"/>
      <c r="F4" s="1">
        <v>23</v>
      </c>
      <c r="G4" s="2">
        <f>F4*0.04</f>
        <v>0.92</v>
      </c>
      <c r="H4" s="3">
        <f t="shared" si="0"/>
        <v>0.68055466666666675</v>
      </c>
      <c r="I4" s="1"/>
      <c r="J4" s="1">
        <v>23</v>
      </c>
      <c r="K4" s="2">
        <f t="shared" ref="K4:K5" si="2">J4*2.053</f>
        <v>47.219000000000001</v>
      </c>
      <c r="L4" s="4">
        <f t="shared" ref="L4:L5" si="3">K4/D4</f>
        <v>34.929468266666667</v>
      </c>
      <c r="M4" s="8">
        <f t="shared" ref="M4:M5" si="4">G4/K4</f>
        <v>1.948368241597662E-2</v>
      </c>
      <c r="N4" s="2">
        <f t="shared" ref="N4:N5" si="5">(660.04*G4+18*K4)/C4</f>
        <v>3.2381751111111114</v>
      </c>
      <c r="O4">
        <v>0.12</v>
      </c>
      <c r="P4">
        <v>3.9193479999999998</v>
      </c>
      <c r="X4">
        <v>0.12</v>
      </c>
      <c r="Y4">
        <v>3.9193479999999998</v>
      </c>
    </row>
    <row r="5" spans="1:25" ht="15" x14ac:dyDescent="0.2">
      <c r="A5" s="1"/>
      <c r="B5" s="1" t="s">
        <v>130</v>
      </c>
      <c r="C5" s="1">
        <v>450</v>
      </c>
      <c r="D5" s="1">
        <f t="shared" si="1"/>
        <v>1.3518385003604902</v>
      </c>
      <c r="E5" s="1"/>
      <c r="F5" s="1">
        <v>20</v>
      </c>
      <c r="G5" s="2">
        <f>F5*0.04</f>
        <v>0.8</v>
      </c>
      <c r="H5" s="3">
        <f t="shared" si="0"/>
        <v>0.59178666666666668</v>
      </c>
      <c r="I5" s="1"/>
      <c r="J5" s="1">
        <v>20</v>
      </c>
      <c r="K5" s="2">
        <f t="shared" si="2"/>
        <v>41.06</v>
      </c>
      <c r="L5" s="4">
        <f t="shared" si="3"/>
        <v>30.37345066666667</v>
      </c>
      <c r="M5" s="8">
        <f t="shared" si="4"/>
        <v>1.948368241597662E-2</v>
      </c>
      <c r="N5" s="2">
        <f t="shared" si="5"/>
        <v>2.8158044444444448</v>
      </c>
      <c r="O5">
        <v>0.12</v>
      </c>
      <c r="P5">
        <v>3.9193479999999998</v>
      </c>
      <c r="X5">
        <v>0.12</v>
      </c>
      <c r="Y5">
        <v>3.9193479999999998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46E0-6577-4653-A055-01D545F8E7CA}">
  <dimension ref="A1:Y25"/>
  <sheetViews>
    <sheetView workbookViewId="0">
      <selection sqref="A1:XFD1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70</v>
      </c>
      <c r="H1" t="s">
        <v>64</v>
      </c>
      <c r="I1" t="s">
        <v>71</v>
      </c>
      <c r="J1" t="s">
        <v>75</v>
      </c>
      <c r="K1" t="s">
        <v>72</v>
      </c>
      <c r="L1" t="s">
        <v>73</v>
      </c>
      <c r="M1" t="s">
        <v>85</v>
      </c>
      <c r="N1" t="s">
        <v>86</v>
      </c>
      <c r="O1" t="s">
        <v>87</v>
      </c>
      <c r="P1" t="s">
        <v>88</v>
      </c>
      <c r="Q1" t="s">
        <v>74</v>
      </c>
      <c r="S1" t="s">
        <v>65</v>
      </c>
      <c r="T1" t="s">
        <v>66</v>
      </c>
      <c r="U1" t="s">
        <v>67</v>
      </c>
      <c r="V1" t="s">
        <v>89</v>
      </c>
      <c r="X1" s="15" t="s">
        <v>81</v>
      </c>
      <c r="Y1" s="15" t="s">
        <v>82</v>
      </c>
    </row>
    <row r="2" spans="1:25" ht="15" x14ac:dyDescent="0.2">
      <c r="A2" s="1" t="s">
        <v>101</v>
      </c>
      <c r="B2" s="19" t="s">
        <v>100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 t="s">
        <v>7</v>
      </c>
      <c r="I2" s="1" t="s">
        <v>8</v>
      </c>
      <c r="J2" s="1" t="s">
        <v>5</v>
      </c>
      <c r="K2" s="1" t="s">
        <v>2</v>
      </c>
      <c r="L2" s="4" t="s">
        <v>9</v>
      </c>
      <c r="M2" s="5" t="s">
        <v>10</v>
      </c>
      <c r="N2" s="2" t="s">
        <v>84</v>
      </c>
      <c r="O2" s="6" t="s">
        <v>11</v>
      </c>
      <c r="P2" s="8"/>
      <c r="Q2" s="7" t="s">
        <v>13</v>
      </c>
      <c r="R2" s="1"/>
      <c r="S2" s="9"/>
      <c r="T2" s="9"/>
      <c r="U2" s="9"/>
      <c r="V2" s="1" t="s">
        <v>83</v>
      </c>
      <c r="W2" s="1"/>
      <c r="X2" t="s">
        <v>126</v>
      </c>
      <c r="Y2" t="s">
        <v>127</v>
      </c>
    </row>
    <row r="3" spans="1:25" ht="15" x14ac:dyDescent="0.2">
      <c r="A3" s="1"/>
      <c r="B3" s="1" t="s">
        <v>103</v>
      </c>
      <c r="C3" s="1">
        <v>1500</v>
      </c>
      <c r="D3" s="1">
        <f>C3/263.88</f>
        <v>5.684402000909504</v>
      </c>
      <c r="E3" s="1"/>
      <c r="F3" s="1">
        <v>46</v>
      </c>
      <c r="G3" s="2">
        <f>F3*46.56*0.85</f>
        <v>1820.4960000000001</v>
      </c>
      <c r="H3" s="3">
        <f>G3/98/D3</f>
        <v>3.2679760848979598</v>
      </c>
      <c r="I3" s="1"/>
      <c r="J3" s="1">
        <v>21</v>
      </c>
      <c r="K3" s="2">
        <f>J3*35.46+F3*46.56*0.15</f>
        <v>1065.924</v>
      </c>
      <c r="L3" s="4">
        <f>K3/18/D3</f>
        <v>10.417630559999999</v>
      </c>
      <c r="M3" s="8">
        <f>J3*35.46+F3*46.56*0.15+C3*0.158</f>
        <v>1302.924</v>
      </c>
      <c r="N3" s="2">
        <f>(G3/98)/(K3/18)</f>
        <v>0.31369667661721723</v>
      </c>
      <c r="O3" s="6">
        <f>(G3/98)/(M3/18)</f>
        <v>0.25663570271675912</v>
      </c>
      <c r="P3" s="8"/>
      <c r="Q3" s="7">
        <f>(M3/18)/(G3/98)</f>
        <v>3.8965739739792515</v>
      </c>
      <c r="R3" s="1"/>
      <c r="S3" s="9">
        <f t="shared" ref="S3:S5" si="0">F3*46.56</f>
        <v>2141.7600000000002</v>
      </c>
      <c r="T3" s="9">
        <f t="shared" ref="T3:T5" si="1">J3*35.46</f>
        <v>744.66</v>
      </c>
      <c r="U3" s="9">
        <f t="shared" ref="U3:U5" si="2">S3+T3</f>
        <v>2886.42</v>
      </c>
      <c r="V3" s="1">
        <f t="shared" ref="V3:V5" si="3">U3/C3</f>
        <v>1.92428</v>
      </c>
      <c r="W3" s="1"/>
      <c r="X3">
        <v>0.12</v>
      </c>
      <c r="Y3">
        <v>3.9193479999999998</v>
      </c>
    </row>
    <row r="4" spans="1:25" ht="15" x14ac:dyDescent="0.2">
      <c r="A4" s="1"/>
      <c r="B4" s="1" t="s">
        <v>104</v>
      </c>
      <c r="C4" s="1">
        <v>1200</v>
      </c>
      <c r="D4" s="1">
        <f>C4/263.88</f>
        <v>4.5475216007276034</v>
      </c>
      <c r="E4" s="1"/>
      <c r="F4" s="1">
        <v>32</v>
      </c>
      <c r="G4" s="2">
        <f t="shared" ref="G4:G5" si="4">F4*46.56*0.85</f>
        <v>1266.432</v>
      </c>
      <c r="H4" s="3">
        <f t="shared" ref="H4:H5" si="5">G4/98/D4</f>
        <v>2.8417183346938777</v>
      </c>
      <c r="I4" s="1"/>
      <c r="J4" s="1">
        <v>15</v>
      </c>
      <c r="K4" s="2">
        <f t="shared" ref="K4:K5" si="6">J4*35.46+F4*46.56*0.15</f>
        <v>755.38799999999992</v>
      </c>
      <c r="L4" s="4">
        <f t="shared" ref="L4:L5" si="7">K4/18/D4</f>
        <v>9.228323399999999</v>
      </c>
      <c r="M4" s="8">
        <f t="shared" ref="M4:M5" si="8">J4*35.46+F4*46.56*0.15+C4*0.158</f>
        <v>944.98799999999994</v>
      </c>
      <c r="N4" s="2">
        <f t="shared" ref="N4:N5" si="9">(G4/98)/(K4/18)</f>
        <v>0.30793441143316214</v>
      </c>
      <c r="O4" s="6">
        <f t="shared" ref="O4:O5" si="10">(G4/98)/(M4/18)</f>
        <v>0.24615123068618169</v>
      </c>
      <c r="P4" s="8"/>
      <c r="Q4" s="7">
        <f t="shared" ref="Q4:Q5" si="11">(M4/18)/(G4/98)</f>
        <v>4.0625431658917863</v>
      </c>
      <c r="R4" s="1"/>
      <c r="S4" s="9">
        <f t="shared" si="0"/>
        <v>1489.92</v>
      </c>
      <c r="T4" s="9">
        <f t="shared" si="1"/>
        <v>531.9</v>
      </c>
      <c r="U4" s="9">
        <f t="shared" si="2"/>
        <v>2021.8200000000002</v>
      </c>
      <c r="V4" s="1">
        <f t="shared" si="3"/>
        <v>1.6848500000000002</v>
      </c>
      <c r="W4" s="1" t="s">
        <v>105</v>
      </c>
      <c r="X4">
        <v>0.12</v>
      </c>
      <c r="Y4">
        <v>3.9193479999999998</v>
      </c>
    </row>
    <row r="5" spans="1:25" ht="15" x14ac:dyDescent="0.2">
      <c r="A5" s="1"/>
      <c r="B5" s="1" t="s">
        <v>106</v>
      </c>
      <c r="C5" s="1">
        <v>1200</v>
      </c>
      <c r="D5" s="1">
        <f t="shared" ref="D5" si="12">C5/263.88</f>
        <v>4.5475216007276034</v>
      </c>
      <c r="E5" s="1"/>
      <c r="F5" s="1">
        <v>0</v>
      </c>
      <c r="G5" s="2">
        <f t="shared" si="4"/>
        <v>0</v>
      </c>
      <c r="H5" s="3">
        <f t="shared" si="5"/>
        <v>0</v>
      </c>
      <c r="I5" s="1"/>
      <c r="J5" s="1">
        <v>17</v>
      </c>
      <c r="K5" s="2">
        <f t="shared" si="6"/>
        <v>602.82000000000005</v>
      </c>
      <c r="L5" s="4">
        <f t="shared" si="7"/>
        <v>7.3644510000000007</v>
      </c>
      <c r="M5" s="8">
        <f t="shared" si="8"/>
        <v>792.42000000000007</v>
      </c>
      <c r="N5" s="2">
        <f t="shared" si="9"/>
        <v>0</v>
      </c>
      <c r="O5" s="6">
        <f t="shared" si="10"/>
        <v>0</v>
      </c>
      <c r="P5" s="8"/>
      <c r="Q5" s="7" t="e">
        <f t="shared" si="11"/>
        <v>#DIV/0!</v>
      </c>
      <c r="R5" s="1"/>
      <c r="S5" s="9">
        <f t="shared" si="0"/>
        <v>0</v>
      </c>
      <c r="T5" s="9">
        <f t="shared" si="1"/>
        <v>602.82000000000005</v>
      </c>
      <c r="U5" s="9">
        <f t="shared" si="2"/>
        <v>602.82000000000005</v>
      </c>
      <c r="V5" s="1">
        <f t="shared" si="3"/>
        <v>0.50235000000000007</v>
      </c>
      <c r="W5" s="1"/>
      <c r="X5">
        <v>0.12</v>
      </c>
      <c r="Y5">
        <v>3.9193479999999998</v>
      </c>
    </row>
    <row r="6" spans="1:25" ht="15" x14ac:dyDescent="0.2">
      <c r="A6" s="1"/>
      <c r="B6" s="20"/>
      <c r="C6" s="1"/>
      <c r="D6" s="1"/>
      <c r="E6" s="1"/>
      <c r="F6" s="1"/>
      <c r="G6" s="2"/>
      <c r="H6" s="3"/>
      <c r="I6" s="2"/>
      <c r="J6" s="1"/>
      <c r="K6" s="2"/>
      <c r="L6" s="4"/>
      <c r="M6" s="8"/>
      <c r="N6" s="2"/>
      <c r="O6" s="6"/>
      <c r="P6" s="8"/>
      <c r="Q6" s="7"/>
      <c r="R6" s="1"/>
      <c r="S6" s="9"/>
      <c r="T6" s="9"/>
      <c r="U6" s="9"/>
      <c r="V6" s="1"/>
      <c r="W6" s="1"/>
    </row>
    <row r="7" spans="1:25" ht="15" x14ac:dyDescent="0.2">
      <c r="A7" s="1"/>
      <c r="B7" s="19"/>
      <c r="C7" s="1"/>
      <c r="D7" s="1"/>
      <c r="E7" s="1"/>
      <c r="F7" s="1"/>
      <c r="G7" s="2"/>
      <c r="H7" s="3"/>
      <c r="I7" s="1"/>
      <c r="J7" s="1"/>
      <c r="K7" s="1"/>
      <c r="L7" s="4"/>
      <c r="M7" s="5"/>
      <c r="N7" s="2"/>
      <c r="O7" s="6"/>
      <c r="P7" s="8"/>
      <c r="Q7" s="7"/>
      <c r="R7" s="1"/>
      <c r="S7" s="9"/>
      <c r="T7" s="9"/>
      <c r="U7" s="9"/>
      <c r="V7" s="1"/>
      <c r="W7" s="1"/>
    </row>
    <row r="8" spans="1:25" ht="15" x14ac:dyDescent="0.2">
      <c r="A8" s="1"/>
      <c r="B8" s="1"/>
      <c r="C8" s="1"/>
      <c r="D8" s="1"/>
      <c r="E8" s="1"/>
      <c r="F8" s="1"/>
      <c r="G8" s="2"/>
      <c r="H8" s="3"/>
      <c r="I8" s="1"/>
      <c r="J8" s="1"/>
      <c r="K8" s="2"/>
      <c r="L8" s="4"/>
      <c r="M8" s="8"/>
      <c r="N8" s="2"/>
      <c r="O8" s="6"/>
      <c r="P8" s="8"/>
      <c r="Q8" s="7"/>
      <c r="R8" s="1"/>
      <c r="S8" s="9"/>
      <c r="T8" s="9"/>
      <c r="U8" s="9"/>
      <c r="V8" s="1"/>
      <c r="W8" s="1"/>
    </row>
    <row r="9" spans="1:25" ht="15" x14ac:dyDescent="0.2">
      <c r="A9" s="1"/>
      <c r="B9" s="1"/>
      <c r="C9" s="1"/>
      <c r="D9" s="1"/>
      <c r="E9" s="1"/>
      <c r="F9" s="1"/>
      <c r="G9" s="2"/>
      <c r="H9" s="3"/>
      <c r="I9" s="1"/>
      <c r="J9" s="1"/>
      <c r="K9" s="2"/>
      <c r="L9" s="4"/>
      <c r="M9" s="8"/>
      <c r="N9" s="2"/>
      <c r="O9" s="6"/>
      <c r="P9" s="8"/>
      <c r="Q9" s="7"/>
      <c r="R9" s="1"/>
      <c r="S9" s="9"/>
      <c r="T9" s="9"/>
      <c r="U9" s="9"/>
      <c r="V9" s="1"/>
      <c r="W9" s="1"/>
    </row>
    <row r="10" spans="1:25" ht="15" x14ac:dyDescent="0.2">
      <c r="A10" s="1"/>
      <c r="B10" s="1"/>
      <c r="C10" s="1"/>
      <c r="D10" s="1"/>
      <c r="E10" s="1"/>
      <c r="F10" s="1"/>
      <c r="G10" s="2"/>
      <c r="H10" s="3"/>
      <c r="I10" s="2"/>
      <c r="J10" s="1"/>
      <c r="K10" s="2"/>
      <c r="L10" s="4"/>
      <c r="M10" s="8"/>
      <c r="N10" s="2"/>
      <c r="O10" s="6"/>
      <c r="P10" s="8"/>
      <c r="Q10" s="7"/>
      <c r="R10" s="1"/>
      <c r="S10" s="1"/>
      <c r="T10" s="1"/>
      <c r="U10" s="9"/>
      <c r="V10" s="1"/>
      <c r="W10" s="1"/>
    </row>
    <row r="11" spans="1:25" ht="15" x14ac:dyDescent="0.2">
      <c r="A11" s="1"/>
      <c r="B11" s="1"/>
      <c r="C11" s="1"/>
      <c r="D11" s="1"/>
      <c r="E11" s="1"/>
      <c r="F11" s="1"/>
      <c r="G11" s="2"/>
      <c r="H11" s="3"/>
      <c r="I11" s="1"/>
      <c r="J11" s="1"/>
      <c r="K11" s="1"/>
      <c r="L11" s="4"/>
      <c r="M11" s="5"/>
      <c r="N11" s="2"/>
      <c r="O11" s="6"/>
      <c r="P11" s="8"/>
      <c r="Q11" s="7"/>
      <c r="R11" s="1"/>
      <c r="S11" s="1"/>
      <c r="T11" s="1"/>
      <c r="U11" s="9"/>
      <c r="V11" s="1"/>
      <c r="W11" s="1"/>
    </row>
    <row r="12" spans="1:25" ht="15" x14ac:dyDescent="0.2">
      <c r="A12" s="1"/>
      <c r="B12" s="1"/>
      <c r="C12" s="1"/>
      <c r="D12" s="1"/>
      <c r="E12" s="1"/>
      <c r="F12" s="1"/>
      <c r="G12" s="2"/>
      <c r="H12" s="3"/>
      <c r="I12" s="1"/>
      <c r="J12" s="1"/>
      <c r="K12" s="2"/>
      <c r="L12" s="4"/>
      <c r="M12" s="8"/>
      <c r="N12" s="2"/>
      <c r="O12" s="6"/>
      <c r="P12" s="8"/>
      <c r="Q12" s="7"/>
      <c r="R12" s="1"/>
      <c r="S12" s="9"/>
      <c r="T12" s="9"/>
      <c r="U12" s="9"/>
      <c r="V12" s="1"/>
      <c r="W12" s="1"/>
    </row>
    <row r="13" spans="1:25" ht="15" x14ac:dyDescent="0.2">
      <c r="A13" s="1"/>
      <c r="B13" s="1"/>
      <c r="C13" s="1"/>
      <c r="D13" s="1"/>
      <c r="E13" s="1"/>
      <c r="F13" s="1"/>
      <c r="G13" s="2"/>
      <c r="H13" s="3"/>
      <c r="I13" s="1"/>
      <c r="J13" s="1"/>
      <c r="K13" s="2"/>
      <c r="L13" s="4"/>
      <c r="M13" s="8"/>
      <c r="N13" s="2"/>
      <c r="O13" s="6"/>
      <c r="P13" s="8"/>
      <c r="Q13" s="7"/>
      <c r="R13" s="1"/>
      <c r="S13" s="9"/>
      <c r="T13" s="9"/>
      <c r="U13" s="9"/>
      <c r="V13" s="1"/>
      <c r="W13" s="1"/>
    </row>
    <row r="14" spans="1:25" ht="15" x14ac:dyDescent="0.2">
      <c r="A14" s="1"/>
      <c r="B14" s="20"/>
      <c r="C14" s="1"/>
      <c r="D14" s="1"/>
      <c r="E14" s="1"/>
      <c r="F14" s="1"/>
      <c r="G14" s="2"/>
      <c r="H14" s="3"/>
      <c r="I14" s="1"/>
      <c r="J14" s="1"/>
      <c r="K14" s="1"/>
      <c r="L14" s="4"/>
      <c r="M14" s="5"/>
      <c r="N14" s="2"/>
      <c r="O14" s="6"/>
      <c r="P14" s="8"/>
      <c r="Q14" s="7"/>
      <c r="R14" s="1"/>
      <c r="S14" s="9"/>
      <c r="T14" s="9"/>
      <c r="U14" s="9"/>
      <c r="V14" s="1"/>
      <c r="W14" s="1"/>
    </row>
    <row r="15" spans="1:25" ht="15" x14ac:dyDescent="0.2">
      <c r="A15" s="1"/>
      <c r="B15" s="1"/>
      <c r="C15" s="1"/>
      <c r="D15" s="1"/>
      <c r="E15" s="1"/>
      <c r="F15" s="1"/>
      <c r="G15" s="2"/>
      <c r="H15" s="3"/>
      <c r="I15" s="1"/>
      <c r="J15" s="1"/>
      <c r="K15" s="2"/>
      <c r="L15" s="4"/>
      <c r="M15" s="8"/>
      <c r="N15" s="2"/>
      <c r="O15" s="6"/>
      <c r="P15" s="8"/>
      <c r="Q15" s="7"/>
      <c r="R15" s="1"/>
      <c r="S15" s="9"/>
      <c r="T15" s="9"/>
      <c r="U15" s="9"/>
      <c r="V15" s="1"/>
      <c r="W15" s="1"/>
    </row>
    <row r="16" spans="1:25" ht="15" x14ac:dyDescent="0.2">
      <c r="A16" s="1"/>
      <c r="B16" s="1"/>
      <c r="C16" s="1"/>
      <c r="D16" s="1"/>
      <c r="E16" s="1"/>
      <c r="F16" s="1"/>
      <c r="G16" s="2"/>
      <c r="H16" s="3"/>
      <c r="I16" s="1"/>
      <c r="J16" s="1"/>
      <c r="K16" s="2"/>
      <c r="L16" s="4"/>
      <c r="M16" s="8"/>
      <c r="N16" s="2"/>
      <c r="O16" s="6"/>
      <c r="P16" s="8"/>
      <c r="Q16" s="7"/>
      <c r="R16" s="1"/>
      <c r="S16" s="9"/>
      <c r="T16" s="9"/>
      <c r="U16" s="9"/>
      <c r="V16" s="1"/>
      <c r="W16" s="1"/>
    </row>
    <row r="17" spans="1:23" ht="15" x14ac:dyDescent="0.2">
      <c r="A17" s="1"/>
      <c r="B17" s="19"/>
      <c r="C17" s="1"/>
      <c r="D17" s="1"/>
      <c r="E17" s="1"/>
      <c r="F17" s="1"/>
      <c r="G17" s="2"/>
      <c r="H17" s="3"/>
      <c r="I17" s="1"/>
      <c r="J17" s="1"/>
      <c r="K17" s="1"/>
      <c r="L17" s="4"/>
      <c r="M17" s="5"/>
      <c r="N17" s="2"/>
      <c r="O17" s="6"/>
      <c r="P17" s="8"/>
      <c r="Q17" s="7"/>
      <c r="R17" s="1"/>
      <c r="S17" s="9"/>
      <c r="T17" s="9"/>
      <c r="U17" s="9"/>
      <c r="V17" s="1"/>
      <c r="W17" s="1"/>
    </row>
    <row r="18" spans="1:23" ht="15" x14ac:dyDescent="0.2">
      <c r="A18" s="1"/>
      <c r="B18" s="1"/>
      <c r="C18" s="1"/>
      <c r="D18" s="1"/>
      <c r="E18" s="1"/>
      <c r="F18" s="1"/>
      <c r="G18" s="2"/>
      <c r="H18" s="3"/>
      <c r="I18" s="1"/>
      <c r="J18" s="1"/>
      <c r="K18" s="2"/>
      <c r="L18" s="4"/>
      <c r="M18" s="8"/>
      <c r="N18" s="2"/>
      <c r="O18" s="6"/>
      <c r="P18" s="8"/>
      <c r="Q18" s="7"/>
      <c r="R18" s="1"/>
      <c r="S18" s="9"/>
      <c r="T18" s="9"/>
      <c r="U18" s="9"/>
      <c r="V18" s="1"/>
      <c r="W18" s="1"/>
    </row>
    <row r="19" spans="1:23" ht="15" x14ac:dyDescent="0.2">
      <c r="A19" s="1"/>
      <c r="B19" s="1"/>
      <c r="C19" s="1"/>
      <c r="D19" s="1"/>
      <c r="E19" s="1"/>
      <c r="F19" s="1"/>
      <c r="G19" s="2"/>
      <c r="H19" s="3"/>
      <c r="I19" s="2"/>
      <c r="J19" s="1"/>
      <c r="K19" s="2"/>
      <c r="L19" s="4"/>
      <c r="M19" s="8"/>
      <c r="N19" s="2"/>
      <c r="O19" s="6"/>
      <c r="P19" s="8"/>
      <c r="Q19" s="7"/>
      <c r="R19" s="1"/>
      <c r="S19" s="1"/>
      <c r="T19" s="1"/>
      <c r="U19" s="1"/>
      <c r="V19" s="1"/>
      <c r="W19" s="1"/>
    </row>
    <row r="20" spans="1:23" ht="15" x14ac:dyDescent="0.2">
      <c r="A20" s="1"/>
      <c r="B20" s="1"/>
      <c r="C20" s="1"/>
      <c r="D20" s="1"/>
      <c r="E20" s="1"/>
      <c r="F20" s="1"/>
      <c r="G20" s="2"/>
      <c r="H20" s="3"/>
      <c r="I20" s="2"/>
      <c r="J20" s="1"/>
      <c r="K20" s="2"/>
      <c r="L20" s="4"/>
      <c r="M20" s="8"/>
      <c r="N20" s="2"/>
      <c r="O20" s="6"/>
      <c r="P20" s="8"/>
      <c r="Q20" s="7"/>
      <c r="R20" s="1"/>
      <c r="S20" s="1"/>
      <c r="T20" s="1"/>
      <c r="U20" s="1"/>
      <c r="V20" s="1"/>
      <c r="W20" s="1"/>
    </row>
    <row r="21" spans="1:23" ht="15" x14ac:dyDescent="0.2">
      <c r="A21" s="1"/>
      <c r="B21" s="19"/>
      <c r="C21" s="1"/>
      <c r="D21" s="1"/>
      <c r="E21" s="1"/>
      <c r="F21" s="1"/>
      <c r="G21" s="2"/>
      <c r="H21" s="3"/>
      <c r="I21" s="1"/>
      <c r="J21" s="1"/>
      <c r="K21" s="2"/>
      <c r="L21" s="4"/>
      <c r="M21" s="8"/>
      <c r="N21" s="2"/>
      <c r="O21" s="6"/>
      <c r="P21" s="8"/>
      <c r="Q21" s="7"/>
      <c r="R21" s="1"/>
      <c r="S21" s="1"/>
      <c r="T21" s="1"/>
      <c r="U21" s="1"/>
      <c r="V21" s="1"/>
      <c r="W21" s="1"/>
    </row>
    <row r="22" spans="1:23" ht="15" x14ac:dyDescent="0.2">
      <c r="A22" s="1"/>
      <c r="B22" s="1"/>
      <c r="C22" s="1"/>
      <c r="D22" s="1"/>
      <c r="E22" s="1"/>
      <c r="F22" s="1"/>
      <c r="G22" s="2"/>
      <c r="H22" s="3"/>
      <c r="I22" s="1"/>
      <c r="J22" s="1"/>
      <c r="K22" s="2"/>
      <c r="L22" s="4"/>
      <c r="M22" s="8"/>
      <c r="N22" s="2"/>
      <c r="O22" s="6"/>
      <c r="P22" s="8"/>
      <c r="Q22" s="7"/>
      <c r="R22" s="1"/>
      <c r="S22" s="1"/>
      <c r="T22" s="1"/>
      <c r="U22" s="1"/>
      <c r="V22" s="1"/>
      <c r="W22" s="1"/>
    </row>
    <row r="23" spans="1:23" ht="15" x14ac:dyDescent="0.2">
      <c r="A23" s="1"/>
      <c r="B23" s="1"/>
      <c r="C23" s="1"/>
      <c r="D23" s="1"/>
      <c r="E23" s="1"/>
      <c r="F23" s="1"/>
      <c r="G23" s="2"/>
      <c r="H23" s="3"/>
      <c r="I23" s="1"/>
      <c r="J23" s="1"/>
      <c r="K23" s="2"/>
      <c r="L23" s="4"/>
      <c r="M23" s="8"/>
      <c r="N23" s="2"/>
      <c r="O23" s="6"/>
      <c r="P23" s="8"/>
      <c r="Q23" s="7"/>
      <c r="R23" s="1"/>
      <c r="S23" s="1"/>
      <c r="T23" s="1"/>
      <c r="U23" s="1"/>
      <c r="V23" s="1"/>
      <c r="W23" s="1"/>
    </row>
    <row r="24" spans="1:23" ht="15" x14ac:dyDescent="0.2">
      <c r="A24" s="1"/>
      <c r="B24" s="19"/>
      <c r="C24" s="1"/>
      <c r="D24" s="1"/>
      <c r="E24" s="1"/>
      <c r="F24" s="1"/>
      <c r="G24" s="2"/>
      <c r="H24" s="3"/>
      <c r="I24" s="1"/>
      <c r="J24" s="1"/>
      <c r="K24" s="2"/>
      <c r="L24" s="4"/>
      <c r="M24" s="8"/>
      <c r="N24" s="2"/>
      <c r="O24" s="6"/>
      <c r="P24" s="8"/>
      <c r="Q24" s="7"/>
      <c r="R24" s="1"/>
      <c r="S24" s="1"/>
      <c r="T24" s="1"/>
      <c r="U24" s="1"/>
      <c r="V24" s="1"/>
      <c r="W24" s="1"/>
    </row>
    <row r="25" spans="1:23" ht="15" x14ac:dyDescent="0.2">
      <c r="A25" s="1"/>
      <c r="B25" s="1"/>
      <c r="C25" s="1"/>
      <c r="D25" s="1"/>
      <c r="E25" s="1"/>
      <c r="F25" s="1"/>
      <c r="G25" s="2"/>
      <c r="H25" s="3"/>
      <c r="I25" s="1"/>
      <c r="J25" s="1"/>
      <c r="K25" s="2"/>
      <c r="L25" s="4"/>
      <c r="M25" s="8"/>
      <c r="N25" s="2"/>
      <c r="O25" s="6"/>
      <c r="P25" s="8"/>
      <c r="Q25" s="7"/>
      <c r="R25" s="1"/>
      <c r="S25" s="1"/>
      <c r="T25" s="1"/>
      <c r="U25" s="1"/>
      <c r="V25" s="1"/>
      <c r="W25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66BD-11D2-4B1B-A094-851E2F826B27}">
  <dimension ref="A1:Y4"/>
  <sheetViews>
    <sheetView workbookViewId="0">
      <selection activeCell="X2" sqref="X2:Y2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70</v>
      </c>
      <c r="H1" t="s">
        <v>64</v>
      </c>
      <c r="I1" t="s">
        <v>71</v>
      </c>
      <c r="J1" t="s">
        <v>75</v>
      </c>
      <c r="K1" t="s">
        <v>72</v>
      </c>
      <c r="L1" t="s">
        <v>73</v>
      </c>
      <c r="M1" t="s">
        <v>85</v>
      </c>
      <c r="N1" t="s">
        <v>86</v>
      </c>
      <c r="O1" t="s">
        <v>87</v>
      </c>
      <c r="P1" t="s">
        <v>88</v>
      </c>
      <c r="Q1" t="s">
        <v>74</v>
      </c>
      <c r="S1" t="s">
        <v>65</v>
      </c>
      <c r="T1" t="s">
        <v>66</v>
      </c>
      <c r="U1" t="s">
        <v>67</v>
      </c>
      <c r="V1" t="s">
        <v>89</v>
      </c>
      <c r="X1" s="15" t="s">
        <v>81</v>
      </c>
      <c r="Y1" s="15" t="s">
        <v>82</v>
      </c>
    </row>
    <row r="2" spans="1:25" ht="15" x14ac:dyDescent="0.2">
      <c r="A2" s="1" t="s">
        <v>108</v>
      </c>
      <c r="B2" s="20" t="s">
        <v>107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 t="s">
        <v>7</v>
      </c>
      <c r="I2" s="1" t="s">
        <v>8</v>
      </c>
      <c r="J2" s="1" t="s">
        <v>5</v>
      </c>
      <c r="K2" s="1" t="s">
        <v>2</v>
      </c>
      <c r="L2" s="4" t="s">
        <v>9</v>
      </c>
      <c r="M2" s="5" t="s">
        <v>10</v>
      </c>
      <c r="N2" s="2" t="s">
        <v>84</v>
      </c>
      <c r="O2" s="6" t="s">
        <v>11</v>
      </c>
      <c r="P2" s="8"/>
      <c r="Q2" s="7" t="s">
        <v>13</v>
      </c>
      <c r="R2" s="1"/>
      <c r="S2" s="9"/>
      <c r="T2" s="9"/>
      <c r="U2" s="9"/>
      <c r="V2" s="1" t="s">
        <v>83</v>
      </c>
      <c r="X2" t="s">
        <v>126</v>
      </c>
      <c r="Y2" t="s">
        <v>127</v>
      </c>
    </row>
    <row r="3" spans="1:25" ht="15" x14ac:dyDescent="0.2">
      <c r="A3" s="1"/>
      <c r="B3" s="1" t="s">
        <v>109</v>
      </c>
      <c r="C3" s="1">
        <v>2000</v>
      </c>
      <c r="D3" s="1">
        <f>C3/201.49</f>
        <v>9.926050920641222</v>
      </c>
      <c r="E3" s="1"/>
      <c r="F3" s="1">
        <v>32</v>
      </c>
      <c r="G3" s="2">
        <f>F3*46.56*0.85</f>
        <v>1266.432</v>
      </c>
      <c r="H3" s="3">
        <f>G3/98/D3</f>
        <v>1.3019050187755103</v>
      </c>
      <c r="I3" s="1"/>
      <c r="J3" s="1">
        <v>15</v>
      </c>
      <c r="K3" s="2">
        <f>J3*35.46+F3*46.56*0.15</f>
        <v>755.38799999999992</v>
      </c>
      <c r="L3" s="4">
        <f>K3/18/D3</f>
        <v>4.2278646699999998</v>
      </c>
      <c r="M3" s="8">
        <f>J3*35.46+F3*46.56*0.15+C3*0.196</f>
        <v>1147.3879999999999</v>
      </c>
      <c r="N3" s="2">
        <f>(G3/98)/(K3/18)</f>
        <v>0.30793441143316214</v>
      </c>
      <c r="O3" s="6">
        <f>(G3/98)/(M3/18)</f>
        <v>0.20272999123546132</v>
      </c>
      <c r="P3" s="8"/>
      <c r="Q3" s="7">
        <f>(M3/18)/(G3/98)</f>
        <v>4.9326692804842436</v>
      </c>
      <c r="R3" s="1"/>
      <c r="S3" s="9">
        <f t="shared" ref="S3:S4" si="0">F3*46.56</f>
        <v>1489.92</v>
      </c>
      <c r="T3" s="9">
        <f t="shared" ref="T3:T4" si="1">J3*35.46</f>
        <v>531.9</v>
      </c>
      <c r="U3" s="9">
        <f t="shared" ref="U3:U4" si="2">S3+T3</f>
        <v>2021.8200000000002</v>
      </c>
      <c r="V3" s="1">
        <f t="shared" ref="V3:V4" si="3">U3/C3</f>
        <v>1.01091</v>
      </c>
      <c r="X3" s="15">
        <v>0.2</v>
      </c>
      <c r="Y3" s="15">
        <v>3.9193479999999998</v>
      </c>
    </row>
    <row r="4" spans="1:25" ht="15" x14ac:dyDescent="0.2">
      <c r="A4" s="1"/>
      <c r="B4" s="1" t="s">
        <v>110</v>
      </c>
      <c r="C4" s="1">
        <v>450</v>
      </c>
      <c r="D4" s="1">
        <f>C4/201.49</f>
        <v>2.2333614571442753</v>
      </c>
      <c r="E4" s="1"/>
      <c r="F4" s="1">
        <v>0</v>
      </c>
      <c r="G4" s="2">
        <f t="shared" ref="G4" si="4">F4*46.56*0.85</f>
        <v>0</v>
      </c>
      <c r="H4" s="3">
        <f>G4/98/D4</f>
        <v>0</v>
      </c>
      <c r="I4" s="1"/>
      <c r="J4" s="1">
        <v>15</v>
      </c>
      <c r="K4" s="2">
        <f t="shared" ref="K4" si="5">J4*35.46+F4*46.56*0.15</f>
        <v>531.9</v>
      </c>
      <c r="L4" s="4">
        <f>K4/18/D4</f>
        <v>13.231176666666665</v>
      </c>
      <c r="M4" s="8">
        <f>J4*35.46+F4*46.56*0.15+C4*0.196</f>
        <v>620.1</v>
      </c>
      <c r="N4" s="2">
        <f>(G4/98)/(K4/18)</f>
        <v>0</v>
      </c>
      <c r="O4" s="6">
        <f t="shared" ref="O4" si="6">(G4/98)/(M4/18)</f>
        <v>0</v>
      </c>
      <c r="P4" s="8"/>
      <c r="Q4" s="7" t="e">
        <f>(M4/18)/(G4/98)</f>
        <v>#DIV/0!</v>
      </c>
      <c r="R4" s="1"/>
      <c r="S4" s="9">
        <f t="shared" si="0"/>
        <v>0</v>
      </c>
      <c r="T4" s="9">
        <f t="shared" si="1"/>
        <v>531.9</v>
      </c>
      <c r="U4" s="9">
        <f t="shared" si="2"/>
        <v>531.9</v>
      </c>
      <c r="V4" s="1">
        <f t="shared" si="3"/>
        <v>1.1819999999999999</v>
      </c>
      <c r="X4" s="15">
        <v>0.12</v>
      </c>
      <c r="Y4" s="15">
        <v>3.9193479999999998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F603-D3CB-4EFA-9346-132694B82033}">
  <dimension ref="A1:Y11"/>
  <sheetViews>
    <sheetView workbookViewId="0">
      <selection activeCell="A12" sqref="A12:XFD16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70</v>
      </c>
      <c r="H1" t="s">
        <v>64</v>
      </c>
      <c r="I1" t="s">
        <v>71</v>
      </c>
      <c r="J1" t="s">
        <v>75</v>
      </c>
      <c r="K1" t="s">
        <v>72</v>
      </c>
      <c r="L1" t="s">
        <v>73</v>
      </c>
      <c r="M1" t="s">
        <v>85</v>
      </c>
      <c r="N1" t="s">
        <v>86</v>
      </c>
      <c r="O1" t="s">
        <v>87</v>
      </c>
      <c r="P1" t="s">
        <v>88</v>
      </c>
      <c r="Q1" t="s">
        <v>74</v>
      </c>
      <c r="S1" t="s">
        <v>65</v>
      </c>
      <c r="T1" t="s">
        <v>66</v>
      </c>
      <c r="U1" t="s">
        <v>67</v>
      </c>
      <c r="V1" t="s">
        <v>89</v>
      </c>
      <c r="X1" s="15" t="s">
        <v>81</v>
      </c>
      <c r="Y1" s="15" t="s">
        <v>82</v>
      </c>
    </row>
    <row r="2" spans="1:25" ht="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111</v>
      </c>
      <c r="F2" s="1" t="s">
        <v>5</v>
      </c>
      <c r="G2" s="2" t="s">
        <v>6</v>
      </c>
      <c r="H2" s="3" t="s">
        <v>7</v>
      </c>
      <c r="I2" s="1" t="s">
        <v>8</v>
      </c>
      <c r="J2" s="1" t="s">
        <v>5</v>
      </c>
      <c r="K2" s="1" t="s">
        <v>2</v>
      </c>
      <c r="L2" s="4" t="s">
        <v>9</v>
      </c>
      <c r="M2" s="5" t="s">
        <v>10</v>
      </c>
      <c r="N2" s="2" t="s">
        <v>84</v>
      </c>
      <c r="O2" s="6" t="s">
        <v>102</v>
      </c>
      <c r="P2" s="8"/>
      <c r="Q2" s="7" t="s">
        <v>13</v>
      </c>
      <c r="R2" s="1"/>
      <c r="S2" s="1"/>
      <c r="T2" s="1"/>
      <c r="U2" s="9"/>
      <c r="V2" s="1" t="s">
        <v>83</v>
      </c>
      <c r="W2" s="1"/>
      <c r="X2" t="s">
        <v>126</v>
      </c>
      <c r="Y2" t="s">
        <v>127</v>
      </c>
    </row>
    <row r="3" spans="1:25" ht="15" x14ac:dyDescent="0.2">
      <c r="A3" s="1"/>
      <c r="B3" s="1" t="s">
        <v>112</v>
      </c>
      <c r="C3" s="1">
        <v>450</v>
      </c>
      <c r="D3" s="1">
        <f>C3/332.88</f>
        <v>1.3518385003604902</v>
      </c>
      <c r="E3" s="1"/>
      <c r="F3" s="1"/>
      <c r="G3" s="2">
        <v>443</v>
      </c>
      <c r="H3" s="3">
        <f>G3/98/D3</f>
        <v>3.3438965986394558</v>
      </c>
      <c r="I3" s="1"/>
      <c r="J3" s="1"/>
      <c r="K3" s="2">
        <v>1197</v>
      </c>
      <c r="L3" s="4">
        <f>K3/18/D3</f>
        <v>49.192266666666669</v>
      </c>
      <c r="M3" s="8"/>
      <c r="N3" s="2">
        <f>(G3/98)/(K3/18)</f>
        <v>6.7976062605493326E-2</v>
      </c>
      <c r="O3" s="6">
        <f>(G3/98)/(K3/18)</f>
        <v>6.7976062605493326E-2</v>
      </c>
      <c r="P3" s="8"/>
      <c r="Q3" s="7">
        <f>(K3/18)/(G3/98)</f>
        <v>14.711060948081265</v>
      </c>
      <c r="R3" s="1"/>
      <c r="S3" s="9">
        <f>G3</f>
        <v>443</v>
      </c>
      <c r="T3" s="9">
        <f>K3</f>
        <v>1197</v>
      </c>
      <c r="U3" s="9">
        <f>S3+T3</f>
        <v>1640</v>
      </c>
      <c r="V3" s="1">
        <f>U3/C3</f>
        <v>3.6444444444444444</v>
      </c>
      <c r="W3" s="1"/>
      <c r="X3" s="15">
        <v>0.12</v>
      </c>
      <c r="Y3" s="15">
        <v>3.9193479999999998</v>
      </c>
    </row>
    <row r="4" spans="1:25" ht="15" x14ac:dyDescent="0.2">
      <c r="A4" s="1"/>
      <c r="B4" s="1"/>
      <c r="C4" s="1"/>
      <c r="D4" s="1"/>
      <c r="E4" s="1"/>
      <c r="F4" s="1"/>
      <c r="G4" s="2"/>
      <c r="H4" s="3"/>
      <c r="I4" s="1"/>
      <c r="J4" s="1"/>
      <c r="K4" s="2"/>
      <c r="L4" s="4"/>
      <c r="M4" s="8"/>
      <c r="N4" s="2"/>
      <c r="O4" s="6"/>
      <c r="P4" s="8"/>
      <c r="Q4" s="7"/>
      <c r="R4" s="1"/>
      <c r="S4" s="9"/>
      <c r="T4" s="9"/>
      <c r="U4" s="9"/>
      <c r="V4" s="1"/>
      <c r="W4" s="1"/>
    </row>
    <row r="5" spans="1:25" ht="15" x14ac:dyDescent="0.2">
      <c r="A5" s="1"/>
      <c r="B5" s="20"/>
      <c r="C5" s="1"/>
      <c r="D5" s="1"/>
      <c r="E5" s="1"/>
      <c r="F5" s="1"/>
      <c r="G5" s="2"/>
      <c r="H5" s="3"/>
      <c r="I5" s="1"/>
      <c r="J5" s="1"/>
      <c r="K5" s="1"/>
      <c r="L5" s="4"/>
      <c r="M5" s="5"/>
      <c r="N5" s="2"/>
      <c r="O5" s="6"/>
      <c r="P5" s="8"/>
      <c r="Q5" s="7"/>
      <c r="R5" s="1"/>
      <c r="S5" s="9"/>
      <c r="T5" s="9"/>
      <c r="U5" s="9"/>
      <c r="V5" s="1"/>
      <c r="W5" s="1"/>
    </row>
    <row r="6" spans="1:25" ht="15" x14ac:dyDescent="0.2">
      <c r="A6" s="1"/>
      <c r="B6" s="1"/>
      <c r="C6" s="1"/>
      <c r="D6" s="1"/>
      <c r="E6" s="1"/>
      <c r="F6" s="1"/>
      <c r="G6" s="2"/>
      <c r="H6" s="3"/>
      <c r="I6" s="1"/>
      <c r="J6" s="1"/>
      <c r="K6" s="2"/>
      <c r="L6" s="4"/>
      <c r="M6" s="8"/>
      <c r="N6" s="2"/>
      <c r="O6" s="6"/>
      <c r="P6" s="8"/>
      <c r="Q6" s="7"/>
      <c r="R6" s="1"/>
      <c r="S6" s="9"/>
      <c r="T6" s="9"/>
      <c r="U6" s="9"/>
      <c r="V6" s="1"/>
      <c r="W6" s="1"/>
    </row>
    <row r="7" spans="1:25" ht="15" x14ac:dyDescent="0.2">
      <c r="A7" s="1"/>
      <c r="B7" s="1"/>
      <c r="C7" s="1"/>
      <c r="D7" s="1"/>
      <c r="E7" s="1"/>
      <c r="F7" s="1"/>
      <c r="G7" s="2"/>
      <c r="H7" s="3"/>
      <c r="I7" s="1"/>
      <c r="J7" s="1"/>
      <c r="K7" s="2"/>
      <c r="L7" s="4"/>
      <c r="M7" s="8"/>
      <c r="N7" s="2"/>
      <c r="O7" s="6"/>
      <c r="P7" s="8"/>
      <c r="Q7" s="7"/>
      <c r="R7" s="1"/>
      <c r="S7" s="9"/>
      <c r="T7" s="9"/>
      <c r="U7" s="9"/>
      <c r="V7" s="1"/>
      <c r="W7" s="1"/>
    </row>
    <row r="8" spans="1:25" ht="15" x14ac:dyDescent="0.2">
      <c r="A8" s="1"/>
      <c r="B8" s="19"/>
      <c r="C8" s="1"/>
      <c r="D8" s="1"/>
      <c r="E8" s="1"/>
      <c r="F8" s="1"/>
      <c r="G8" s="2"/>
      <c r="H8" s="3"/>
      <c r="I8" s="1"/>
      <c r="J8" s="1"/>
      <c r="K8" s="1"/>
      <c r="L8" s="4"/>
      <c r="M8" s="5"/>
      <c r="N8" s="2"/>
      <c r="O8" s="6"/>
      <c r="P8" s="8"/>
      <c r="Q8" s="7"/>
      <c r="R8" s="1"/>
      <c r="S8" s="9"/>
      <c r="T8" s="9"/>
      <c r="U8" s="9"/>
      <c r="V8" s="1"/>
      <c r="W8" s="1"/>
    </row>
    <row r="9" spans="1:25" ht="15" x14ac:dyDescent="0.2">
      <c r="A9" s="1"/>
      <c r="B9" s="1"/>
      <c r="C9" s="1"/>
      <c r="D9" s="1"/>
      <c r="E9" s="1"/>
      <c r="F9" s="1"/>
      <c r="G9" s="2"/>
      <c r="H9" s="3"/>
      <c r="I9" s="1"/>
      <c r="J9" s="1"/>
      <c r="K9" s="2"/>
      <c r="L9" s="4"/>
      <c r="M9" s="8"/>
      <c r="N9" s="2"/>
      <c r="O9" s="6"/>
      <c r="P9" s="8"/>
      <c r="Q9" s="7"/>
      <c r="R9" s="1"/>
      <c r="S9" s="9"/>
      <c r="T9" s="9"/>
      <c r="U9" s="9"/>
      <c r="V9" s="1"/>
      <c r="W9" s="1"/>
    </row>
    <row r="10" spans="1:25" ht="15" x14ac:dyDescent="0.2">
      <c r="A10" s="1"/>
      <c r="B10" s="1"/>
      <c r="C10" s="1"/>
      <c r="D10" s="1"/>
      <c r="E10" s="1"/>
      <c r="F10" s="1"/>
      <c r="G10" s="2"/>
      <c r="H10" s="3"/>
      <c r="I10" s="2"/>
      <c r="J10" s="1"/>
      <c r="K10" s="2"/>
      <c r="L10" s="4"/>
      <c r="M10" s="8"/>
      <c r="N10" s="2"/>
      <c r="O10" s="6"/>
      <c r="P10" s="8"/>
      <c r="Q10" s="7"/>
      <c r="R10" s="1"/>
      <c r="S10" s="1"/>
      <c r="T10" s="1"/>
      <c r="U10" s="1"/>
      <c r="V10" s="1"/>
      <c r="W10" s="1"/>
    </row>
    <row r="11" spans="1:25" ht="15" x14ac:dyDescent="0.2">
      <c r="A11" s="1"/>
      <c r="B11" s="1"/>
      <c r="C11" s="1"/>
      <c r="D11" s="1"/>
      <c r="E11" s="1"/>
      <c r="F11" s="1"/>
      <c r="G11" s="2"/>
      <c r="H11" s="3"/>
      <c r="I11" s="2"/>
      <c r="J11" s="1"/>
      <c r="K11" s="2"/>
      <c r="L11" s="4"/>
      <c r="M11" s="8"/>
      <c r="N11" s="2"/>
      <c r="O11" s="6"/>
      <c r="P11" s="8"/>
      <c r="Q11" s="7"/>
      <c r="R11" s="1"/>
      <c r="S11" s="1"/>
      <c r="T11" s="1"/>
      <c r="U11" s="1"/>
      <c r="V11" s="1"/>
      <c r="W11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0C81-8640-4E9F-A6B2-37988E7A897F}">
  <dimension ref="A1:Y3"/>
  <sheetViews>
    <sheetView workbookViewId="0">
      <selection activeCell="X2" sqref="X2:Y2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70</v>
      </c>
      <c r="H1" t="s">
        <v>64</v>
      </c>
      <c r="I1" t="s">
        <v>71</v>
      </c>
      <c r="J1" t="s">
        <v>75</v>
      </c>
      <c r="K1" t="s">
        <v>72</v>
      </c>
      <c r="L1" t="s">
        <v>73</v>
      </c>
      <c r="M1" t="s">
        <v>85</v>
      </c>
      <c r="N1" t="s">
        <v>86</v>
      </c>
      <c r="O1" t="s">
        <v>87</v>
      </c>
      <c r="P1" t="s">
        <v>88</v>
      </c>
      <c r="Q1" t="s">
        <v>74</v>
      </c>
      <c r="S1" t="s">
        <v>65</v>
      </c>
      <c r="T1" t="s">
        <v>66</v>
      </c>
      <c r="U1" t="s">
        <v>67</v>
      </c>
      <c r="V1" t="s">
        <v>89</v>
      </c>
      <c r="X1" s="15" t="s">
        <v>81</v>
      </c>
      <c r="Y1" s="15" t="s">
        <v>82</v>
      </c>
    </row>
    <row r="2" spans="1:25" ht="15" x14ac:dyDescent="0.2">
      <c r="A2" s="1" t="s">
        <v>108</v>
      </c>
      <c r="B2" s="20" t="s">
        <v>107</v>
      </c>
      <c r="C2" s="1" t="s">
        <v>2</v>
      </c>
      <c r="D2" s="1" t="s">
        <v>3</v>
      </c>
      <c r="E2" s="1" t="s">
        <v>111</v>
      </c>
      <c r="F2" s="1" t="s">
        <v>5</v>
      </c>
      <c r="G2" s="2" t="s">
        <v>6</v>
      </c>
      <c r="H2" s="3" t="s">
        <v>7</v>
      </c>
      <c r="I2" s="1" t="s">
        <v>8</v>
      </c>
      <c r="J2" s="1" t="s">
        <v>5</v>
      </c>
      <c r="K2" s="1" t="s">
        <v>2</v>
      </c>
      <c r="L2" s="4" t="s">
        <v>9</v>
      </c>
      <c r="M2" s="5" t="s">
        <v>10</v>
      </c>
      <c r="N2" s="2" t="s">
        <v>84</v>
      </c>
      <c r="O2" s="6" t="s">
        <v>102</v>
      </c>
      <c r="P2" s="8"/>
      <c r="Q2" s="7" t="s">
        <v>13</v>
      </c>
      <c r="R2" s="1"/>
      <c r="S2" s="9"/>
      <c r="T2" s="9"/>
      <c r="U2" s="9"/>
      <c r="V2" s="1" t="s">
        <v>83</v>
      </c>
      <c r="W2" s="1"/>
      <c r="X2" t="s">
        <v>126</v>
      </c>
      <c r="Y2" t="s">
        <v>127</v>
      </c>
    </row>
    <row r="3" spans="1:25" ht="15" x14ac:dyDescent="0.2">
      <c r="A3" s="1"/>
      <c r="B3" s="1" t="s">
        <v>113</v>
      </c>
      <c r="C3" s="1">
        <v>2000</v>
      </c>
      <c r="D3" s="1">
        <f>C3/201.49</f>
        <v>9.926050920641222</v>
      </c>
      <c r="E3" s="1"/>
      <c r="F3" s="1"/>
      <c r="G3" s="2">
        <v>620</v>
      </c>
      <c r="H3" s="3">
        <f>G3/98/D3</f>
        <v>0.63736632653061231</v>
      </c>
      <c r="I3" s="1"/>
      <c r="J3" s="1"/>
      <c r="K3" s="2">
        <v>1676</v>
      </c>
      <c r="L3" s="4">
        <f>K3/18/D3</f>
        <v>9.3804788888888897</v>
      </c>
      <c r="M3" s="8"/>
      <c r="N3" s="2">
        <f>(G3/98)/(K3/18)</f>
        <v>6.7946032828405833E-2</v>
      </c>
      <c r="O3" s="6">
        <f>(G3/98)/(K3/18)</f>
        <v>6.7946032828405833E-2</v>
      </c>
      <c r="P3" s="8"/>
      <c r="Q3" s="7">
        <f>(K3/18)/(G3/98)</f>
        <v>14.717562724014337</v>
      </c>
      <c r="R3" s="1"/>
      <c r="S3" s="9">
        <f t="shared" ref="S3" si="0">G3</f>
        <v>620</v>
      </c>
      <c r="T3" s="9">
        <f t="shared" ref="T3" si="1">K3</f>
        <v>1676</v>
      </c>
      <c r="U3" s="9">
        <f t="shared" ref="U3" si="2">S3+T3</f>
        <v>2296</v>
      </c>
      <c r="V3" s="1">
        <f t="shared" ref="V3" si="3">U3/C3</f>
        <v>1.1479999999999999</v>
      </c>
      <c r="W3" s="1"/>
      <c r="X3" s="15">
        <v>0.12</v>
      </c>
      <c r="Y3" s="15">
        <v>3.9193479999999998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F4A6-16DA-4CCE-ACB6-C23B376E687F}">
  <dimension ref="A1:Y3"/>
  <sheetViews>
    <sheetView workbookViewId="0">
      <selection activeCell="X2" sqref="X2:Y2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70</v>
      </c>
      <c r="H1" t="s">
        <v>64</v>
      </c>
      <c r="I1" t="s">
        <v>71</v>
      </c>
      <c r="J1" t="s">
        <v>75</v>
      </c>
      <c r="K1" t="s">
        <v>72</v>
      </c>
      <c r="L1" t="s">
        <v>73</v>
      </c>
      <c r="M1" t="s">
        <v>85</v>
      </c>
      <c r="N1" t="s">
        <v>86</v>
      </c>
      <c r="O1" t="s">
        <v>87</v>
      </c>
      <c r="P1" t="s">
        <v>88</v>
      </c>
      <c r="Q1" t="s">
        <v>74</v>
      </c>
      <c r="S1" t="s">
        <v>65</v>
      </c>
      <c r="T1" t="s">
        <v>66</v>
      </c>
      <c r="U1" t="s">
        <v>67</v>
      </c>
      <c r="V1" t="s">
        <v>89</v>
      </c>
      <c r="X1" s="15" t="s">
        <v>81</v>
      </c>
      <c r="Y1" s="15" t="s">
        <v>82</v>
      </c>
    </row>
    <row r="2" spans="1:25" ht="15" x14ac:dyDescent="0.2">
      <c r="A2" s="1" t="s">
        <v>101</v>
      </c>
      <c r="B2" s="19" t="s">
        <v>100</v>
      </c>
      <c r="C2" s="1" t="s">
        <v>2</v>
      </c>
      <c r="D2" s="1" t="s">
        <v>3</v>
      </c>
      <c r="E2" s="1" t="s">
        <v>111</v>
      </c>
      <c r="F2" s="1" t="s">
        <v>5</v>
      </c>
      <c r="G2" s="2" t="s">
        <v>6</v>
      </c>
      <c r="H2" s="3" t="s">
        <v>7</v>
      </c>
      <c r="I2" s="1" t="s">
        <v>8</v>
      </c>
      <c r="J2" s="1" t="s">
        <v>5</v>
      </c>
      <c r="K2" s="1" t="s">
        <v>2</v>
      </c>
      <c r="L2" s="4" t="s">
        <v>9</v>
      </c>
      <c r="M2" s="5" t="s">
        <v>10</v>
      </c>
      <c r="N2" s="2" t="s">
        <v>84</v>
      </c>
      <c r="O2" s="6" t="s">
        <v>102</v>
      </c>
      <c r="P2" s="8"/>
      <c r="Q2" s="7" t="s">
        <v>13</v>
      </c>
      <c r="R2" s="1"/>
      <c r="S2" s="9"/>
      <c r="T2" s="9"/>
      <c r="U2" s="9"/>
      <c r="V2" s="1" t="s">
        <v>83</v>
      </c>
      <c r="W2" s="1"/>
      <c r="X2" t="s">
        <v>126</v>
      </c>
      <c r="Y2" t="s">
        <v>127</v>
      </c>
    </row>
    <row r="3" spans="1:25" ht="15" x14ac:dyDescent="0.2">
      <c r="A3" s="1"/>
      <c r="B3" s="1" t="s">
        <v>114</v>
      </c>
      <c r="C3" s="1">
        <v>2000</v>
      </c>
      <c r="D3" s="1">
        <f>C3/263.88</f>
        <v>7.5792026678793389</v>
      </c>
      <c r="E3" s="1"/>
      <c r="F3" s="1"/>
      <c r="G3" s="2">
        <v>332</v>
      </c>
      <c r="H3" s="3">
        <f>G3/98/D3</f>
        <v>0.44698040816326534</v>
      </c>
      <c r="I3" s="1"/>
      <c r="J3" s="1"/>
      <c r="K3" s="2">
        <v>898</v>
      </c>
      <c r="L3" s="4">
        <f>K3/18/D3</f>
        <v>6.5823399999999994</v>
      </c>
      <c r="M3" s="8"/>
      <c r="N3" s="2">
        <f>(G3/98)/(K3/18)</f>
        <v>6.7906004272533071E-2</v>
      </c>
      <c r="O3" s="6">
        <f>(G3/98)/(K3/18)</f>
        <v>6.7906004272533071E-2</v>
      </c>
      <c r="P3" s="8"/>
      <c r="Q3" s="7">
        <f>(K3/18)/(G3/98)</f>
        <v>14.726238286479248</v>
      </c>
      <c r="R3" s="1"/>
      <c r="S3" s="9">
        <f t="shared" ref="S3" si="0">G3</f>
        <v>332</v>
      </c>
      <c r="T3" s="9">
        <f t="shared" ref="T3" si="1">K3</f>
        <v>898</v>
      </c>
      <c r="U3" s="9">
        <f t="shared" ref="U3" si="2">S3+T3</f>
        <v>1230</v>
      </c>
      <c r="V3" s="1">
        <f t="shared" ref="V3" si="3">U3/C3</f>
        <v>0.61499999999999999</v>
      </c>
      <c r="W3" s="1"/>
      <c r="X3" s="15">
        <v>0.12</v>
      </c>
      <c r="Y3" s="15">
        <v>3.9193479999999998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D6B4-8C13-4638-AA90-AF911B0DC7F6}">
  <dimension ref="A1:Y6"/>
  <sheetViews>
    <sheetView workbookViewId="0">
      <selection activeCell="A5" sqref="A5:XFD6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131</v>
      </c>
      <c r="H1" t="s">
        <v>64</v>
      </c>
      <c r="I1" t="s">
        <v>71</v>
      </c>
      <c r="J1" t="s">
        <v>75</v>
      </c>
      <c r="K1" t="s">
        <v>129</v>
      </c>
      <c r="L1" t="s">
        <v>73</v>
      </c>
      <c r="M1" t="s">
        <v>85</v>
      </c>
      <c r="N1" t="s">
        <v>86</v>
      </c>
      <c r="O1" t="s">
        <v>87</v>
      </c>
      <c r="P1" t="s">
        <v>88</v>
      </c>
      <c r="Q1" t="s">
        <v>74</v>
      </c>
      <c r="S1" t="s">
        <v>65</v>
      </c>
      <c r="T1" t="s">
        <v>66</v>
      </c>
      <c r="U1" t="s">
        <v>67</v>
      </c>
      <c r="V1" t="s">
        <v>89</v>
      </c>
      <c r="X1" s="15" t="s">
        <v>81</v>
      </c>
      <c r="Y1" s="15" t="s">
        <v>82</v>
      </c>
    </row>
    <row r="2" spans="1:25" ht="15" x14ac:dyDescent="0.2">
      <c r="A2" s="1" t="s">
        <v>115</v>
      </c>
      <c r="B2" s="19" t="s">
        <v>116</v>
      </c>
      <c r="C2" s="1" t="s">
        <v>90</v>
      </c>
      <c r="D2" s="1" t="s">
        <v>3</v>
      </c>
      <c r="E2" s="1" t="s">
        <v>117</v>
      </c>
      <c r="F2" s="1" t="s">
        <v>5</v>
      </c>
      <c r="G2" s="2" t="s">
        <v>92</v>
      </c>
      <c r="H2" s="3" t="s">
        <v>93</v>
      </c>
      <c r="I2" s="1" t="s">
        <v>8</v>
      </c>
      <c r="J2" s="1" t="s">
        <v>5</v>
      </c>
      <c r="K2" s="2" t="s">
        <v>92</v>
      </c>
      <c r="L2" s="4" t="s">
        <v>93</v>
      </c>
      <c r="M2" s="8"/>
      <c r="N2" s="2"/>
      <c r="O2" s="6" t="s">
        <v>125</v>
      </c>
      <c r="P2" s="8"/>
      <c r="Q2" s="7"/>
      <c r="R2" s="1"/>
      <c r="S2" s="1"/>
      <c r="T2" s="1"/>
      <c r="U2" s="1"/>
      <c r="V2" s="1" t="s">
        <v>83</v>
      </c>
      <c r="W2" s="1"/>
      <c r="X2" t="s">
        <v>126</v>
      </c>
      <c r="Y2" t="s">
        <v>127</v>
      </c>
    </row>
    <row r="3" spans="1:25" ht="15" x14ac:dyDescent="0.2">
      <c r="A3" s="1"/>
      <c r="B3" s="1" t="s">
        <v>118</v>
      </c>
      <c r="C3" s="1">
        <v>1500</v>
      </c>
      <c r="D3" s="1">
        <f>C3/180.1</f>
        <v>8.3287062742920597</v>
      </c>
      <c r="E3" s="1"/>
      <c r="F3" s="1">
        <v>20</v>
      </c>
      <c r="G3" s="2">
        <f>F3*0.04</f>
        <v>0.8</v>
      </c>
      <c r="H3" s="3">
        <f>G3/D3</f>
        <v>9.6053333333333338E-2</v>
      </c>
      <c r="I3" s="1"/>
      <c r="J3" s="1">
        <v>20</v>
      </c>
      <c r="K3" s="2">
        <f>J3*2.053</f>
        <v>41.06</v>
      </c>
      <c r="L3" s="4">
        <f>K3/D3</f>
        <v>4.9299373333333341</v>
      </c>
      <c r="M3" s="8"/>
      <c r="N3" s="2"/>
      <c r="O3" s="6">
        <f>G3/K3</f>
        <v>1.948368241597662E-2</v>
      </c>
      <c r="P3" s="8"/>
      <c r="Q3" s="7"/>
      <c r="R3" s="1"/>
      <c r="S3" s="1"/>
      <c r="T3" s="1"/>
      <c r="U3" s="1"/>
      <c r="V3" s="1">
        <f>(G3*660.029+K3*18)/C3</f>
        <v>0.84473546666666666</v>
      </c>
      <c r="W3" s="1"/>
      <c r="X3" s="15">
        <v>0.12</v>
      </c>
      <c r="Y3" s="15">
        <v>3.9193479999999998</v>
      </c>
    </row>
    <row r="4" spans="1:25" ht="15" x14ac:dyDescent="0.2">
      <c r="A4" s="1"/>
      <c r="B4" s="1"/>
      <c r="C4" s="1"/>
      <c r="D4" s="1"/>
      <c r="E4" s="1"/>
      <c r="F4" s="1"/>
      <c r="G4" s="2"/>
      <c r="H4" s="3"/>
      <c r="I4" s="1"/>
      <c r="J4" s="1"/>
      <c r="K4" s="2"/>
      <c r="L4" s="4"/>
      <c r="M4" s="8"/>
      <c r="N4" s="2"/>
      <c r="O4" s="6"/>
      <c r="P4" s="8"/>
      <c r="Q4" s="7"/>
      <c r="R4" s="1"/>
      <c r="S4" s="1"/>
      <c r="T4" s="1"/>
      <c r="U4" s="1"/>
      <c r="V4" s="1"/>
      <c r="W4" s="1"/>
    </row>
    <row r="5" spans="1:25" ht="15" x14ac:dyDescent="0.2">
      <c r="A5" s="1"/>
      <c r="B5" s="19"/>
      <c r="C5" s="1"/>
      <c r="D5" s="1"/>
      <c r="E5" s="1"/>
      <c r="F5" s="1"/>
      <c r="G5" s="2"/>
      <c r="H5" s="3"/>
      <c r="I5" s="1"/>
      <c r="J5" s="1"/>
      <c r="K5" s="2"/>
      <c r="L5" s="4"/>
      <c r="M5" s="8"/>
      <c r="N5" s="2"/>
      <c r="O5" s="6"/>
      <c r="P5" s="8"/>
      <c r="Q5" s="7"/>
      <c r="R5" s="1"/>
      <c r="S5" s="1"/>
      <c r="T5" s="1"/>
      <c r="U5" s="1"/>
      <c r="V5" s="1"/>
      <c r="W5" s="1"/>
    </row>
    <row r="6" spans="1:25" ht="15" x14ac:dyDescent="0.2">
      <c r="A6" s="1"/>
      <c r="B6" s="1"/>
      <c r="C6" s="1"/>
      <c r="D6" s="1"/>
      <c r="E6" s="1"/>
      <c r="F6" s="1"/>
      <c r="G6" s="2"/>
      <c r="H6" s="3"/>
      <c r="I6" s="1"/>
      <c r="J6" s="1"/>
      <c r="K6" s="2"/>
      <c r="L6" s="4"/>
      <c r="M6" s="8"/>
      <c r="N6" s="2"/>
      <c r="O6" s="6"/>
      <c r="P6" s="8"/>
      <c r="Q6" s="7"/>
      <c r="R6" s="1"/>
      <c r="S6" s="1"/>
      <c r="T6" s="1"/>
      <c r="U6" s="1"/>
      <c r="V6" s="1"/>
      <c r="W6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EB26-D809-47A5-9A18-C4D1CF16D7E1}">
  <dimension ref="A1:Y3"/>
  <sheetViews>
    <sheetView workbookViewId="0">
      <selection activeCell="X3" sqref="X3:Y3"/>
    </sheetView>
  </sheetViews>
  <sheetFormatPr defaultRowHeight="14.25" x14ac:dyDescent="0.2"/>
  <sheetData>
    <row r="1" spans="1:25" ht="15" x14ac:dyDescent="0.2">
      <c r="A1" t="s">
        <v>60</v>
      </c>
      <c r="B1" t="s">
        <v>61</v>
      </c>
      <c r="C1" t="s">
        <v>62</v>
      </c>
      <c r="D1" t="s">
        <v>63</v>
      </c>
      <c r="E1" t="s">
        <v>68</v>
      </c>
      <c r="F1" t="s">
        <v>69</v>
      </c>
      <c r="G1" t="s">
        <v>131</v>
      </c>
      <c r="H1" t="s">
        <v>64</v>
      </c>
      <c r="I1" t="s">
        <v>71</v>
      </c>
      <c r="J1" t="s">
        <v>75</v>
      </c>
      <c r="K1" t="s">
        <v>129</v>
      </c>
      <c r="L1" t="s">
        <v>73</v>
      </c>
      <c r="M1" t="s">
        <v>85</v>
      </c>
      <c r="N1" t="s">
        <v>86</v>
      </c>
      <c r="O1" t="s">
        <v>87</v>
      </c>
      <c r="P1" t="s">
        <v>88</v>
      </c>
      <c r="Q1" t="s">
        <v>74</v>
      </c>
      <c r="S1" t="s">
        <v>65</v>
      </c>
      <c r="T1" t="s">
        <v>66</v>
      </c>
      <c r="U1" t="s">
        <v>67</v>
      </c>
      <c r="V1" t="s">
        <v>89</v>
      </c>
      <c r="X1" s="15" t="s">
        <v>81</v>
      </c>
      <c r="Y1" s="15" t="s">
        <v>82</v>
      </c>
    </row>
    <row r="2" spans="1:25" ht="15" x14ac:dyDescent="0.2">
      <c r="A2" s="1" t="s">
        <v>119</v>
      </c>
      <c r="B2" s="19" t="s">
        <v>120</v>
      </c>
      <c r="C2" s="1" t="s">
        <v>90</v>
      </c>
      <c r="D2" s="1" t="s">
        <v>3</v>
      </c>
      <c r="E2" s="1" t="s">
        <v>117</v>
      </c>
      <c r="F2" s="1" t="s">
        <v>5</v>
      </c>
      <c r="G2" s="2" t="s">
        <v>92</v>
      </c>
      <c r="H2" s="3" t="s">
        <v>93</v>
      </c>
      <c r="I2" s="1" t="s">
        <v>8</v>
      </c>
      <c r="J2" s="1" t="s">
        <v>5</v>
      </c>
      <c r="K2" s="2" t="s">
        <v>92</v>
      </c>
      <c r="L2" s="4" t="s">
        <v>93</v>
      </c>
      <c r="M2" s="8"/>
      <c r="N2" s="2"/>
      <c r="O2" s="6" t="s">
        <v>125</v>
      </c>
      <c r="P2" s="8"/>
      <c r="Q2" s="7"/>
      <c r="R2" s="1"/>
      <c r="S2" s="1"/>
      <c r="T2" s="1"/>
      <c r="U2" s="1"/>
      <c r="V2" s="1" t="s">
        <v>83</v>
      </c>
      <c r="W2" s="1"/>
      <c r="X2" t="s">
        <v>126</v>
      </c>
      <c r="Y2" t="s">
        <v>127</v>
      </c>
    </row>
    <row r="3" spans="1:25" ht="15" x14ac:dyDescent="0.2">
      <c r="A3" s="1"/>
      <c r="B3" s="1" t="s">
        <v>121</v>
      </c>
      <c r="C3" s="1">
        <v>1600</v>
      </c>
      <c r="D3" s="1">
        <f>C3/294.19</f>
        <v>5.4386620891260753</v>
      </c>
      <c r="E3" s="1"/>
      <c r="F3" s="1">
        <v>20</v>
      </c>
      <c r="G3" s="2">
        <f>F3*0.04</f>
        <v>0.8</v>
      </c>
      <c r="H3" s="3">
        <f>G3/D3</f>
        <v>0.147095</v>
      </c>
      <c r="I3" s="1"/>
      <c r="J3" s="1">
        <v>20</v>
      </c>
      <c r="K3" s="2">
        <f>J3*2.053</f>
        <v>41.06</v>
      </c>
      <c r="L3" s="4">
        <f>K3/D3</f>
        <v>7.5496508750000002</v>
      </c>
      <c r="M3" s="8"/>
      <c r="N3" s="2"/>
      <c r="O3" s="6">
        <f>G3/K3</f>
        <v>1.948368241597662E-2</v>
      </c>
      <c r="P3" s="8"/>
      <c r="Q3" s="7"/>
      <c r="R3" s="1"/>
      <c r="S3" s="1"/>
      <c r="T3" s="1"/>
      <c r="U3" s="1"/>
      <c r="V3" s="1">
        <f>(G3*660.029+K3*18)/C3</f>
        <v>0.79193950000000002</v>
      </c>
      <c r="W3" s="1"/>
      <c r="X3" s="15">
        <v>0.12</v>
      </c>
      <c r="Y3" s="15">
        <v>3.9193479999999998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S8</vt:lpstr>
      <vt:lpstr>S60</vt:lpstr>
      <vt:lpstr>S12</vt:lpstr>
      <vt:lpstr>S6</vt:lpstr>
      <vt:lpstr>S14</vt:lpstr>
      <vt:lpstr>S16</vt:lpstr>
      <vt:lpstr>S95</vt:lpstr>
      <vt:lpstr>S96</vt:lpstr>
      <vt:lpstr>S97</vt:lpstr>
      <vt:lpstr>S13</vt:lpstr>
      <vt:lpstr>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</dc:creator>
  <cp:lastModifiedBy>晋圳 刘</cp:lastModifiedBy>
  <dcterms:created xsi:type="dcterms:W3CDTF">2015-06-05T18:19:34Z</dcterms:created>
  <dcterms:modified xsi:type="dcterms:W3CDTF">2026-01-01T11:04:55Z</dcterms:modified>
</cp:coreProperties>
</file>