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<sst xmlns="http://schemas.openxmlformats.org/spreadsheetml/2006/main" count="47" uniqueCount="47">
  <si>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名称</t>
  </si>
  <si>
    <t>温度/℃</t>
  </si>
  <si>
    <t>Rb/Ω</t>
  </si>
  <si>
    <t>其他参数</t>
  </si>
  <si>
    <t>CPE-T</t>
  </si>
  <si>
    <t>CPE-P</t>
  </si>
  <si>
    <t>RP</t>
  </si>
  <si>
    <t>电导率</t>
  </si>
  <si>
    <t>厚度：0.02cm</t>
  </si>
  <si>
    <t>接触面积：1.96cm^2</t>
  </si>
  <si>
    <t>3-LRS-P10-PVA10-AO3-25℃-1</t>
  </si>
  <si>
    <t>3-LRS-P10-PVA10-AO3-22℃-1</t>
  </si>
  <si>
    <t>3-LRS-P10-PVA10-AO3-18℃-1</t>
  </si>
  <si>
    <t>3-LRS-P10-PVA10-AO3-16℃-1</t>
  </si>
  <si>
    <t>3-LRS-P10-PVA10-AO3-13℃-1</t>
  </si>
  <si>
    <t>3-LRS-P10-PVA10-AO3-10℃-1</t>
  </si>
  <si>
    <t>3-LRS-P10-PVA10-AO3-7℃-1</t>
  </si>
  <si>
    <t>3-LRS-P10-PVA10-AO3-4℃-1</t>
  </si>
  <si>
    <t>3-LRS-P10-PVA10-AO3-1℃-1</t>
  </si>
  <si>
    <t>3-LRS-P10-PVA10-AO3--2℃-1</t>
  </si>
  <si>
    <t>3-LRS-P10-PVA10-AO3--5℃-1</t>
  </si>
  <si>
    <t>3-LRS-P10-PVA10-AO3--8℃-1</t>
  </si>
  <si>
    <t>3-LRS-P10-PVA10-AO3--11℃-1</t>
  </si>
  <si>
    <t>3-LRS-P10-PVA10-AO3--14℃-1</t>
  </si>
  <si>
    <t>3-LRS-P10-PVA10-AO3--17℃-1</t>
  </si>
  <si>
    <t>3-LRS-P10-PVA10-AO3--20℃-1</t>
  </si>
  <si>
    <t>3-LRS-P10-PVA10-AO3--23℃-1</t>
  </si>
  <si>
    <t>3-LRS-P10-PVA10-AO3--26℃-1</t>
  </si>
  <si>
    <t>3-LRS-P10-PVA10-AO3--29℃-1</t>
  </si>
  <si>
    <t>3-LRS-P10-PVA10-AO3--32℃-1</t>
  </si>
  <si>
    <t>3-LRS-P10-PVA10-AO3--35℃-1</t>
  </si>
  <si>
    <t>3-LRS-P10-PVA10-AO3--38℃-1</t>
  </si>
  <si>
    <t>3-LRS-P10-PVA10-AO3--41℃-1</t>
  </si>
  <si>
    <t>3-LRS-P10-PVA10-AO3--44℃-1</t>
  </si>
  <si>
    <t>3-LRS-P10-PVA10-AO3--47℃-1</t>
  </si>
  <si>
    <t>3-LRS-P10-PVA10-AO3--50℃-1</t>
  </si>
  <si>
    <t>3-LRS-P10-PVA10-AO3--53℃-1</t>
  </si>
  <si>
    <t>3-LRS-P10-PVA10-AO3--56℃-1</t>
  </si>
  <si>
    <t>3-LRS-P10-PVA10-AO3--59℃-1</t>
  </si>
  <si>
    <t>3-LRS-P10-PVA10-AO3--62℃-1</t>
  </si>
  <si>
    <t>3-LRS-P10-PVA10-AO3--65℃-1</t>
  </si>
  <si>
    <t>3-LRS-P10-PVA10-AO3--68℃-1</t>
  </si>
  <si>
    <t>3-LRS-P10-PVA10-AO3--71℃-1</t>
  </si>
  <si>
    <t>3-LRS-P10-PVA10-AO3--74℃-1</t>
  </si>
  <si>
    <t>3-LRS-P10-PVA10-AO3--77℃-1</t>
  </si>
  <si>
    <t>3-LRS-P10-PVA10-AO3--80℃-1</t>
  </si>
  <si>
    <t>3-LRS-P10-PVA10-AO3--83℃-1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</si>
</sst>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workbookViewId="0">
      <selection activeCell="A38" sqref="A38"/>
    </sheetView>
  </sheetViews>
  <sheetFormatPr defaultColWidth="9" defaultRowHeight="13.5"/>
  <cols>
    <col min="1" max="2" width="27.75" customWidth="1"/>
    <col min="8" max="8" width="12.625"/>
    <col min="9" max="9" width="13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25</v>
      </c>
      <c r="C2">
        <v>0.61925</v>
      </c>
      <c r="H2">
        <f>0.02/(1.96*C2)*1000</f>
        <v>16.4781294027502</v>
      </c>
    </row>
    <row r="3" spans="1:10">
      <c r="A3" t="s">
        <v>11</v>
      </c>
      <c r="B3">
        <v>22</v>
      </c>
      <c r="C3">
        <v>0.45252</v>
      </c>
      <c r="H3">
        <f t="shared" ref="H3:H38" si="0">0.02/(1.96*C3)*1000</f>
        <v>22.5494599855323</v>
      </c>
    </row>
    <row r="4" spans="1:10">
      <c r="A4" t="s">
        <v>12</v>
      </c>
      <c r="B4">
        <v>18</v>
      </c>
      <c r="C4">
        <v>0.46052</v>
      </c>
      <c r="H4">
        <f t="shared" si="0"/>
        <v>22.1577382798859</v>
      </c>
    </row>
    <row r="5" spans="1:10">
      <c r="A5" t="s">
        <v>13</v>
      </c>
      <c r="B5">
        <v>16</v>
      </c>
      <c r="C5">
        <v>0.46422</v>
      </c>
      <c r="H5">
        <f t="shared" si="0"/>
        <v>21.9811331537914</v>
      </c>
    </row>
    <row r="6" spans="1:10">
      <c r="A6" t="s">
        <v>14</v>
      </c>
      <c r="B6">
        <v>13</v>
      </c>
      <c r="C6">
        <v>0.4715</v>
      </c>
      <c r="H6">
        <f t="shared" si="0"/>
        <v>21.6417425931136</v>
      </c>
    </row>
    <row r="7" spans="1:10">
      <c r="A7" t="s">
        <v>15</v>
      </c>
      <c r="B7">
        <v>10</v>
      </c>
      <c r="C7">
        <v>0.47368</v>
      </c>
      <c r="H7">
        <f t="shared" si="0"/>
        <v>21.5421415990818</v>
      </c>
    </row>
    <row r="8" spans="1:10">
      <c r="A8" t="s">
        <v>16</v>
      </c>
      <c r="B8">
        <v>7</v>
      </c>
      <c r="C8">
        <v>0.47699</v>
      </c>
      <c r="H8">
        <f t="shared" si="0"/>
        <v>21.3926531639092</v>
      </c>
    </row>
    <row r="9" spans="1:10">
      <c r="A9" t="s">
        <v>17</v>
      </c>
      <c r="B9">
        <v>4</v>
      </c>
      <c r="C9">
        <v>0.48602</v>
      </c>
      <c r="H9">
        <f t="shared" si="0"/>
        <v>20.9951887425478</v>
      </c>
    </row>
    <row r="10" spans="1:10">
      <c r="A10" t="s">
        <v>18</v>
      </c>
      <c r="B10">
        <v>1</v>
      </c>
      <c r="C10">
        <v>0.48993</v>
      </c>
      <c r="H10">
        <f t="shared" si="0"/>
        <v>20.8276317691365</v>
      </c>
    </row>
    <row r="11" spans="1:10">
      <c r="A11" t="s">
        <v>19</v>
      </c>
      <c r="B11">
        <v>-2</v>
      </c>
      <c r="C11">
        <v>0.53131</v>
      </c>
      <c r="H11">
        <f t="shared" si="0"/>
        <v>19.2055139798857</v>
      </c>
    </row>
    <row r="12" spans="1:10">
      <c r="A12" t="s">
        <v>20</v>
      </c>
      <c r="B12">
        <v>-5</v>
      </c>
      <c r="C12">
        <v>0.539</v>
      </c>
      <c r="H12">
        <f t="shared" si="0"/>
        <v>18.9315058119723</v>
      </c>
    </row>
    <row r="13" spans="1:10">
      <c r="A13" t="s">
        <v>21</v>
      </c>
      <c r="B13">
        <v>-8</v>
      </c>
      <c r="C13">
        <v>0.55333</v>
      </c>
      <c r="H13">
        <f t="shared" si="0"/>
        <v>18.4412224760144</v>
      </c>
    </row>
    <row r="14" spans="1:10">
      <c r="A14" t="s">
        <v>22</v>
      </c>
      <c r="B14">
        <v>-11</v>
      </c>
      <c r="C14">
        <v>0.56046</v>
      </c>
      <c r="H14">
        <f t="shared" si="0"/>
        <v>18.206618907064</v>
      </c>
    </row>
    <row r="15" spans="1:10">
      <c r="A15" t="s">
        <v>23</v>
      </c>
      <c r="B15">
        <v>-14</v>
      </c>
      <c r="C15">
        <v>0.55678</v>
      </c>
      <c r="H15">
        <f t="shared" si="0"/>
        <v>18.326954331429</v>
      </c>
    </row>
    <row r="16" spans="1:10">
      <c r="A16" t="s">
        <v>24</v>
      </c>
      <c r="B16">
        <v>-17</v>
      </c>
      <c r="C16">
        <v>0.57508</v>
      </c>
      <c r="H16">
        <f t="shared" si="0"/>
        <v>17.7437602292778</v>
      </c>
    </row>
    <row r="17" spans="1:8">
      <c r="A17" t="s">
        <v>25</v>
      </c>
      <c r="B17">
        <v>-20</v>
      </c>
      <c r="C17">
        <v>0.58498</v>
      </c>
      <c r="H17">
        <f t="shared" si="0"/>
        <v>17.4434709437127</v>
      </c>
    </row>
    <row r="18" spans="1:8">
      <c r="A18" t="s">
        <v>26</v>
      </c>
      <c r="B18">
        <v>-23</v>
      </c>
      <c r="C18">
        <v>0.611</v>
      </c>
      <c r="H18">
        <f t="shared" si="0"/>
        <v>16.7006246033602</v>
      </c>
    </row>
    <row r="19" spans="1:8">
      <c r="A19" t="s">
        <v>27</v>
      </c>
      <c r="B19">
        <v>-26</v>
      </c>
      <c r="C19">
        <v>0.64595</v>
      </c>
      <c r="H19">
        <f t="shared" si="0"/>
        <v>15.7970146801657</v>
      </c>
    </row>
    <row r="20" spans="1:8">
      <c r="A20" t="s">
        <v>28</v>
      </c>
      <c r="B20">
        <v>-29</v>
      </c>
      <c r="C20">
        <v>0.68689</v>
      </c>
      <c r="H20">
        <f t="shared" si="0"/>
        <v>14.8554814201008</v>
      </c>
    </row>
    <row r="21" spans="1:8">
      <c r="A21" t="s">
        <v>29</v>
      </c>
      <c r="B21">
        <v>-32</v>
      </c>
      <c r="C21">
        <v>0.72278</v>
      </c>
      <c r="H21">
        <f t="shared" si="0"/>
        <v>14.117825109512</v>
      </c>
    </row>
    <row r="22" spans="1:8">
      <c r="A22" t="s">
        <v>30</v>
      </c>
      <c r="B22">
        <v>-35</v>
      </c>
      <c r="C22">
        <v>0.85515</v>
      </c>
      <c r="H22">
        <f t="shared" si="0"/>
        <v>11.9325049788377</v>
      </c>
    </row>
    <row r="23" spans="1:8">
      <c r="A23" t="s">
        <v>31</v>
      </c>
      <c r="B23">
        <v>-38</v>
      </c>
      <c r="C23">
        <v>1.691</v>
      </c>
      <c r="H23">
        <f t="shared" si="0"/>
        <v>6.03434750600418</v>
      </c>
    </row>
    <row r="24" spans="1:8">
      <c r="A24" t="s">
        <v>32</v>
      </c>
      <c r="B24">
        <v>-41</v>
      </c>
      <c r="C24">
        <v>2.587</v>
      </c>
      <c r="H24">
        <f t="shared" si="0"/>
        <v>3.94436862491421</v>
      </c>
    </row>
    <row r="25" spans="1:8">
      <c r="A25" t="s">
        <v>33</v>
      </c>
      <c r="B25">
        <v>-44</v>
      </c>
      <c r="C25">
        <v>4.075</v>
      </c>
      <c r="H25">
        <f t="shared" si="0"/>
        <v>2.5040691123075</v>
      </c>
    </row>
    <row r="26" spans="1:8">
      <c r="A26" t="s">
        <v>34</v>
      </c>
      <c r="B26">
        <v>-47</v>
      </c>
      <c r="C26">
        <v>7.16</v>
      </c>
      <c r="H26">
        <f t="shared" si="0"/>
        <v>1.425151066013</v>
      </c>
    </row>
    <row r="27" spans="1:8">
      <c r="A27" t="s">
        <v>35</v>
      </c>
      <c r="B27">
        <v>-50</v>
      </c>
      <c r="C27">
        <v>11.91</v>
      </c>
      <c r="H27">
        <f t="shared" si="0"/>
        <v>0.856765880155589</v>
      </c>
    </row>
    <row r="28" spans="1:8">
      <c r="A28" t="s">
        <v>36</v>
      </c>
      <c r="B28">
        <v>-53</v>
      </c>
      <c r="C28">
        <v>22.58</v>
      </c>
      <c r="H28">
        <f t="shared" si="0"/>
        <v>0.451907955387647</v>
      </c>
    </row>
    <row r="29" spans="1:8">
      <c r="A29" t="s">
        <v>37</v>
      </c>
      <c r="B29">
        <v>-56</v>
      </c>
      <c r="C29">
        <v>41.55</v>
      </c>
      <c r="H29">
        <f t="shared" si="0"/>
        <v>0.245585598860483</v>
      </c>
    </row>
    <row r="30" spans="1:8">
      <c r="A30" t="s">
        <v>38</v>
      </c>
      <c r="B30">
        <v>-59</v>
      </c>
      <c r="C30">
        <v>84.06</v>
      </c>
      <c r="H30">
        <f t="shared" si="0"/>
        <v>0.121390454825756</v>
      </c>
    </row>
    <row r="31" spans="1:8">
      <c r="A31" t="s">
        <v>39</v>
      </c>
      <c r="B31">
        <v>-62</v>
      </c>
      <c r="C31">
        <v>158</v>
      </c>
      <c r="H31">
        <f t="shared" si="0"/>
        <v>0.0645827951433738</v>
      </c>
    </row>
    <row r="32" spans="1:8">
      <c r="A32" t="s">
        <v>40</v>
      </c>
      <c r="B32">
        <v>-65</v>
      </c>
      <c r="C32">
        <v>339.1</v>
      </c>
      <c r="H32">
        <f t="shared" si="0"/>
        <v>0.0300916591939046</v>
      </c>
    </row>
    <row r="33" spans="1:8">
      <c r="A33" t="s">
        <v>41</v>
      </c>
      <c r="B33">
        <v>-68</v>
      </c>
      <c r="C33">
        <v>652.2</v>
      </c>
      <c r="H33">
        <f t="shared" si="0"/>
        <v>0.0156456326780942</v>
      </c>
    </row>
    <row r="34" spans="1:8">
      <c r="A34" t="s">
        <v>42</v>
      </c>
      <c r="B34">
        <v>-71</v>
      </c>
      <c r="C34">
        <v>1308</v>
      </c>
      <c r="H34">
        <f t="shared" si="0"/>
        <v>0.00780128565187543</v>
      </c>
    </row>
    <row r="35" spans="1:8">
      <c r="A35" t="s">
        <v>43</v>
      </c>
      <c r="B35">
        <v>-74</v>
      </c>
      <c r="C35">
        <v>5242</v>
      </c>
      <c r="H35">
        <f t="shared" si="0"/>
        <v>0.00194660084560341</v>
      </c>
    </row>
    <row r="36" spans="1:8">
      <c r="A36" t="s">
        <v>44</v>
      </c>
      <c r="B36">
        <v>-77</v>
      </c>
      <c r="C36">
        <v>9973</v>
      </c>
      <c r="H36">
        <f t="shared" si="0"/>
        <v>0.0010231707242207</v>
      </c>
    </row>
    <row r="37" spans="1:8">
      <c r="A37" t="s">
        <v>45</v>
      </c>
      <c r="B37">
        <v>-80</v>
      </c>
      <c r="C37">
        <v>27057</v>
      </c>
      <c r="H37">
        <f t="shared" si="0"/>
        <v>0.000377132780154971</v>
      </c>
    </row>
    <row r="38" spans="1:8">
      <c r="A38" t="s">
        <v>46</v>
      </c>
      <c r="B38">
        <v>-83</v>
      </c>
      <c r="C38">
        <v>33285</v>
      </c>
      <c r="H38">
        <f t="shared" si="0"/>
        <v>0.000306566971087669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刘晋圳</cp:lastModifiedBy>
  <dcterms:created xsi:type="dcterms:W3CDTF">2023-05-12T11:15:00Z</dcterms:created>
  <dcterms:modified xsi:type="dcterms:W3CDTF">2026-05-08T07:02:13Z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957EB3B1D4994A1EB6EB7739E323C05C_12</vt:lpwstr>
  </property>
  <property fmtid="{D5CDD505-2E9C-101B-9397-08002B2CF9AE}" pid="4" name="CalculationRule">
    <vt:i4>0</vt:i4>
  </property>
</Properties>
</file>