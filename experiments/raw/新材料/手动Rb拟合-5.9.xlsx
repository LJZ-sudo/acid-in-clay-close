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640" windowHeight="45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<sst xmlns="http://schemas.openxmlformats.org/spreadsheetml/2006/main" count="11" uniqueCount="11">
  <si>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名称</t>
  </si>
  <si>
    <t>温度/℃</t>
  </si>
  <si>
    <t>Rb/Ω</t>
  </si>
  <si>
    <t>其他参数</t>
  </si>
  <si>
    <t>CPE-T</t>
  </si>
  <si>
    <t>CPE-P</t>
  </si>
  <si>
    <t>RP</t>
  </si>
  <si>
    <t>电导率</t>
  </si>
  <si>
    <t>厚度：0.022cm</t>
  </si>
  <si>
    <t>接触面积：1.96cm^2</t>
  </si>
  <si>
    <t>LRS-P10-PVA10-AO3-4-18℃-1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</si>
</sst>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"/>
  <sheetViews>
    <sheetView tabSelected="1" workbookViewId="0">
      <selection activeCell="I1" sqref="I1"/>
    </sheetView>
  </sheetViews>
  <sheetFormatPr defaultColWidth="9" defaultRowHeight="13.5"/>
  <cols>
    <col min="1" max="1" width="32.875" customWidth="1"/>
    <col min="8" max="8" width="12.625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18</v>
      </c>
      <c r="C2">
        <v>0.5189</v>
      </c>
      <c r="H2">
        <f>0.022/(1.96*C2)*1000</f>
        <v>21.6313158526081</v>
      </c>
    </row>
    <row r="3" spans="1:10">
      <c r="B3">
        <v>15</v>
      </c>
      <c r="C3">
        <v>0.52217</v>
      </c>
      <c r="H3">
        <f t="shared" ref="H3:H35" si="0">0.022/(1.96*C3)*1000</f>
        <v>21.4958534498695</v>
      </c>
    </row>
    <row r="4" spans="1:10">
      <c r="B4">
        <v>12</v>
      </c>
      <c r="C4">
        <v>0.53107</v>
      </c>
      <c r="H4">
        <f t="shared" si="0"/>
        <v>21.1356126234176</v>
      </c>
    </row>
    <row r="5" spans="1:10">
      <c r="B5">
        <v>9</v>
      </c>
      <c r="C5">
        <v>0.53295</v>
      </c>
      <c r="H5">
        <f t="shared" si="0"/>
        <v>21.0610560013479</v>
      </c>
    </row>
    <row r="6" spans="1:10">
      <c r="B6">
        <v>6</v>
      </c>
      <c r="C6">
        <v>0.54062</v>
      </c>
      <c r="H6">
        <f t="shared" si="0"/>
        <v>20.7622540711005</v>
      </c>
    </row>
    <row r="7" spans="1:10">
      <c r="B7">
        <v>3</v>
      </c>
      <c r="C7">
        <v>0.54206</v>
      </c>
      <c r="H7">
        <f t="shared" si="0"/>
        <v>20.7070984686536</v>
      </c>
    </row>
    <row r="8" spans="1:10">
      <c r="B8">
        <v>0</v>
      </c>
      <c r="C8">
        <v>0.54928</v>
      </c>
      <c r="H8">
        <f t="shared" si="0"/>
        <v>20.4349144260093</v>
      </c>
    </row>
    <row r="9" spans="1:10">
      <c r="B9">
        <v>-3</v>
      </c>
      <c r="C9">
        <v>0.55607</v>
      </c>
      <c r="H9">
        <f t="shared" si="0"/>
        <v>20.1853899615487</v>
      </c>
    </row>
    <row r="10" spans="1:10">
      <c r="B10">
        <v>-6</v>
      </c>
      <c r="C10">
        <v>0.55971</v>
      </c>
      <c r="H10">
        <f t="shared" si="0"/>
        <v>20.0541169461299</v>
      </c>
    </row>
    <row r="11" spans="1:10">
      <c r="B11">
        <v>-9</v>
      </c>
      <c r="C11">
        <v>0.56538</v>
      </c>
      <c r="H11">
        <f t="shared" si="0"/>
        <v>19.8530011601372</v>
      </c>
    </row>
    <row r="12" spans="1:10">
      <c r="B12">
        <v>-12</v>
      </c>
      <c r="C12">
        <v>0.59046</v>
      </c>
      <c r="H12">
        <f t="shared" si="0"/>
        <v>19.0097378246086</v>
      </c>
    </row>
    <row r="13" spans="1:10">
      <c r="B13">
        <v>-15</v>
      </c>
      <c r="C13">
        <v>0.60884</v>
      </c>
      <c r="H13">
        <f t="shared" si="0"/>
        <v>18.4358613033282</v>
      </c>
    </row>
    <row r="14" spans="1:10">
      <c r="B14">
        <v>-18</v>
      </c>
      <c r="C14">
        <v>0.6304</v>
      </c>
      <c r="H14">
        <f t="shared" si="0"/>
        <v>17.8053454884492</v>
      </c>
    </row>
    <row r="15" spans="1:10">
      <c r="B15">
        <v>-21</v>
      </c>
      <c r="C15">
        <v>0.64396</v>
      </c>
      <c r="H15">
        <f t="shared" si="0"/>
        <v>17.4304146156879</v>
      </c>
    </row>
    <row r="16" spans="1:10">
      <c r="B16">
        <v>-24</v>
      </c>
      <c r="C16">
        <v>0.66132</v>
      </c>
      <c r="H16">
        <f t="shared" si="0"/>
        <v>16.9728570070743</v>
      </c>
    </row>
    <row r="17" spans="2:8">
      <c r="B17">
        <v>-27</v>
      </c>
      <c r="C17">
        <v>0.67442</v>
      </c>
      <c r="H17">
        <f t="shared" si="0"/>
        <v>16.6431745735867</v>
      </c>
    </row>
    <row r="18" spans="2:8">
      <c r="B18">
        <v>-30</v>
      </c>
      <c r="C18">
        <v>0.69657</v>
      </c>
      <c r="H18">
        <f t="shared" si="0"/>
        <v>16.1139437471013</v>
      </c>
    </row>
    <row r="19" spans="2:8">
      <c r="B19">
        <v>-33</v>
      </c>
      <c r="C19">
        <v>1.226</v>
      </c>
      <c r="H19">
        <f t="shared" si="0"/>
        <v>9.15537503745381</v>
      </c>
    </row>
    <row r="20" spans="2:8">
      <c r="B20">
        <v>-36</v>
      </c>
      <c r="C20">
        <v>1.879</v>
      </c>
      <c r="H20">
        <f t="shared" si="0"/>
        <v>5.97365076951483</v>
      </c>
    </row>
    <row r="21" spans="2:8">
      <c r="B21">
        <v>-39</v>
      </c>
      <c r="C21">
        <v>2.763</v>
      </c>
      <c r="H21">
        <f t="shared" si="0"/>
        <v>4.0624284458626</v>
      </c>
    </row>
    <row r="22" spans="2:8">
      <c r="B22">
        <v>-42</v>
      </c>
      <c r="C22">
        <v>4.201</v>
      </c>
      <c r="H22">
        <f t="shared" si="0"/>
        <v>2.67186141297747</v>
      </c>
    </row>
    <row r="23" spans="2:8">
      <c r="B23">
        <v>-45</v>
      </c>
      <c r="C23">
        <v>7.596</v>
      </c>
      <c r="H23">
        <f t="shared" si="0"/>
        <v>1.47768428066329</v>
      </c>
    </row>
    <row r="24" spans="2:8">
      <c r="B24">
        <v>-48</v>
      </c>
      <c r="C24">
        <v>13.48</v>
      </c>
      <c r="H24">
        <f t="shared" si="0"/>
        <v>0.832677284563677</v>
      </c>
    </row>
    <row r="25" spans="2:8">
      <c r="B25">
        <v>-51</v>
      </c>
      <c r="C25">
        <v>22.79</v>
      </c>
      <c r="H25">
        <f t="shared" si="0"/>
        <v>0.492518200786238</v>
      </c>
    </row>
    <row r="26" spans="2:8">
      <c r="B26">
        <v>-54</v>
      </c>
      <c r="C26">
        <v>62.07</v>
      </c>
      <c r="H26">
        <f t="shared" si="0"/>
        <v>0.180835988334435</v>
      </c>
    </row>
    <row r="27" spans="2:8">
      <c r="B27">
        <v>-57</v>
      </c>
      <c r="C27">
        <v>91.9</v>
      </c>
      <c r="H27">
        <f t="shared" si="0"/>
        <v>0.122138082654172</v>
      </c>
    </row>
    <row r="28" spans="2:8">
      <c r="B28">
        <v>-60</v>
      </c>
      <c r="C28">
        <v>158.9</v>
      </c>
      <c r="H28">
        <f t="shared" si="0"/>
        <v>0.0706387023028217</v>
      </c>
    </row>
    <row r="29" spans="2:8">
      <c r="B29">
        <v>-63</v>
      </c>
      <c r="C29">
        <v>346.5</v>
      </c>
      <c r="H29">
        <f t="shared" si="0"/>
        <v>0.0323939099449304</v>
      </c>
    </row>
    <row r="30" spans="2:8">
      <c r="B30">
        <v>-66</v>
      </c>
      <c r="C30">
        <v>555.4</v>
      </c>
      <c r="H30">
        <f t="shared" si="0"/>
        <v>0.0202097403599539</v>
      </c>
    </row>
    <row r="31" spans="2:8">
      <c r="B31">
        <v>-69</v>
      </c>
      <c r="C31">
        <v>886.8</v>
      </c>
      <c r="H31">
        <f t="shared" si="0"/>
        <v>0.0126572956652214</v>
      </c>
    </row>
    <row r="32" spans="2:8">
      <c r="B32">
        <v>-72</v>
      </c>
      <c r="C32">
        <v>1815</v>
      </c>
      <c r="H32">
        <f t="shared" si="0"/>
        <v>0.00618429189857761</v>
      </c>
    </row>
    <row r="33" spans="2:8">
      <c r="B33">
        <v>-75</v>
      </c>
      <c r="C33">
        <v>3273</v>
      </c>
      <c r="H33">
        <f t="shared" si="0"/>
        <v>0.00342941943046696</v>
      </c>
    </row>
    <row r="34" spans="2:8">
      <c r="B34">
        <v>-78</v>
      </c>
      <c r="C34">
        <v>7420</v>
      </c>
      <c r="H34">
        <f t="shared" si="0"/>
        <v>0.00151273447384345</v>
      </c>
    </row>
    <row r="35" spans="2:8">
      <c r="B35">
        <v>-81</v>
      </c>
      <c r="C35">
        <v>14327</v>
      </c>
      <c r="H35">
        <f t="shared" si="0"/>
        <v>0.000783450114882276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刘晋圳</cp:lastModifiedBy>
  <dcterms:created xsi:type="dcterms:W3CDTF">2023-05-12T11:15:00Z</dcterms:created>
  <dcterms:modified xsi:type="dcterms:W3CDTF">2026-05-27T09:35:42Z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5F95E40C9EAE4D2494F50BFC985F223C_12</vt:lpwstr>
  </property>
  <property fmtid="{D5CDD505-2E9C-101B-9397-08002B2CF9AE}" pid="4" name="CalculationRule">
    <vt:i4>0</vt:i4>
  </property>
</Properties>
</file>