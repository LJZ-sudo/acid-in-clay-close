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<sst xmlns="http://schemas.openxmlformats.org/spreadsheetml/2006/main" count="97" uniqueCount="96">
  <si>
    <t>名称</t>
  </si>
  <si>
    <t>温度/℃</t>
  </si>
  <si>
    <t>Rb/Ω</t>
  </si>
  <si>
    <t>其他参数</t>
  </si>
  <si>
    <t>CPE-T</t>
  </si>
  <si>
    <t>CPE-P</t>
  </si>
  <si>
    <t>RP</t>
  </si>
  <si>
    <t>电导率</t>
  </si>
  <si>
    <t>厚度：0.06cm</t>
  </si>
  <si>
    <t>接触面积：1.96cm^2</t>
  </si>
  <si>
    <t>dian-24℃-1</t>
  </si>
  <si>
    <t>dian-24℃-2</t>
  </si>
  <si>
    <t>dian-22℃-1</t>
  </si>
  <si>
    <t>dian-21℃-2</t>
  </si>
  <si>
    <t>dian-21℃-1</t>
  </si>
  <si>
    <t>dian-18℃-1</t>
  </si>
  <si>
    <t>dian-18℃-2</t>
  </si>
  <si>
    <t>dian-15℃-1</t>
  </si>
  <si>
    <t>dian-15℃-2</t>
  </si>
  <si>
    <t>dian-12℃-1</t>
  </si>
  <si>
    <t>dian-12℃-2</t>
  </si>
  <si>
    <t>dian-9℃-1</t>
  </si>
  <si>
    <t>dian-9℃-2</t>
  </si>
  <si>
    <t>dian-6℃-1</t>
  </si>
  <si>
    <t>dian-6℃-2</t>
  </si>
  <si>
    <t>dian-3℃-1</t>
  </si>
  <si>
    <t>dian-0℃-1</t>
  </si>
  <si>
    <t>dian-0℃-2</t>
  </si>
  <si>
    <t>dian--3℃-1</t>
  </si>
  <si>
    <t>dian--3℃-2</t>
  </si>
  <si>
    <t>dian--6℃-1</t>
  </si>
  <si>
    <t>dian--6℃-2</t>
  </si>
  <si>
    <t>dian--9℃-1</t>
  </si>
  <si>
    <t>9.8685E-5</t>
  </si>
  <si>
    <t>dian--9℃-2</t>
  </si>
  <si>
    <t>9.9125E-5</t>
  </si>
  <si>
    <t>dian--12℃-1</t>
  </si>
  <si>
    <t>9.4014E-5</t>
  </si>
  <si>
    <t>dian--12℃-2</t>
  </si>
  <si>
    <t>9.4832E-5</t>
  </si>
  <si>
    <t>dian--15℃-1</t>
  </si>
  <si>
    <t>8.9439E-5</t>
  </si>
  <si>
    <t>dian--15℃-2</t>
  </si>
  <si>
    <t>8.9076E-5</t>
  </si>
  <si>
    <t>dian--18℃-1</t>
  </si>
  <si>
    <t>8.4163E-5</t>
  </si>
  <si>
    <t>dian--18℃-2</t>
  </si>
  <si>
    <t>8.4755E-5</t>
  </si>
  <si>
    <t>dian--18℃-3</t>
  </si>
  <si>
    <t>8.3419E-5</t>
  </si>
  <si>
    <t>dian--21℃-1</t>
  </si>
  <si>
    <t>7.9135E-5</t>
  </si>
  <si>
    <t>dian--21℃-2</t>
  </si>
  <si>
    <t>7.8959E-5</t>
  </si>
  <si>
    <t>dian--24℃-1</t>
  </si>
  <si>
    <t>7.384E-5</t>
  </si>
  <si>
    <t>dian--24℃-2</t>
  </si>
  <si>
    <t>7.4363E-5</t>
  </si>
  <si>
    <t>dian--27℃-1</t>
  </si>
  <si>
    <t>6.8913E-5</t>
  </si>
  <si>
    <t>dian--27℃-2</t>
  </si>
  <si>
    <t>6.9357E-5</t>
  </si>
  <si>
    <t>dian--30℃-1</t>
  </si>
  <si>
    <t>6.4005E-5</t>
  </si>
  <si>
    <t>dian--30℃-2</t>
  </si>
  <si>
    <t>6.4344E-5</t>
  </si>
  <si>
    <t>dian--33℃-1</t>
  </si>
  <si>
    <t>5.9531E-5</t>
  </si>
  <si>
    <t>dian--33℃-2</t>
  </si>
  <si>
    <t>5.9721E-5</t>
  </si>
  <si>
    <t>dian--36℃-1</t>
  </si>
  <si>
    <t>5.4715E-5</t>
  </si>
  <si>
    <t>dian--36℃-2</t>
  </si>
  <si>
    <t>5.495E-5</t>
  </si>
  <si>
    <t>dian--39℃-1</t>
  </si>
  <si>
    <t>5.2191E-5</t>
  </si>
  <si>
    <t>dian--42℃-1</t>
  </si>
  <si>
    <t>4.8272E-5</t>
  </si>
  <si>
    <t>dian--45℃-1</t>
  </si>
  <si>
    <t>4.4786E-5</t>
  </si>
  <si>
    <t>dian--48℃-1</t>
  </si>
  <si>
    <t>4.1783E-5</t>
  </si>
  <si>
    <t>dian--51℃-1</t>
  </si>
  <si>
    <t>3.8236E-5</t>
  </si>
  <si>
    <t>dian--54℃-1</t>
  </si>
  <si>
    <t>3.5892E-5</t>
  </si>
  <si>
    <t>dian--57℃-1</t>
  </si>
  <si>
    <t>3.2375E-5</t>
  </si>
  <si>
    <t>dian--60℃-1</t>
  </si>
  <si>
    <t>2.5977E-5</t>
  </si>
  <si>
    <t>dian--63℃-1</t>
  </si>
  <si>
    <t>2.5018E-5</t>
  </si>
  <si>
    <t>dian--66℃-1</t>
  </si>
  <si>
    <t>2.3016E-5</t>
  </si>
  <si>
    <t>dian--69℃-1</t>
  </si>
  <si>
    <t>2.0179E-5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</si>
</sst>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workbookViewId="0">
      <selection activeCell="I1" sqref="I1"/>
    </sheetView>
  </sheetViews>
  <sheetFormatPr defaultColWidth="9" defaultRowHeight="13.5"/>
  <cols>
    <col min="1" max="1" width="12.625" customWidth="1"/>
    <col min="5" max="5" width="11.5"/>
    <col min="8" max="8" width="12.625"/>
    <col min="9" max="9" width="13.375" customWidth="1"/>
  </cols>
  <sheetData>
    <row r="1" customFormat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24</v>
      </c>
      <c r="C2">
        <v>2.432</v>
      </c>
      <c r="E2">
        <v>0.00015457</v>
      </c>
      <c r="F2">
        <v>0.81429</v>
      </c>
      <c r="H2">
        <f>0.06/(1.96*C2)*1000</f>
        <v>12.5872717508056</v>
      </c>
    </row>
    <row r="3" spans="1:10">
      <c r="A3" t="s">
        <v>11</v>
      </c>
      <c r="B3">
        <v>24</v>
      </c>
      <c r="C3">
        <v>2.378</v>
      </c>
      <c r="E3">
        <v>0.00015463</v>
      </c>
      <c r="F3">
        <v>0.81417</v>
      </c>
      <c r="H3">
        <f t="shared" ref="H3:H34" si="0">0.06/(1.96*C3)*1000</f>
        <v>12.8731055079727</v>
      </c>
    </row>
    <row r="4" spans="1:10">
      <c r="A4" t="s">
        <v>12</v>
      </c>
      <c r="B4">
        <v>22</v>
      </c>
      <c r="C4">
        <v>2.762</v>
      </c>
      <c r="E4">
        <v>0.00015684</v>
      </c>
      <c r="F4">
        <v>0.81478</v>
      </c>
      <c r="H4">
        <f t="shared" si="0"/>
        <v>11.0833616574798</v>
      </c>
    </row>
    <row r="5" spans="1:10">
      <c r="A5" t="s">
        <v>13</v>
      </c>
      <c r="B5">
        <v>21</v>
      </c>
      <c r="C5">
        <v>2.57</v>
      </c>
      <c r="E5">
        <v>0.00014847</v>
      </c>
      <c r="F5">
        <v>0.8141</v>
      </c>
      <c r="H5">
        <f t="shared" si="0"/>
        <v>11.9113793377273</v>
      </c>
    </row>
    <row r="6" spans="1:10">
      <c r="A6" t="s">
        <v>14</v>
      </c>
      <c r="B6">
        <v>21</v>
      </c>
      <c r="C6">
        <v>2.59</v>
      </c>
      <c r="E6">
        <v>0.00014785</v>
      </c>
      <c r="F6">
        <v>0.81507</v>
      </c>
      <c r="H6">
        <f t="shared" si="0"/>
        <v>11.8193995745016</v>
      </c>
    </row>
    <row r="7" spans="1:10">
      <c r="A7" t="s">
        <v>15</v>
      </c>
      <c r="B7">
        <v>18</v>
      </c>
      <c r="C7">
        <v>2.787</v>
      </c>
      <c r="E7">
        <v>0.000143</v>
      </c>
      <c r="F7">
        <v>0.81388</v>
      </c>
      <c r="H7">
        <f t="shared" si="0"/>
        <v>10.9839414775598</v>
      </c>
    </row>
    <row r="8" spans="1:10">
      <c r="A8" t="s">
        <v>16</v>
      </c>
      <c r="B8">
        <v>18</v>
      </c>
      <c r="C8">
        <v>2.744</v>
      </c>
      <c r="E8">
        <v>0.00014299</v>
      </c>
      <c r="F8">
        <v>0.81419</v>
      </c>
      <c r="H8">
        <f t="shared" si="0"/>
        <v>11.1560659249122</v>
      </c>
    </row>
    <row r="9" spans="1:10">
      <c r="A9" t="s">
        <v>17</v>
      </c>
      <c r="B9">
        <v>15</v>
      </c>
      <c r="C9">
        <v>3.054</v>
      </c>
      <c r="E9">
        <v>0.00013761</v>
      </c>
      <c r="F9">
        <v>0.81432</v>
      </c>
      <c r="H9">
        <f t="shared" si="0"/>
        <v>10.0236558277535</v>
      </c>
    </row>
    <row r="10" spans="1:10">
      <c r="A10" t="s">
        <v>18</v>
      </c>
      <c r="B10">
        <v>15</v>
      </c>
      <c r="C10">
        <v>3.072</v>
      </c>
      <c r="E10">
        <v>0.00013817</v>
      </c>
      <c r="F10">
        <v>0.81346</v>
      </c>
      <c r="H10">
        <f t="shared" si="0"/>
        <v>9.96492346938775</v>
      </c>
    </row>
    <row r="11" spans="1:10">
      <c r="A11" t="s">
        <v>19</v>
      </c>
      <c r="B11">
        <v>12</v>
      </c>
      <c r="C11">
        <v>3.327</v>
      </c>
      <c r="E11">
        <v>0.0001328</v>
      </c>
      <c r="F11">
        <v>0.81379</v>
      </c>
      <c r="H11">
        <f t="shared" si="0"/>
        <v>9.20115566515154</v>
      </c>
    </row>
    <row r="12" spans="1:10">
      <c r="A12" t="s">
        <v>20</v>
      </c>
      <c r="B12">
        <v>12</v>
      </c>
      <c r="C12">
        <v>3.268</v>
      </c>
      <c r="E12">
        <v>0.00013343</v>
      </c>
      <c r="F12">
        <v>0.81312</v>
      </c>
      <c r="H12">
        <f t="shared" si="0"/>
        <v>9.36727200059951</v>
      </c>
    </row>
    <row r="13" spans="1:10">
      <c r="A13" t="s">
        <v>21</v>
      </c>
      <c r="B13">
        <v>9</v>
      </c>
      <c r="C13">
        <v>3.606</v>
      </c>
      <c r="E13">
        <v>0.00012901</v>
      </c>
      <c r="F13">
        <v>0.81285</v>
      </c>
      <c r="H13">
        <f t="shared" si="0"/>
        <v>8.48925260620055</v>
      </c>
    </row>
    <row r="14" spans="1:10">
      <c r="A14" t="s">
        <v>22</v>
      </c>
      <c r="B14">
        <v>9</v>
      </c>
      <c r="C14">
        <v>3.644</v>
      </c>
      <c r="E14">
        <v>0.00012847</v>
      </c>
      <c r="F14">
        <v>0.81274</v>
      </c>
      <c r="H14">
        <f t="shared" si="0"/>
        <v>8.40072582271108</v>
      </c>
    </row>
    <row r="15" spans="1:10">
      <c r="A15" t="s">
        <v>23</v>
      </c>
      <c r="B15">
        <v>6</v>
      </c>
      <c r="C15">
        <v>4.088</v>
      </c>
      <c r="E15">
        <v>0.00012363</v>
      </c>
      <c r="F15">
        <v>0.81195</v>
      </c>
      <c r="H15">
        <f t="shared" si="0"/>
        <v>7.48831822357123</v>
      </c>
    </row>
    <row r="16" spans="1:10">
      <c r="A16" t="s">
        <v>24</v>
      </c>
      <c r="B16">
        <v>6</v>
      </c>
      <c r="C16">
        <v>4</v>
      </c>
      <c r="E16">
        <v>0.0001242</v>
      </c>
      <c r="F16">
        <v>0.81175</v>
      </c>
      <c r="H16">
        <f t="shared" si="0"/>
        <v>7.6530612244898</v>
      </c>
    </row>
    <row r="17" spans="1:8">
      <c r="A17" t="s">
        <v>25</v>
      </c>
      <c r="B17">
        <v>3</v>
      </c>
      <c r="C17">
        <v>4.58</v>
      </c>
      <c r="E17">
        <v>0.00011765</v>
      </c>
      <c r="F17">
        <v>0.81075</v>
      </c>
      <c r="H17">
        <f t="shared" si="0"/>
        <v>6.68389626592995</v>
      </c>
    </row>
    <row r="18" spans="1:8">
      <c r="A18" t="s">
        <v>25</v>
      </c>
      <c r="B18">
        <v>3</v>
      </c>
      <c r="C18">
        <v>4.579</v>
      </c>
      <c r="E18">
        <v>0.00011765</v>
      </c>
      <c r="F18">
        <v>0.81075</v>
      </c>
      <c r="H18">
        <f t="shared" si="0"/>
        <v>6.68535595063533</v>
      </c>
    </row>
    <row r="19" spans="1:8">
      <c r="A19" t="s">
        <v>26</v>
      </c>
      <c r="B19">
        <v>0</v>
      </c>
      <c r="C19">
        <v>5.136</v>
      </c>
      <c r="E19">
        <v>0.00011373</v>
      </c>
      <c r="F19">
        <v>0.81023</v>
      </c>
      <c r="H19">
        <f t="shared" si="0"/>
        <v>5.96032805645623</v>
      </c>
    </row>
    <row r="20" spans="1:8">
      <c r="A20" t="s">
        <v>27</v>
      </c>
      <c r="B20">
        <v>0</v>
      </c>
      <c r="C20">
        <v>5.16</v>
      </c>
      <c r="E20">
        <v>0.0001134</v>
      </c>
      <c r="F20">
        <v>0.81032</v>
      </c>
      <c r="H20">
        <f t="shared" si="0"/>
        <v>5.93260560037969</v>
      </c>
    </row>
    <row r="21" spans="1:8">
      <c r="A21" t="s">
        <v>28</v>
      </c>
      <c r="B21">
        <v>-3</v>
      </c>
      <c r="C21">
        <v>5.998</v>
      </c>
      <c r="E21">
        <v>0.00010875</v>
      </c>
      <c r="F21">
        <v>0.80959</v>
      </c>
      <c r="H21">
        <f t="shared" si="0"/>
        <v>5.10374206368109</v>
      </c>
    </row>
    <row r="22" spans="1:8">
      <c r="A22" t="s">
        <v>29</v>
      </c>
      <c r="B22">
        <v>-3</v>
      </c>
      <c r="C22">
        <v>6.031</v>
      </c>
      <c r="E22">
        <v>0.00010894</v>
      </c>
      <c r="F22">
        <v>0.8093</v>
      </c>
      <c r="H22">
        <f t="shared" si="0"/>
        <v>5.07581576819088</v>
      </c>
    </row>
    <row r="23" spans="1:8">
      <c r="A23" t="s">
        <v>30</v>
      </c>
      <c r="B23">
        <v>-6</v>
      </c>
      <c r="C23">
        <v>6.977</v>
      </c>
      <c r="E23">
        <v>0.00010408</v>
      </c>
      <c r="F23">
        <v>0.80921</v>
      </c>
      <c r="H23">
        <f t="shared" si="0"/>
        <v>4.38759422358595</v>
      </c>
    </row>
    <row r="24" spans="1:8">
      <c r="A24" t="s">
        <v>31</v>
      </c>
      <c r="B24">
        <v>-6</v>
      </c>
      <c r="C24">
        <v>7.177</v>
      </c>
      <c r="E24">
        <v>0.00010351</v>
      </c>
      <c r="F24">
        <v>0.80888</v>
      </c>
      <c r="H24">
        <f t="shared" si="0"/>
        <v>4.26532602730377</v>
      </c>
    </row>
    <row r="25" spans="1:8">
      <c r="A25" t="s">
        <v>32</v>
      </c>
      <c r="B25">
        <v>-9</v>
      </c>
      <c r="C25">
        <v>8.633</v>
      </c>
      <c r="E25" s="1" t="s">
        <v>33</v>
      </c>
      <c r="F25">
        <v>0.80803</v>
      </c>
      <c r="H25">
        <f t="shared" si="0"/>
        <v>3.54595678187874</v>
      </c>
    </row>
    <row r="26" spans="1:8">
      <c r="A26" t="s">
        <v>34</v>
      </c>
      <c r="B26">
        <v>-9</v>
      </c>
      <c r="C26">
        <v>8.602</v>
      </c>
      <c r="E26" s="1" t="s">
        <v>35</v>
      </c>
      <c r="F26">
        <v>0.80777</v>
      </c>
      <c r="H26">
        <f t="shared" si="0"/>
        <v>3.55873574726333</v>
      </c>
    </row>
    <row r="27" spans="1:8">
      <c r="A27" t="s">
        <v>36</v>
      </c>
      <c r="B27">
        <v>-12</v>
      </c>
      <c r="C27">
        <v>10.38</v>
      </c>
      <c r="E27" s="1" t="s">
        <v>37</v>
      </c>
      <c r="F27">
        <v>0.8076</v>
      </c>
      <c r="H27">
        <f t="shared" si="0"/>
        <v>2.94915654122921</v>
      </c>
    </row>
    <row r="28" spans="1:8">
      <c r="A28" t="s">
        <v>38</v>
      </c>
      <c r="B28">
        <v>-12</v>
      </c>
      <c r="C28">
        <v>10.07</v>
      </c>
      <c r="E28" s="1" t="s">
        <v>39</v>
      </c>
      <c r="F28">
        <v>0.80757</v>
      </c>
      <c r="H28">
        <f t="shared" si="0"/>
        <v>3.03994487566625</v>
      </c>
    </row>
    <row r="29" spans="1:8">
      <c r="A29" t="s">
        <v>40</v>
      </c>
      <c r="B29">
        <v>-15</v>
      </c>
      <c r="C29">
        <v>12.51</v>
      </c>
      <c r="E29" s="1" t="s">
        <v>41</v>
      </c>
      <c r="F29">
        <v>0.80746</v>
      </c>
      <c r="H29">
        <f t="shared" si="0"/>
        <v>2.44702197425733</v>
      </c>
    </row>
    <row r="30" spans="1:8">
      <c r="A30" t="s">
        <v>42</v>
      </c>
      <c r="B30">
        <v>-15</v>
      </c>
      <c r="C30">
        <v>12.8</v>
      </c>
      <c r="E30" s="1" t="s">
        <v>43</v>
      </c>
      <c r="F30">
        <v>0.80725</v>
      </c>
      <c r="H30">
        <f t="shared" si="0"/>
        <v>2.39158163265306</v>
      </c>
    </row>
    <row r="31" spans="1:8">
      <c r="A31" t="s">
        <v>44</v>
      </c>
      <c r="B31">
        <v>-18</v>
      </c>
      <c r="C31">
        <v>16.32</v>
      </c>
      <c r="E31" s="1" t="s">
        <v>45</v>
      </c>
      <c r="F31">
        <v>0.80665</v>
      </c>
      <c r="H31">
        <f t="shared" si="0"/>
        <v>1.87575030012005</v>
      </c>
    </row>
    <row r="32" spans="1:8">
      <c r="A32" t="s">
        <v>46</v>
      </c>
      <c r="B32">
        <v>-18</v>
      </c>
      <c r="C32">
        <v>15.86</v>
      </c>
      <c r="E32" s="1" t="s">
        <v>47</v>
      </c>
      <c r="F32">
        <v>0.80669</v>
      </c>
      <c r="H32">
        <f t="shared" si="0"/>
        <v>1.93015415497851</v>
      </c>
    </row>
    <row r="33" spans="1:8">
      <c r="A33" t="s">
        <v>48</v>
      </c>
      <c r="B33">
        <v>-18</v>
      </c>
      <c r="C33">
        <v>16.35</v>
      </c>
      <c r="E33" s="1" t="s">
        <v>49</v>
      </c>
      <c r="F33">
        <v>0.80737</v>
      </c>
      <c r="H33">
        <f t="shared" si="0"/>
        <v>1.8723085564501</v>
      </c>
    </row>
    <row r="34" spans="1:8">
      <c r="A34" t="s">
        <v>50</v>
      </c>
      <c r="B34">
        <v>-21</v>
      </c>
      <c r="C34">
        <v>20.39</v>
      </c>
      <c r="E34" s="1" t="s">
        <v>51</v>
      </c>
      <c r="F34">
        <v>0.80712</v>
      </c>
      <c r="H34">
        <f t="shared" si="0"/>
        <v>1.5013361892084</v>
      </c>
    </row>
    <row r="35" spans="1:8">
      <c r="A35" t="s">
        <v>52</v>
      </c>
      <c r="B35">
        <v>-21</v>
      </c>
      <c r="C35">
        <v>20.81</v>
      </c>
      <c r="E35" s="1" t="s">
        <v>53</v>
      </c>
      <c r="F35">
        <v>0.80689</v>
      </c>
      <c r="H35">
        <f t="shared" ref="H35:H56" si="1">0.06/(1.96*C35)*1000</f>
        <v>1.47103531465445</v>
      </c>
    </row>
    <row r="36" spans="1:8">
      <c r="A36" t="s">
        <v>54</v>
      </c>
      <c r="B36">
        <v>-24</v>
      </c>
      <c r="C36">
        <v>27.18</v>
      </c>
      <c r="E36" s="1" t="s">
        <v>55</v>
      </c>
      <c r="F36">
        <v>0.80714</v>
      </c>
      <c r="H36">
        <f t="shared" si="1"/>
        <v>1.1262783258999</v>
      </c>
    </row>
    <row r="37" spans="1:8">
      <c r="A37" t="s">
        <v>56</v>
      </c>
      <c r="B37">
        <v>-24</v>
      </c>
      <c r="C37">
        <v>27.07</v>
      </c>
      <c r="E37" s="1" t="s">
        <v>57</v>
      </c>
      <c r="F37">
        <v>0.80683</v>
      </c>
      <c r="H37">
        <f t="shared" si="1"/>
        <v>1.13085500177167</v>
      </c>
    </row>
    <row r="38" spans="1:8">
      <c r="A38" t="s">
        <v>58</v>
      </c>
      <c r="B38">
        <v>-27</v>
      </c>
      <c r="C38">
        <v>35.8</v>
      </c>
      <c r="E38" s="1" t="s">
        <v>59</v>
      </c>
      <c r="F38">
        <v>0.80775</v>
      </c>
      <c r="H38">
        <f t="shared" si="1"/>
        <v>0.855090639607798</v>
      </c>
    </row>
    <row r="39" spans="1:8">
      <c r="A39" t="s">
        <v>60</v>
      </c>
      <c r="B39">
        <v>-27</v>
      </c>
      <c r="C39">
        <v>36.03</v>
      </c>
      <c r="E39" s="1" t="s">
        <v>61</v>
      </c>
      <c r="F39">
        <v>0.8074</v>
      </c>
      <c r="H39">
        <f t="shared" si="1"/>
        <v>0.849632109296674</v>
      </c>
    </row>
    <row r="40" spans="1:8">
      <c r="A40" t="s">
        <v>62</v>
      </c>
      <c r="B40">
        <v>-30</v>
      </c>
      <c r="C40">
        <v>48.33</v>
      </c>
      <c r="E40" s="1" t="s">
        <v>63</v>
      </c>
      <c r="F40">
        <v>0.80863</v>
      </c>
      <c r="H40">
        <f t="shared" si="1"/>
        <v>0.633400473783554</v>
      </c>
    </row>
    <row r="41" spans="1:8">
      <c r="A41" t="s">
        <v>64</v>
      </c>
      <c r="B41">
        <v>-30</v>
      </c>
      <c r="C41">
        <v>49.04</v>
      </c>
      <c r="E41" s="1" t="s">
        <v>65</v>
      </c>
      <c r="F41">
        <v>0.80835</v>
      </c>
      <c r="H41">
        <f t="shared" si="1"/>
        <v>0.624230116190032</v>
      </c>
    </row>
    <row r="42" spans="1:8">
      <c r="A42" t="s">
        <v>66</v>
      </c>
      <c r="B42">
        <v>-33</v>
      </c>
      <c r="C42">
        <v>62.96</v>
      </c>
      <c r="E42" s="1" t="s">
        <v>67</v>
      </c>
      <c r="F42">
        <v>0.80995</v>
      </c>
      <c r="H42">
        <f t="shared" si="1"/>
        <v>0.486217358607992</v>
      </c>
    </row>
    <row r="43" spans="1:8">
      <c r="A43" t="s">
        <v>68</v>
      </c>
      <c r="B43">
        <v>-33</v>
      </c>
      <c r="C43">
        <v>66.33</v>
      </c>
      <c r="E43" s="1" t="s">
        <v>69</v>
      </c>
      <c r="F43">
        <v>0.80981</v>
      </c>
      <c r="H43">
        <f t="shared" si="1"/>
        <v>0.461514320789374</v>
      </c>
    </row>
    <row r="44" spans="1:8">
      <c r="A44" t="s">
        <v>70</v>
      </c>
      <c r="B44">
        <v>-36</v>
      </c>
      <c r="C44">
        <v>96.99</v>
      </c>
      <c r="E44" s="1" t="s">
        <v>71</v>
      </c>
      <c r="F44">
        <v>0.81107</v>
      </c>
      <c r="H44">
        <f t="shared" si="1"/>
        <v>0.315622692009065</v>
      </c>
    </row>
    <row r="45" spans="1:8">
      <c r="A45" t="s">
        <v>72</v>
      </c>
      <c r="B45">
        <v>-36</v>
      </c>
      <c r="C45">
        <v>93.31</v>
      </c>
      <c r="E45" s="1" t="s">
        <v>73</v>
      </c>
      <c r="F45">
        <v>0.81133</v>
      </c>
      <c r="H45">
        <f t="shared" si="1"/>
        <v>0.328070355781365</v>
      </c>
    </row>
    <row r="46" spans="1:8">
      <c r="A46" t="s">
        <v>74</v>
      </c>
      <c r="B46">
        <v>-39</v>
      </c>
      <c r="C46">
        <v>106.5</v>
      </c>
      <c r="E46" s="1" t="s">
        <v>75</v>
      </c>
      <c r="F46">
        <v>0.81254</v>
      </c>
      <c r="H46">
        <f t="shared" si="1"/>
        <v>0.287438919229664</v>
      </c>
    </row>
    <row r="47" spans="1:8">
      <c r="A47" t="s">
        <v>76</v>
      </c>
      <c r="B47">
        <v>-42</v>
      </c>
      <c r="C47">
        <v>151.8</v>
      </c>
      <c r="E47" s="1" t="s">
        <v>77</v>
      </c>
      <c r="F47">
        <v>0.81402</v>
      </c>
      <c r="H47">
        <f t="shared" si="1"/>
        <v>0.201661692344922</v>
      </c>
    </row>
    <row r="48" spans="1:8">
      <c r="A48" t="s">
        <v>78</v>
      </c>
      <c r="B48">
        <v>-45</v>
      </c>
      <c r="C48">
        <v>207.15</v>
      </c>
      <c r="E48" s="1" t="s">
        <v>79</v>
      </c>
      <c r="F48">
        <v>0.81446</v>
      </c>
      <c r="H48">
        <f t="shared" si="1"/>
        <v>0.147778155433064</v>
      </c>
    </row>
    <row r="49" spans="1:8">
      <c r="A49" t="s">
        <v>80</v>
      </c>
      <c r="B49">
        <v>-48</v>
      </c>
      <c r="C49">
        <v>330.9</v>
      </c>
      <c r="E49" s="1" t="s">
        <v>81</v>
      </c>
      <c r="F49">
        <v>0.81098</v>
      </c>
      <c r="H49">
        <f t="shared" si="1"/>
        <v>0.0925120728255037</v>
      </c>
    </row>
    <row r="50" spans="1:8">
      <c r="A50" t="s">
        <v>82</v>
      </c>
      <c r="B50">
        <v>-51</v>
      </c>
      <c r="C50">
        <v>554.1</v>
      </c>
      <c r="E50" s="1" t="s">
        <v>83</v>
      </c>
      <c r="F50">
        <v>0.80726</v>
      </c>
      <c r="H50">
        <f t="shared" si="1"/>
        <v>0.0552467873993127</v>
      </c>
    </row>
    <row r="51" spans="1:8">
      <c r="A51" t="s">
        <v>84</v>
      </c>
      <c r="B51">
        <v>-54</v>
      </c>
      <c r="C51">
        <v>819.9</v>
      </c>
      <c r="E51" s="1" t="s">
        <v>85</v>
      </c>
      <c r="F51">
        <v>0.79877</v>
      </c>
      <c r="H51">
        <f t="shared" si="1"/>
        <v>0.0373365592120493</v>
      </c>
    </row>
    <row r="52" spans="1:8">
      <c r="A52" t="s">
        <v>86</v>
      </c>
      <c r="B52">
        <v>-57</v>
      </c>
      <c r="C52">
        <v>1442</v>
      </c>
      <c r="E52" s="1" t="s">
        <v>87</v>
      </c>
      <c r="F52">
        <v>0.79461</v>
      </c>
      <c r="H52">
        <f t="shared" si="1"/>
        <v>0.0212290186532311</v>
      </c>
    </row>
    <row r="53" spans="1:8">
      <c r="A53" t="s">
        <v>88</v>
      </c>
      <c r="B53">
        <v>-60</v>
      </c>
      <c r="C53">
        <v>4192</v>
      </c>
      <c r="E53" s="1" t="s">
        <v>89</v>
      </c>
      <c r="F53">
        <v>0.80618</v>
      </c>
      <c r="H53">
        <f t="shared" si="1"/>
        <v>0.00730253933634522</v>
      </c>
    </row>
    <row r="54" spans="1:8">
      <c r="A54" t="s">
        <v>90</v>
      </c>
      <c r="B54">
        <v>-63</v>
      </c>
      <c r="C54">
        <v>4728</v>
      </c>
      <c r="E54" s="1" t="s">
        <v>91</v>
      </c>
      <c r="F54">
        <v>0.7916</v>
      </c>
      <c r="H54">
        <f t="shared" si="1"/>
        <v>0.0064746710867088</v>
      </c>
    </row>
    <row r="55" spans="1:8">
      <c r="A55" t="s">
        <v>92</v>
      </c>
      <c r="B55">
        <v>-66</v>
      </c>
      <c r="C55">
        <v>6960</v>
      </c>
      <c r="E55" s="1" t="s">
        <v>93</v>
      </c>
      <c r="F55">
        <v>0.77146</v>
      </c>
      <c r="H55">
        <f t="shared" si="1"/>
        <v>0.00439831104855735</v>
      </c>
    </row>
    <row r="56" spans="1:8">
      <c r="A56" t="s">
        <v>94</v>
      </c>
      <c r="B56">
        <v>-69</v>
      </c>
      <c r="C56">
        <v>13658</v>
      </c>
      <c r="E56" s="1" t="s">
        <v>95</v>
      </c>
      <c r="F56">
        <v>0.77823</v>
      </c>
      <c r="H56">
        <f t="shared" si="1"/>
        <v>0.00224134169702439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LBM</cp:lastModifiedBy>
  <dcterms:created xsi:type="dcterms:W3CDTF">2023-05-12T11:15:00Z</dcterms:created>
  <dcterms:modified xsi:type="dcterms:W3CDTF">2026-05-08T03:33:11Z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73D7B7A2197F449C85ECD33201F503AD_12</vt:lpwstr>
  </property>
  <property fmtid="{D5CDD505-2E9C-101B-9397-08002B2CF9AE}" pid="4" name="CalculationRule">
    <vt:i4>0</vt:i4>
  </property>
</Properties>
</file>