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<sst xmlns="http://schemas.openxmlformats.org/spreadsheetml/2006/main" count="45" uniqueCount="45">
  <si>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名称</t>
  </si>
  <si>
    <t>温度/℃</t>
  </si>
  <si>
    <t>Rb/Ω</t>
  </si>
  <si>
    <t>其他参数</t>
  </si>
  <si>
    <t>CPE-T</t>
  </si>
  <si>
    <t>CPE-P</t>
  </si>
  <si>
    <t>RP</t>
  </si>
  <si>
    <t>电导率</t>
  </si>
  <si>
    <t>厚度：0.06cm</t>
  </si>
  <si>
    <t>接触面积：1.96cm^2</t>
  </si>
  <si>
    <t>2-dian-18℃-1</t>
  </si>
  <si>
    <t>2-dian-18℃-2</t>
  </si>
  <si>
    <t>2-dian-15℃-1</t>
  </si>
  <si>
    <t>2-dian-12℃-1</t>
  </si>
  <si>
    <t>2-dian-9℃-1</t>
  </si>
  <si>
    <t>2-dian-6℃-1</t>
  </si>
  <si>
    <t>2-dian-3℃-1</t>
  </si>
  <si>
    <t>2-dian-0℃-1</t>
  </si>
  <si>
    <t>2-dian--3℃-1</t>
  </si>
  <si>
    <t>2-dian--6℃-1</t>
  </si>
  <si>
    <t>2-dian--9℃-1</t>
  </si>
  <si>
    <t>2-dian--12℃-1</t>
  </si>
  <si>
    <t>2-dian--15℃-1</t>
  </si>
  <si>
    <t>2-dian--18℃-1</t>
  </si>
  <si>
    <t>2-dian--21℃-1</t>
  </si>
  <si>
    <t>2-dian--24℃-1</t>
  </si>
  <si>
    <t>2-dian--27℃-1</t>
  </si>
  <si>
    <t>2-dian--30℃-1</t>
  </si>
  <si>
    <t>2-dian--33℃-1</t>
  </si>
  <si>
    <t>2-dian--36℃-1</t>
  </si>
  <si>
    <t>2-dian--39℃-1</t>
  </si>
  <si>
    <t>2-dian--42℃-1</t>
  </si>
  <si>
    <t>2-dian--45℃-1</t>
  </si>
  <si>
    <t>2-dian--48℃-1</t>
  </si>
  <si>
    <t>2-dian--51℃-1</t>
  </si>
  <si>
    <t>2-dian--54℃-1</t>
  </si>
  <si>
    <t>2-dian--57℃-1</t>
  </si>
  <si>
    <t>2-dian--60℃-1</t>
  </si>
  <si>
    <t>2-dian--63℃-1</t>
  </si>
  <si>
    <t>2-dian--66℃-1</t>
  </si>
  <si>
    <t>2-dian--69℃-1</t>
  </si>
  <si>
    <t>2-dian--72℃-1</t>
  </si>
  <si>
    <t>2-dian--75℃-1</t>
  </si>
  <si>
    <t>2-dian--78℃-1</t>
  </si>
  <si>
    <t>2-dian--81℃-1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</si>
</sst>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A36" sqref="A36"/>
    </sheetView>
  </sheetViews>
  <sheetFormatPr defaultColWidth="9" defaultRowHeight="13.5"/>
  <cols>
    <col min="1" max="1" width="14.25" customWidth="1"/>
    <col min="5" max="5" width="11.5"/>
    <col min="8" max="8" width="12.625"/>
    <col min="9" max="9" width="13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18</v>
      </c>
      <c r="C2">
        <v>2.099</v>
      </c>
      <c r="E2">
        <v>0.00018066</v>
      </c>
      <c r="F2">
        <v>0.79662</v>
      </c>
      <c r="H2">
        <f>0.06/(1.96*C2)*1000</f>
        <v>14.5842043344255</v>
      </c>
    </row>
    <row r="3" spans="1:10">
      <c r="A3" t="s">
        <v>11</v>
      </c>
      <c r="B3">
        <v>18</v>
      </c>
      <c r="C3">
        <v>2.078</v>
      </c>
      <c r="E3">
        <v>0.00018058</v>
      </c>
      <c r="F3">
        <v>0.79677</v>
      </c>
      <c r="H3">
        <f t="shared" ref="H3:H36" si="0">0.06/(1.96*C3)*1000</f>
        <v>14.731590422502</v>
      </c>
    </row>
    <row r="4" spans="1:10">
      <c r="A4" t="s">
        <v>12</v>
      </c>
      <c r="B4">
        <v>15</v>
      </c>
      <c r="C4">
        <v>2.108</v>
      </c>
      <c r="E4">
        <v>0.00017969</v>
      </c>
      <c r="F4">
        <v>0.79844</v>
      </c>
      <c r="H4">
        <f t="shared" si="0"/>
        <v>14.521937807381</v>
      </c>
    </row>
    <row r="5" spans="1:10">
      <c r="A5" t="s">
        <v>13</v>
      </c>
      <c r="B5">
        <v>12</v>
      </c>
      <c r="C5">
        <v>2.157</v>
      </c>
      <c r="E5">
        <v>0.00017377</v>
      </c>
      <c r="F5">
        <v>0.79537</v>
      </c>
      <c r="H5">
        <f t="shared" si="0"/>
        <v>14.1920467769862</v>
      </c>
    </row>
    <row r="6" spans="1:10">
      <c r="A6" t="s">
        <v>14</v>
      </c>
      <c r="B6">
        <v>9</v>
      </c>
      <c r="C6">
        <v>2.404</v>
      </c>
      <c r="E6">
        <v>0.00016582</v>
      </c>
      <c r="F6">
        <v>0.79424</v>
      </c>
      <c r="H6">
        <f t="shared" si="0"/>
        <v>12.7338789093008</v>
      </c>
    </row>
    <row r="7" spans="1:10">
      <c r="A7" t="s">
        <v>15</v>
      </c>
      <c r="B7">
        <v>6</v>
      </c>
      <c r="C7">
        <v>2.592</v>
      </c>
      <c r="E7">
        <v>0.00016116</v>
      </c>
      <c r="F7">
        <v>0.79338</v>
      </c>
      <c r="H7">
        <f t="shared" si="0"/>
        <v>11.8102796674225</v>
      </c>
    </row>
    <row r="8" spans="1:10">
      <c r="A8" t="s">
        <v>16</v>
      </c>
      <c r="B8">
        <v>3</v>
      </c>
      <c r="C8">
        <v>2.622</v>
      </c>
      <c r="E8">
        <v>0.0001586</v>
      </c>
      <c r="F8">
        <v>0.79439</v>
      </c>
      <c r="H8">
        <f t="shared" si="0"/>
        <v>11.6751506094429</v>
      </c>
    </row>
    <row r="9" spans="1:10">
      <c r="A9" t="s">
        <v>17</v>
      </c>
      <c r="B9">
        <v>0</v>
      </c>
      <c r="C9">
        <v>3.038</v>
      </c>
      <c r="H9">
        <f t="shared" si="0"/>
        <v>10.0764466418562</v>
      </c>
    </row>
    <row r="10" spans="1:10">
      <c r="A10" t="s">
        <v>18</v>
      </c>
      <c r="B10">
        <v>-3</v>
      </c>
      <c r="C10">
        <v>3.066</v>
      </c>
      <c r="H10">
        <f t="shared" si="0"/>
        <v>9.98442429809497</v>
      </c>
    </row>
    <row r="11" spans="1:10">
      <c r="A11" t="s">
        <v>19</v>
      </c>
      <c r="B11">
        <v>-6</v>
      </c>
      <c r="C11">
        <v>3.397</v>
      </c>
      <c r="H11">
        <f t="shared" si="0"/>
        <v>9.01155281070332</v>
      </c>
    </row>
    <row r="12" spans="1:10">
      <c r="A12" t="s">
        <v>20</v>
      </c>
      <c r="B12">
        <v>-9</v>
      </c>
      <c r="C12">
        <v>3.704</v>
      </c>
      <c r="H12">
        <f t="shared" si="0"/>
        <v>8.26464495085291</v>
      </c>
    </row>
    <row r="13" spans="1:10">
      <c r="A13" t="s">
        <v>21</v>
      </c>
      <c r="B13">
        <v>-12</v>
      </c>
      <c r="C13">
        <v>4.506</v>
      </c>
      <c r="H13">
        <f t="shared" si="0"/>
        <v>6.79366287127367</v>
      </c>
    </row>
    <row r="14" spans="1:10">
      <c r="A14" t="s">
        <v>22</v>
      </c>
      <c r="B14">
        <v>-15</v>
      </c>
      <c r="C14">
        <v>4.806</v>
      </c>
      <c r="H14">
        <f t="shared" si="0"/>
        <v>6.36958903411552</v>
      </c>
    </row>
    <row r="15" spans="1:10">
      <c r="A15" t="s">
        <v>23</v>
      </c>
      <c r="B15">
        <v>-18</v>
      </c>
      <c r="C15">
        <v>5.707</v>
      </c>
      <c r="H15">
        <f t="shared" si="0"/>
        <v>5.36398193410885</v>
      </c>
    </row>
    <row r="16" spans="1:10">
      <c r="A16" t="s">
        <v>24</v>
      </c>
      <c r="B16">
        <v>-21</v>
      </c>
      <c r="C16">
        <v>6.766</v>
      </c>
      <c r="H16">
        <f t="shared" si="0"/>
        <v>4.52442283446042</v>
      </c>
    </row>
    <row r="17" spans="1:8">
      <c r="A17" t="s">
        <v>25</v>
      </c>
      <c r="B17">
        <v>-24</v>
      </c>
      <c r="C17">
        <v>7.811</v>
      </c>
      <c r="H17">
        <f t="shared" si="0"/>
        <v>3.91911981794382</v>
      </c>
    </row>
    <row r="18" spans="1:8">
      <c r="A18" t="s">
        <v>26</v>
      </c>
      <c r="B18">
        <v>-27</v>
      </c>
      <c r="C18">
        <v>9.311</v>
      </c>
      <c r="H18">
        <f t="shared" si="0"/>
        <v>3.28775049919012</v>
      </c>
    </row>
    <row r="19" spans="1:8">
      <c r="A19" t="s">
        <v>27</v>
      </c>
      <c r="B19">
        <v>-30</v>
      </c>
      <c r="C19">
        <v>10.82</v>
      </c>
      <c r="H19">
        <f t="shared" si="0"/>
        <v>2.82922780942321</v>
      </c>
    </row>
    <row r="20" spans="1:8">
      <c r="A20" t="s">
        <v>28</v>
      </c>
      <c r="B20">
        <v>-33</v>
      </c>
      <c r="C20">
        <v>12.66</v>
      </c>
      <c r="H20">
        <f t="shared" si="0"/>
        <v>2.41802882290357</v>
      </c>
    </row>
    <row r="21" spans="1:8">
      <c r="A21" t="s">
        <v>29</v>
      </c>
      <c r="B21">
        <v>-36</v>
      </c>
      <c r="C21">
        <v>15.06</v>
      </c>
      <c r="H21">
        <f t="shared" si="0"/>
        <v>2.03268558419384</v>
      </c>
    </row>
    <row r="22" spans="1:8">
      <c r="A22" t="s">
        <v>30</v>
      </c>
      <c r="B22">
        <v>-39</v>
      </c>
      <c r="C22">
        <v>20.47</v>
      </c>
      <c r="H22">
        <f t="shared" si="0"/>
        <v>1.49546872974886</v>
      </c>
    </row>
    <row r="23" spans="1:8">
      <c r="A23" t="s">
        <v>31</v>
      </c>
      <c r="B23">
        <v>-42</v>
      </c>
      <c r="C23">
        <v>33.34</v>
      </c>
      <c r="H23">
        <f t="shared" si="0"/>
        <v>0.918183710196736</v>
      </c>
    </row>
    <row r="24" spans="1:8">
      <c r="A24" t="s">
        <v>32</v>
      </c>
      <c r="B24">
        <v>-45</v>
      </c>
      <c r="C24">
        <v>36.56</v>
      </c>
      <c r="H24">
        <f t="shared" si="0"/>
        <v>0.837315232438709</v>
      </c>
    </row>
    <row r="25" spans="1:8">
      <c r="A25" t="s">
        <v>33</v>
      </c>
      <c r="B25">
        <v>-48</v>
      </c>
      <c r="C25">
        <v>50.06</v>
      </c>
      <c r="H25">
        <f t="shared" si="0"/>
        <v>0.611511084657595</v>
      </c>
    </row>
    <row r="26" spans="1:8">
      <c r="A26" t="s">
        <v>34</v>
      </c>
      <c r="B26">
        <v>-51</v>
      </c>
      <c r="C26">
        <v>70.34</v>
      </c>
      <c r="H26">
        <f t="shared" si="0"/>
        <v>0.435203936564674</v>
      </c>
    </row>
    <row r="27" spans="1:8">
      <c r="A27" t="s">
        <v>35</v>
      </c>
      <c r="B27">
        <v>-54</v>
      </c>
      <c r="C27">
        <v>96.91</v>
      </c>
      <c r="H27">
        <f t="shared" si="0"/>
        <v>0.315883241130525</v>
      </c>
    </row>
    <row r="28" spans="1:8">
      <c r="A28" t="s">
        <v>36</v>
      </c>
      <c r="B28">
        <v>-57</v>
      </c>
      <c r="C28">
        <v>141.4</v>
      </c>
      <c r="H28">
        <f t="shared" si="0"/>
        <v>0.216493952602257</v>
      </c>
    </row>
    <row r="29" spans="1:8">
      <c r="A29" t="s">
        <v>37</v>
      </c>
      <c r="B29">
        <v>-60</v>
      </c>
      <c r="C29">
        <v>193</v>
      </c>
      <c r="H29">
        <f t="shared" si="0"/>
        <v>0.158612667865073</v>
      </c>
    </row>
    <row r="30" spans="1:8">
      <c r="A30" t="s">
        <v>38</v>
      </c>
      <c r="B30">
        <v>-63</v>
      </c>
      <c r="C30">
        <v>253.4</v>
      </c>
      <c r="H30">
        <f t="shared" si="0"/>
        <v>0.120806017750431</v>
      </c>
    </row>
    <row r="31" spans="1:8">
      <c r="A31" t="s">
        <v>39</v>
      </c>
      <c r="B31">
        <v>-66</v>
      </c>
      <c r="C31">
        <v>410.7</v>
      </c>
      <c r="H31">
        <f t="shared" si="0"/>
        <v>0.0745367540734336</v>
      </c>
    </row>
    <row r="32" spans="1:8">
      <c r="A32" t="s">
        <v>40</v>
      </c>
      <c r="B32">
        <v>-69</v>
      </c>
      <c r="C32">
        <v>609.1</v>
      </c>
      <c r="H32">
        <f t="shared" si="0"/>
        <v>0.0502581594121806</v>
      </c>
    </row>
    <row r="33" spans="1:8">
      <c r="A33" t="s">
        <v>41</v>
      </c>
      <c r="B33">
        <v>-72</v>
      </c>
      <c r="C33">
        <v>916</v>
      </c>
      <c r="H33">
        <f t="shared" si="0"/>
        <v>0.0334194813296498</v>
      </c>
    </row>
    <row r="34" spans="1:8">
      <c r="A34" t="s">
        <v>42</v>
      </c>
      <c r="B34">
        <v>-75</v>
      </c>
      <c r="C34">
        <v>1434</v>
      </c>
      <c r="H34">
        <f t="shared" si="0"/>
        <v>0.0213474511143369</v>
      </c>
    </row>
    <row r="35" spans="1:8">
      <c r="A35" t="s">
        <v>43</v>
      </c>
      <c r="B35">
        <v>-78</v>
      </c>
      <c r="C35">
        <v>3511</v>
      </c>
      <c r="H35">
        <f t="shared" si="0"/>
        <v>0.00871895326059789</v>
      </c>
    </row>
    <row r="36" spans="1:8">
      <c r="A36" t="s">
        <v>44</v>
      </c>
      <c r="B36">
        <v>-81</v>
      </c>
      <c r="C36">
        <v>7113</v>
      </c>
      <c r="H36">
        <f t="shared" si="0"/>
        <v>0.00430370376746228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刘晋圳</cp:lastModifiedBy>
  <dcterms:created xsi:type="dcterms:W3CDTF">2023-05-12T11:15:00Z</dcterms:created>
  <dcterms:modified xsi:type="dcterms:W3CDTF">2026-05-08T06:58:56Z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6D12B718CECE4A7C8CD8BC2A0C97ED50_12</vt:lpwstr>
  </property>
  <property fmtid="{D5CDD505-2E9C-101B-9397-08002B2CF9AE}" pid="4" name="CalculationRule">
    <vt:i4>0</vt:i4>
  </property>
</Properties>
</file>