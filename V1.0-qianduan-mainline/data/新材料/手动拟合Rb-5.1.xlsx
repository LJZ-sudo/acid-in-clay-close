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<sst xmlns="http://schemas.openxmlformats.org/spreadsheetml/2006/main" count="36" uniqueCount="36">
  <si>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名称</t>
  </si>
  <si>
    <t>温度/℃</t>
  </si>
  <si>
    <t>Rb/Ω</t>
  </si>
  <si>
    <t>其他参数</t>
  </si>
  <si>
    <t>CPE-T</t>
  </si>
  <si>
    <t>CPE-P</t>
  </si>
  <si>
    <t>电导率</t>
  </si>
  <si>
    <t>厚度：0.06cm</t>
  </si>
  <si>
    <t>接触面积：1.96cm^2</t>
  </si>
  <si>
    <t>3-ke-18℃-1</t>
  </si>
  <si>
    <t>3-ke-15℃-1</t>
  </si>
  <si>
    <t>3-ke-12℃-1</t>
  </si>
  <si>
    <t>3-ke-9℃-1</t>
  </si>
  <si>
    <t>3-ke-6℃-1</t>
  </si>
  <si>
    <t>3-ke-3℃-1</t>
  </si>
  <si>
    <t>3-ke-0℃-1</t>
  </si>
  <si>
    <t>3-ke--3℃-1</t>
  </si>
  <si>
    <t>3-ke--6℃-1</t>
  </si>
  <si>
    <t>3-ke--9℃-1</t>
  </si>
  <si>
    <t>3-ke--12℃-1</t>
  </si>
  <si>
    <t>3-ke--15℃-1</t>
  </si>
  <si>
    <t>3-ke--18℃-1</t>
  </si>
  <si>
    <t>3-ke--21℃-1</t>
  </si>
  <si>
    <t>3-ke--24℃-1</t>
  </si>
  <si>
    <t>3-ke--27℃-1</t>
  </si>
  <si>
    <t>3-ke--30℃-1</t>
  </si>
  <si>
    <t>3-ke--33℃-1</t>
  </si>
  <si>
    <t>3-ke--36℃-1</t>
  </si>
  <si>
    <t>3-ke--39℃-1</t>
  </si>
  <si>
    <t>3-ke--42℃-1</t>
  </si>
  <si>
    <t>3-ke--45℃-1</t>
  </si>
  <si>
    <t>3-ke--48℃-1</t>
  </si>
  <si>
    <t>3-ke--51℃-1</t>
  </si>
  <si>
    <t>3-ke--54℃-1</t>
  </si>
  <si>
    <t>3-ke--57℃-1</t>
  </si>
  <si>
    <t>3-ke--60℃-1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</si>
</sst>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A28" sqref="A28"/>
    </sheetView>
  </sheetViews>
  <sheetFormatPr defaultColWidth="9" defaultRowHeight="13.5"/>
  <cols>
    <col min="1" max="1" width="15.375" customWidth="1"/>
    <col min="7" max="7" width="12.6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18</v>
      </c>
      <c r="C2">
        <v>2.443</v>
      </c>
      <c r="G2">
        <f>0.06/(1.96*C2)*1000</f>
        <v>12.5305955374372</v>
      </c>
    </row>
    <row r="3" spans="1:9">
      <c r="A3" t="s">
        <v>10</v>
      </c>
      <c r="B3">
        <v>15</v>
      </c>
      <c r="C3">
        <v>2.213</v>
      </c>
      <c r="G3">
        <f t="shared" ref="G3:G28" si="0">0.06/(1.96*C3)*1000</f>
        <v>13.8329168088383</v>
      </c>
    </row>
    <row r="4" spans="1:9">
      <c r="A4" t="s">
        <v>11</v>
      </c>
      <c r="B4">
        <v>12</v>
      </c>
      <c r="C4">
        <v>2.218</v>
      </c>
      <c r="G4">
        <f t="shared" si="0"/>
        <v>13.8017334977273</v>
      </c>
    </row>
    <row r="5" spans="1:9">
      <c r="A5" t="s">
        <v>12</v>
      </c>
      <c r="B5">
        <v>9</v>
      </c>
      <c r="C5">
        <v>2.288</v>
      </c>
      <c r="G5">
        <f t="shared" si="0"/>
        <v>13.379477665192</v>
      </c>
    </row>
    <row r="6" spans="1:9">
      <c r="A6" t="s">
        <v>13</v>
      </c>
      <c r="B6">
        <v>6</v>
      </c>
      <c r="C6">
        <v>2.345</v>
      </c>
      <c r="G6">
        <f t="shared" si="0"/>
        <v>13.0542622166137</v>
      </c>
    </row>
    <row r="7" spans="1:9">
      <c r="A7" t="s">
        <v>14</v>
      </c>
      <c r="B7">
        <v>3</v>
      </c>
      <c r="C7">
        <v>2.42</v>
      </c>
      <c r="G7">
        <f t="shared" si="0"/>
        <v>12.6496879743633</v>
      </c>
    </row>
    <row r="8" spans="1:9">
      <c r="A8" t="s">
        <v>15</v>
      </c>
      <c r="B8">
        <v>0</v>
      </c>
      <c r="C8">
        <v>2.689</v>
      </c>
      <c r="G8">
        <f t="shared" si="0"/>
        <v>11.3842487534248</v>
      </c>
    </row>
    <row r="9" spans="1:9">
      <c r="A9" t="s">
        <v>16</v>
      </c>
      <c r="B9">
        <v>-3</v>
      </c>
      <c r="C9">
        <v>2.663</v>
      </c>
      <c r="G9">
        <f t="shared" si="0"/>
        <v>11.4953980089971</v>
      </c>
    </row>
    <row r="10" spans="1:9">
      <c r="A10" t="s">
        <v>17</v>
      </c>
      <c r="B10">
        <v>-6</v>
      </c>
      <c r="C10">
        <v>2.745</v>
      </c>
      <c r="G10">
        <f t="shared" si="0"/>
        <v>11.1520017843203</v>
      </c>
    </row>
    <row r="11" spans="1:9">
      <c r="A11" t="s">
        <v>18</v>
      </c>
      <c r="B11">
        <v>-9</v>
      </c>
      <c r="C11">
        <v>2.876</v>
      </c>
      <c r="G11">
        <f t="shared" si="0"/>
        <v>10.6440350827396</v>
      </c>
    </row>
    <row r="12" spans="1:9">
      <c r="A12" t="s">
        <v>19</v>
      </c>
      <c r="B12">
        <v>-12</v>
      </c>
      <c r="C12">
        <v>3.008</v>
      </c>
      <c r="G12">
        <f t="shared" si="0"/>
        <v>10.1769431176726</v>
      </c>
    </row>
    <row r="13" spans="1:9">
      <c r="A13" t="s">
        <v>20</v>
      </c>
      <c r="B13">
        <v>-15</v>
      </c>
      <c r="C13">
        <v>3.331</v>
      </c>
      <c r="G13">
        <f t="shared" si="0"/>
        <v>9.19010654396853</v>
      </c>
    </row>
    <row r="14" spans="1:9">
      <c r="A14" t="s">
        <v>21</v>
      </c>
      <c r="B14">
        <v>-18</v>
      </c>
      <c r="C14">
        <v>3.536</v>
      </c>
      <c r="G14">
        <f t="shared" si="0"/>
        <v>8.65730907747714</v>
      </c>
    </row>
    <row r="15" spans="1:9">
      <c r="A15" t="s">
        <v>22</v>
      </c>
      <c r="B15">
        <v>-21</v>
      </c>
      <c r="C15">
        <v>3.781</v>
      </c>
      <c r="G15">
        <f t="shared" si="0"/>
        <v>8.09633559850812</v>
      </c>
    </row>
    <row r="16" spans="1:9">
      <c r="A16" t="s">
        <v>23</v>
      </c>
      <c r="B16">
        <v>-24</v>
      </c>
      <c r="C16">
        <v>4.053</v>
      </c>
      <c r="G16">
        <f t="shared" si="0"/>
        <v>7.55298418405112</v>
      </c>
    </row>
    <row r="17" spans="1:7">
      <c r="A17" t="s">
        <v>24</v>
      </c>
      <c r="B17">
        <v>-27</v>
      </c>
      <c r="C17">
        <v>4.575</v>
      </c>
      <c r="G17">
        <f t="shared" si="0"/>
        <v>6.69120107059217</v>
      </c>
    </row>
    <row r="18" spans="1:7">
      <c r="A18" t="s">
        <v>25</v>
      </c>
      <c r="B18">
        <v>-30</v>
      </c>
      <c r="C18">
        <v>4.913</v>
      </c>
      <c r="G18">
        <f t="shared" si="0"/>
        <v>6.23086604884168</v>
      </c>
    </row>
    <row r="19" spans="1:7">
      <c r="A19" t="s">
        <v>26</v>
      </c>
      <c r="B19">
        <v>-33</v>
      </c>
      <c r="C19">
        <v>5.427</v>
      </c>
      <c r="G19">
        <f t="shared" si="0"/>
        <v>5.64073058742568</v>
      </c>
    </row>
    <row r="20" spans="1:7">
      <c r="A20" t="s">
        <v>27</v>
      </c>
      <c r="B20">
        <v>-36</v>
      </c>
      <c r="C20">
        <v>164.1</v>
      </c>
      <c r="G20">
        <f t="shared" si="0"/>
        <v>0.186546282132597</v>
      </c>
    </row>
    <row r="21" spans="1:7">
      <c r="A21" t="s">
        <v>28</v>
      </c>
      <c r="B21">
        <v>-39</v>
      </c>
      <c r="C21">
        <v>418.7</v>
      </c>
      <c r="G21">
        <f t="shared" si="0"/>
        <v>0.0731125982755175</v>
      </c>
    </row>
    <row r="22" spans="1:7">
      <c r="A22" t="s">
        <v>29</v>
      </c>
      <c r="B22">
        <v>-42</v>
      </c>
      <c r="C22">
        <v>626</v>
      </c>
      <c r="G22">
        <f t="shared" si="0"/>
        <v>0.0489013496772511</v>
      </c>
    </row>
    <row r="23" spans="1:7">
      <c r="A23" t="s">
        <v>30</v>
      </c>
      <c r="B23">
        <v>-45</v>
      </c>
      <c r="C23">
        <v>1138</v>
      </c>
      <c r="G23">
        <f t="shared" si="0"/>
        <v>0.0269000394533912</v>
      </c>
    </row>
    <row r="24" spans="1:7">
      <c r="A24" t="s">
        <v>31</v>
      </c>
      <c r="B24">
        <v>-48</v>
      </c>
      <c r="C24">
        <v>1429</v>
      </c>
      <c r="G24">
        <f t="shared" si="0"/>
        <v>0.0214221447851359</v>
      </c>
    </row>
    <row r="25" spans="1:7">
      <c r="A25" t="s">
        <v>32</v>
      </c>
      <c r="B25">
        <v>-51</v>
      </c>
      <c r="C25">
        <v>2153</v>
      </c>
      <c r="G25">
        <f t="shared" si="0"/>
        <v>0.0142184137937572</v>
      </c>
    </row>
    <row r="26" spans="1:7">
      <c r="A26" t="s">
        <v>33</v>
      </c>
      <c r="B26">
        <v>-54</v>
      </c>
      <c r="C26">
        <v>3859</v>
      </c>
      <c r="G26">
        <f t="shared" si="0"/>
        <v>0.00793268849389976</v>
      </c>
    </row>
    <row r="27" spans="1:7">
      <c r="A27" t="s">
        <v>34</v>
      </c>
      <c r="B27">
        <v>-57</v>
      </c>
      <c r="C27">
        <v>5928</v>
      </c>
      <c r="G27">
        <f t="shared" si="0"/>
        <v>0.00516400892340742</v>
      </c>
    </row>
    <row r="28" spans="1:7">
      <c r="A28" t="s">
        <v>35</v>
      </c>
      <c r="B28">
        <v>-60</v>
      </c>
      <c r="C28">
        <v>11195</v>
      </c>
      <c r="G28">
        <f t="shared" si="0"/>
        <v>0.00273445689128711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刘晋圳</cp:lastModifiedBy>
  <dcterms:created xsi:type="dcterms:W3CDTF">2023-05-12T11:15:00Z</dcterms:created>
  <dcterms:modified xsi:type="dcterms:W3CDTF">2026-05-08T07:08:07Z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472EF6625D624DBF9B40805B2F883876_12</vt:lpwstr>
  </property>
  <property fmtid="{D5CDD505-2E9C-101B-9397-08002B2CF9AE}" pid="4" name="CalculationRule">
    <vt:i4>0</vt:i4>
  </property>
</Properties>
</file>