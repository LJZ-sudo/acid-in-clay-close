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d591cb165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读" sheetId="1" r:id="R58a9e54e51ec44bd"/>
    <x:sheet xmlns:r="http://schemas.openxmlformats.org/officeDocument/2006/relationships" name="1000清单" sheetId="2" r:id="R55d67fb14c9e465d"/>
    <x:sheet xmlns:r="http://schemas.openxmlformats.org/officeDocument/2006/relationships" name="分类地图" sheetId="3" r:id="R076691ab01bd4361"/>
    <x:sheet xmlns:r="http://schemas.openxmlformats.org/officeDocument/2006/relationships" name="代表性系统" sheetId="4" r:id="Rb3bc681ebe76464d"/>
    <x:sheet xmlns:r="http://schemas.openxmlformats.org/officeDocument/2006/relationships" name="来源索引" sheetId="5" r:id="Rb1ee0f9a1041417a"/>
    <x:sheet xmlns:r="http://schemas.openxmlformats.org/officeDocument/2006/relationships" name="01_1000项场景映射" sheetId="6" r:id="R953e48a1daf34420"/>
    <x:sheet xmlns:r="http://schemas.openxmlformats.org/officeDocument/2006/relationships" name="02_首批80项" sheetId="7" r:id="R36f62a654a68475b"/>
    <x:sheet xmlns:r="http://schemas.openxmlformats.org/officeDocument/2006/relationships" name="03_32项场景补丁" sheetId="8" r:id="Re9f50f966af24a14"/>
    <x:sheet xmlns:r="http://schemas.openxmlformats.org/officeDocument/2006/relationships" name="04_统一指标字典" sheetId="9" r:id="R0e617d141d7646df"/>
    <x:sheet xmlns:r="http://schemas.openxmlformats.org/officeDocument/2006/relationships" name="05_迁移发现流程" sheetId="10" r:id="R045d454572cc49c9"/>
    <x:sheet xmlns:r="http://schemas.openxmlformats.org/officeDocument/2006/relationships" name="06_闭环优化流程" sheetId="11" r:id="Recc440fa9fb94b2d"/>
    <x:sheet xmlns:r="http://schemas.openxmlformats.org/officeDocument/2006/relationships" name="07_结论与证据门禁" sheetId="12" r:id="R31f103eaf42844c4"/>
    <x:sheet xmlns:r="http://schemas.openxmlformats.org/officeDocument/2006/relationships" name="08_验证与里程碑" sheetId="13" r:id="R48bea156b7244e06"/>
    <x:sheet xmlns:r="http://schemas.openxmlformats.org/officeDocument/2006/relationships" name="09_方案来源" sheetId="14" r:id="R1f19dac1b31c4c9c"/>
    <x:sheet xmlns:r="http://schemas.openxmlformats.org/officeDocument/2006/relationships" name="00_场景化总览" sheetId="15" r:id="Re22f0e519fa147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1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10"/>
      <x:color rgb="FF1F2937"/>
      <x:name val="Carlito"/>
    </x:font>
    <x:font>
      <x:b/>
      <x:sz val="14"/>
      <x:color rgb="FF17365D"/>
      <x:name val="Carlito"/>
    </x:font>
    <x:font>
      <x:b/>
      <x:sz val="9"/>
      <x:color rgb="FF17365D"/>
      <x:name val="Carlito"/>
    </x:font>
    <x:font>
      <x:b/>
      <x:sz val="9"/>
      <x:color rgb="FF1F2937"/>
      <x:name val="Carlito"/>
    </x:font>
    <x:font>
      <x:b/>
      <x:sz val="16"/>
      <x:color rgb="FFFFFFFF"/>
      <x:name val="Carlito"/>
    </x:font>
    <x:font>
      <x:sz val="10"/>
      <x:color rgb="FF374151"/>
      <x:name val="Carlito"/>
    </x:font>
    <x:font>
      <x:sz val="9"/>
      <x:color rgb="FF111827"/>
      <x:name val="Carlito"/>
    </x:font>
    <x:font>
      <x:b/>
      <x:sz val="11"/>
      <x:color rgb="FFB91C1C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20"/>
      <x:color rgb="FF0B1F33"/>
      <x:name val="Carlito"/>
    </x:font>
    <x:font>
      <x:b/>
      <x:sz val="11"/>
      <x:color rgb="FF0B1F33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  <x:fill>
      <x:patternFill patternType="solid">
        <x:fgColor rgb="FFEAF2F8"/>
      </x:patternFill>
    </x:fill>
    <x:fill>
      <x:patternFill patternType="solid">
        <x:fgColor rgb="FF0B1F33"/>
      </x:patternFill>
    </x:fill>
    <x:fill>
      <x:patternFill patternType="solid">
        <x:fgColor rgb="FFE6F4F1"/>
      </x:patternFill>
    </x:fill>
    <x:fill>
      <x:patternFill patternType="solid">
        <x:fgColor rgb="FF0F766E"/>
      </x:patternFill>
    </x:fill>
    <x:fill>
      <x:patternFill patternType="solid">
        <x:fgColor rgb="FFFEE2E2"/>
      </x:patternFill>
    </x:fill>
    <x:fill>
      <x:patternFill patternType="solid">
        <x:fgColor rgb="FF2563EB"/>
      </x:patternFill>
    </x:fill>
    <x:fill>
      <x:patternFill patternType="solid">
        <x:fgColor rgb="FF7E22CE"/>
      </x:patternFill>
    </x:fill>
    <x:fill>
      <x:patternFill patternType="solid">
        <x:fgColor rgb="FFDBEAFE"/>
      </x:patternFill>
    </x:fill>
  </x:fills>
  <x:borders count="12">
    <x:border/>
    <x:border/>
    <x:border>
      <x:bottom style="thin">
        <x:color rgb="FF9EADBA"/>
      </x:bottom>
    </x:border>
    <x:border>
      <x:bottom style="thin">
        <x:color rgb="FF9EADBA"/>
      </x:bottom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horizontal="center" vertical="top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left"/>
    </x:xf>
    <x:xf numFmtId="0" fontId="9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3" fillId="8" borderId="4" xfId="0" applyNumberFormat="1" applyFont="1" applyFill="1" applyBorder="1" applyAlignment="1">
      <x:alignment horizontal="center" vertical="center" wrapText="1"/>
    </x:xf>
    <x:xf numFmtId="0" fontId="3" fillId="8" borderId="5" xfId="0" applyNumberFormat="1" applyFont="1" applyFill="1" applyBorder="1" applyAlignment="1">
      <x:alignment horizontal="center" vertical="center" wrapText="1"/>
    </x:xf>
    <x:xf numFmtId="0" fontId="3" fillId="8" borderId="6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vertical="top" wrapText="1"/>
    </x:xf>
    <x:xf numFmtId="0" fontId="11" fillId="0" xfId="0" applyNumberFormat="1" applyFont="1" applyFill="1" applyBorder="0" applyAlignment="1">
      <x:alignment vertical="top" wrapText="1"/>
    </x:xf>
    <x:xf numFmtId="0" fontId="11" fillId="0" borderId="8" xfId="0" applyNumberFormat="1" applyFont="1" applyFill="1" applyBorder="1" applyAlignment="1">
      <x:alignment vertical="top" wrapText="1"/>
    </x:xf>
    <x:xf numFmtId="0" fontId="11" fillId="0" borderId="9" xfId="0" applyNumberFormat="1" applyFont="1" applyFill="1" applyBorder="1" applyAlignment="1">
      <x:alignment vertical="top" wrapText="1"/>
    </x:xf>
    <x:xf numFmtId="0" fontId="11" fillId="0" borderId="10" xfId="0" applyNumberFormat="1" applyFont="1" applyFill="1" applyBorder="1" applyAlignment="1">
      <x:alignment vertical="top" wrapText="1"/>
    </x:xf>
    <x:xf numFmtId="0" fontId="11" fillId="0" borderId="11" xfId="0" applyNumberFormat="1" applyFont="1" applyFill="1" applyBorder="1" applyAlignment="1">
      <x:alignment vertical="top" wrapText="1"/>
    </x:xf>
    <x:xf numFmtId="201" fontId="11" fillId="0" xfId="0" applyNumberFormat="1" applyFont="1" applyFill="1" applyBorder="0" applyAlignment="1">
      <x:alignment vertical="top" wrapText="1"/>
    </x:xf>
    <x:xf numFmtId="201" fontId="11" fillId="0" borderId="10" xfId="0" applyNumberFormat="1" applyFont="1" applyFill="1" applyBorder="1" applyAlignment="1">
      <x:alignment vertical="top" wrapText="1"/>
    </x:xf>
    <x:xf numFmtId="0" fontId="11" fillId="0" borderId="7" xfId="0" applyNumberFormat="1" applyFont="1" applyFill="1" applyBorder="1" applyAlignment="1">
      <x:alignment horizontal="center" vertical="top" wrapText="1"/>
    </x:xf>
    <x:xf numFmtId="0" fontId="11" fillId="0" borderId="9" xfId="0" applyNumberFormat="1" applyFont="1" applyFill="1" applyBorder="1" applyAlignment="1">
      <x:alignment horizontal="center" vertical="top" wrapText="1"/>
    </x:xf>
    <x:xf numFmtId="0" fontId="9" fillId="6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3" fillId="8" borderId="4" xfId="0" applyNumberFormat="1" applyFont="1" applyFill="1" applyBorder="1" applyAlignment="1">
      <x:alignment wrapText="1"/>
    </x:xf>
    <x:xf numFmtId="0" fontId="13" fillId="8" borderId="5" xfId="0" applyNumberFormat="1" applyFont="1" applyFill="1" applyBorder="1" applyAlignment="1">
      <x:alignment wrapText="1"/>
    </x:xf>
    <x:xf numFmtId="0" fontId="13" fillId="8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14" fillId="6" borderId="0" xfId="0" applyNumberFormat="1" applyFont="1" applyFill="1" applyBorder="1"/>
    <x:xf numFmtId="0" fontId="14" fillId="6" borderId="0" xfId="0" applyNumberFormat="1" applyFont="1" applyFill="1" applyBorder="1" applyAlignment="1">
      <x:alignment horizontal="left"/>
    </x:xf>
    <x:xf numFmtId="0" fontId="14" fillId="6" borderId="0" xfId="0" applyNumberFormat="1" applyFont="1" applyFill="1" applyBorder="1" applyAlignment="1">
      <x:alignment horizontal="left" vertical="center"/>
    </x:xf>
    <x:xf numFmtId="0" fontId="12" fillId="9" borderId="0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horizontal="center"/>
    </x:xf>
    <x:xf numFmtId="0" fontId="13" fillId="8" borderId="0" xfId="0" applyNumberFormat="1" applyFont="1" applyFill="1" applyBorder="1" applyAlignment="1">
      <x:alignment horizontal="center" vertical="center"/>
    </x:xf>
    <x:xf numFmtId="0" fontId="15" fillId="7" borderId="0" xfId="0" applyNumberFormat="1" applyFont="1" applyFill="1" applyBorder="1"/>
    <x:xf numFmtId="0" fontId="15" fillId="7" borderId="4" xfId="0" applyNumberFormat="1" applyFont="1" applyFill="1" applyBorder="1"/>
    <x:xf numFmtId="0" fontId="15" fillId="7" borderId="6" xfId="0" applyNumberFormat="1" applyFont="1" applyFill="1" applyBorder="1"/>
    <x:xf numFmtId="0" fontId="15" fillId="7" borderId="7" xfId="0" applyNumberFormat="1" applyFont="1" applyFill="1" applyBorder="1"/>
    <x:xf numFmtId="0" fontId="15" fillId="7" borderId="8" xfId="0" applyNumberFormat="1" applyFont="1" applyFill="1" applyBorder="1"/>
    <x:xf numFmtId="0" fontId="15" fillId="7" borderId="9" xfId="0" applyNumberFormat="1" applyFont="1" applyFill="1" applyBorder="1"/>
    <x:xf numFmtId="0" fontId="15" fillId="7" borderId="11" xfId="0" applyNumberFormat="1" applyFont="1" applyFill="1" applyBorder="1"/>
    <x:xf numFmtId="0" fontId="15" fillId="7" borderId="4" xfId="0" applyNumberFormat="1" applyFont="1" applyFill="1" applyBorder="1" applyAlignment="1">
      <x:alignment horizontal="center"/>
    </x:xf>
    <x:xf numFmtId="0" fontId="15" fillId="7" borderId="6" xfId="0" applyNumberFormat="1" applyFont="1" applyFill="1" applyBorder="1" applyAlignment="1">
      <x:alignment horizontal="center"/>
    </x:xf>
    <x:xf numFmtId="0" fontId="15" fillId="7" borderId="7" xfId="0" applyNumberFormat="1" applyFont="1" applyFill="1" applyBorder="1" applyAlignment="1">
      <x:alignment horizontal="center"/>
    </x:xf>
    <x:xf numFmtId="0" fontId="15" fillId="7" borderId="8" xfId="0" applyNumberFormat="1" applyFont="1" applyFill="1" applyBorder="1" applyAlignment="1">
      <x:alignment horizontal="center"/>
    </x:xf>
    <x:xf numFmtId="0" fontId="15" fillId="7" borderId="9" xfId="0" applyNumberFormat="1" applyFont="1" applyFill="1" applyBorder="1" applyAlignment="1">
      <x:alignment horizontal="center"/>
    </x:xf>
    <x:xf numFmtId="0" fontId="15" fillId="7" borderId="11" xfId="0" applyNumberFormat="1" applyFont="1" applyFill="1" applyBorder="1" applyAlignment="1">
      <x:alignment horizontal="center"/>
    </x:xf>
    <x:xf numFmtId="0" fontId="15" fillId="7" borderId="4" xfId="0" applyNumberFormat="1" applyFont="1" applyFill="1" applyBorder="1" applyAlignment="1">
      <x:alignment horizontal="center" vertical="center"/>
    </x:xf>
    <x:xf numFmtId="0" fontId="15" fillId="7" borderId="6" xfId="0" applyNumberFormat="1" applyFont="1" applyFill="1" applyBorder="1" applyAlignment="1">
      <x:alignment horizontal="center" vertical="center"/>
    </x:xf>
    <x:xf numFmtId="0" fontId="15" fillId="7" borderId="7" xfId="0" applyNumberFormat="1" applyFont="1" applyFill="1" applyBorder="1" applyAlignment="1">
      <x:alignment horizontal="center" vertical="center"/>
    </x:xf>
    <x:xf numFmtId="0" fontId="15" fillId="7" borderId="8" xfId="0" applyNumberFormat="1" applyFont="1" applyFill="1" applyBorder="1" applyAlignment="1">
      <x:alignment horizontal="center" vertical="center"/>
    </x:xf>
    <x:xf numFmtId="0" fontId="15" fillId="7" borderId="9" xfId="0" applyNumberFormat="1" applyFont="1" applyFill="1" applyBorder="1" applyAlignment="1">
      <x:alignment horizontal="center" vertical="center"/>
    </x:xf>
    <x:xf numFmtId="0" fontId="15" fillId="7" borderId="11" xfId="0" applyNumberFormat="1" applyFont="1" applyFill="1" applyBorder="1" applyAlignment="1">
      <x:alignment horizontal="center" vertical="center"/>
    </x:xf>
    <x:xf numFmtId="0" fontId="13" fillId="8" borderId="4" xfId="0" applyNumberFormat="1" applyFont="1" applyFill="1" applyBorder="1" applyAlignment="1">
      <x:alignment horizontal="center" vertical="center"/>
    </x:xf>
    <x:xf numFmtId="0" fontId="13" fillId="8" borderId="5" xfId="0" applyNumberFormat="1" applyFont="1" applyFill="1" applyBorder="1" applyAlignment="1">
      <x:alignment horizontal="center" vertical="center"/>
    </x:xf>
    <x:xf numFmtId="0" fontId="13" fillId="8" borderId="6" xfId="0" applyNumberFormat="1" applyFont="1" applyFill="1" applyBorder="1" applyAlignment="1">
      <x:alignment horizontal="center" vertical="center"/>
    </x:xf>
    <x:xf numFmtId="0" fontId="13" fillId="11" borderId="0" xfId="0" applyNumberFormat="1" applyFont="1" applyFill="1" applyBorder="1" applyAlignment="1">
      <x:alignment wrapText="1"/>
    </x:xf>
    <x:xf numFmtId="0" fontId="13" fillId="8" borderId="4" xfId="0" applyNumberFormat="1" applyFont="1" applyFill="1" applyBorder="1" applyAlignment="1">
      <x:alignment horizontal="center"/>
    </x:xf>
    <x:xf numFmtId="0" fontId="13" fillId="8" borderId="5" xfId="0" applyNumberFormat="1" applyFont="1" applyFill="1" applyBorder="1" applyAlignment="1">
      <x:alignment horizontal="center"/>
    </x:xf>
    <x:xf numFmtId="0" fontId="13" fillId="8" borderId="6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6" fillId="12" borderId="0" xfId="0" applyNumberFormat="1" applyFont="1" applyFill="1" applyBorder="1"/>
    <x:xf numFmtId="0" fontId="16" fillId="12" borderId="0" xfId="0" applyNumberFormat="1" applyFont="1" applyFill="1" applyBorder="1" applyAlignment="1">
      <x:alignment wrapText="1"/>
    </x:xf>
    <x:xf numFmtId="0" fontId="16" fillId="12" borderId="0" xfId="0" applyNumberFormat="1" applyFont="1" applyFill="1" applyBorder="1" applyAlignment="1">
      <x:alignment horizontal="center" wrapText="1"/>
    </x:xf>
    <x:xf numFmtId="0" fontId="16" fillId="12" borderId="0" xfId="0" applyNumberFormat="1" applyFont="1" applyFill="1" applyBorder="1" applyAlignment="1">
      <x:alignment horizontal="center" vertical="center" wrapText="1"/>
    </x:xf>
    <x:xf numFmtId="0" fontId="13" fillId="8" borderId="4" xfId="0" applyNumberFormat="1" applyFont="1" applyFill="1" applyBorder="1"/>
    <x:xf numFmtId="0" fontId="13" fillId="8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horizontal="center" vertical="center" wrapText="1"/>
    </x:xf>
    <x:xf numFmtId="0" fontId="13" fillId="8" borderId="4" xfId="0" applyNumberFormat="1" applyFont="1" applyFill="1" applyBorder="1" applyAlignment="1">
      <x:alignment horizontal="center" vertical="center" wrapText="1"/>
    </x:xf>
    <x:xf numFmtId="0" fontId="13" fillId="8" borderId="5" xfId="0" applyNumberFormat="1" applyFont="1" applyFill="1" applyBorder="1" applyAlignment="1">
      <x:alignment horizontal="center" vertical="center" wrapText="1"/>
    </x:xf>
    <x:xf numFmtId="0" fontId="13" fillId="8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1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ill>
        <x:patternFill>
          <x:bgColor rgb="FFE4DFEC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F3F4F6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3E8FF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DBEAFE"/>
        </x:patternFill>
      </x:fill>
    </x:dxf>
    <x:dxf>
      <x:font>
        <x:b/>
      </x:font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3E8FF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E6F4F1"/>
        </x:patternFill>
      </x:fill>
    </x:dxf>
    <x:dxf>
      <x:fill>
        <x:patternFill patternType="solid">
          <x:bgColor rgb="FFF3F4F6"/>
        </x:patternFill>
      </x:fill>
    </x:dxf>
    <x:dxf>
      <x:fill>
        <x:patternFill patternType="solid">
          <x:bgColor rgb="FF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cce63f3f940bd" /><Relationship Type="http://schemas.openxmlformats.org/officeDocument/2006/relationships/theme" Target="/xl/theme/theme1.xml" Id="Rdf52cdff9d8248d3" /><Relationship Type="http://schemas.openxmlformats.org/officeDocument/2006/relationships/sharedStrings" Target="/xl/sharedStrings.xml" Id="Rf16f4eb64efd426a" /><Relationship Type="http://schemas.openxmlformats.org/officeDocument/2006/relationships/worksheet" Target="/xl/worksheets/sheet1.xml" Id="R58a9e54e51ec44bd" /><Relationship Type="http://schemas.openxmlformats.org/officeDocument/2006/relationships/worksheet" Target="/xl/worksheets/sheet2.xml" Id="R55d67fb14c9e465d" /><Relationship Type="http://schemas.openxmlformats.org/officeDocument/2006/relationships/worksheet" Target="/xl/worksheets/sheet3.xml" Id="R076691ab01bd4361" /><Relationship Type="http://schemas.openxmlformats.org/officeDocument/2006/relationships/worksheet" Target="/xl/worksheets/sheet4.xml" Id="Rb3bc681ebe76464d" /><Relationship Type="http://schemas.openxmlformats.org/officeDocument/2006/relationships/worksheet" Target="/xl/worksheets/sheet5.xml" Id="Rb1ee0f9a1041417a" /><Relationship Type="http://schemas.openxmlformats.org/officeDocument/2006/relationships/worksheet" Target="/xl/worksheets/sheet6.xml" Id="R953e48a1daf34420" /><Relationship Type="http://schemas.openxmlformats.org/officeDocument/2006/relationships/worksheet" Target="/xl/worksheets/sheet7.xml" Id="R36f62a654a68475b" /><Relationship Type="http://schemas.openxmlformats.org/officeDocument/2006/relationships/worksheet" Target="/xl/worksheets/sheet8.xml" Id="Re9f50f966af24a14" /><Relationship Type="http://schemas.openxmlformats.org/officeDocument/2006/relationships/worksheet" Target="/xl/worksheets/sheet9.xml" Id="R0e617d141d7646df" /><Relationship Type="http://schemas.openxmlformats.org/officeDocument/2006/relationships/worksheet" Target="/xl/worksheets/sheet10.xml" Id="R045d454572cc49c9" /><Relationship Type="http://schemas.openxmlformats.org/officeDocument/2006/relationships/worksheet" Target="/xl/worksheets/sheet11.xml" Id="Recc440fa9fb94b2d" /><Relationship Type="http://schemas.openxmlformats.org/officeDocument/2006/relationships/worksheet" Target="/xl/worksheets/sheet12.xml" Id="R31f103eaf42844c4" /><Relationship Type="http://schemas.openxmlformats.org/officeDocument/2006/relationships/worksheet" Target="/xl/worksheets/sheet13.xml" Id="R48bea156b7244e06" /><Relationship Type="http://schemas.openxmlformats.org/officeDocument/2006/relationships/worksheet" Target="/xl/worksheets/sheet14.xml" Id="R1f19dac1b31c4c9c" /><Relationship Type="http://schemas.openxmlformats.org/officeDocument/2006/relationships/worksheet" Target="/xl/worksheets/sheet15.xml" Id="Re22f0e519fa147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63d593e2684ae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06c65a9a165457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39612ae3a7e4e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1000项按宏观层分布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条目数</c:v>
          </c:tx>
          <c:cat>
            <c:strRef>
              <c:f>'导读'!$A$16:$A$22</c:f>
              <c:strCache>
                <c:ptCount val="0"/>
              </c:strCache>
            </c:strRef>
          </c:cat>
          <c:val>
            <c:numRef>
              <c:f>'导读'!$B$16:$B$22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技术栈宏观分层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条目数</c:v>
          </c:tx>
          <c:cat>
            <c:strRef>
              <c:f>'分类地图'!$A$30:$A$36</c:f>
              <c:strCache>
                <c:ptCount val="0"/>
              </c:strCache>
            </c:strRef>
          </c:cat>
          <c:val>
            <c:numRef>
              <c:f>'分类地图'!$B$30:$B$36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1000项场景相关性分层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'00_场景化总览'!$A$38:$A$41</c:f>
              <c:strCache>
                <c:ptCount val="0"/>
              </c:strCache>
            </c:strRef>
          </c:cat>
          <c:val>
            <c:numRef>
              <c:f>'00_场景化总览'!$B$38:$B$41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63d593e2684ae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28</xdr:row>
      <xdr:rowOff>0</xdr:rowOff>
    </xdr:from>
    <xdr:to>
      <xdr:col>11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6c65a9a165457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55</xdr:row>
      <xdr:rowOff>0</xdr:rowOff>
    </xdr:from>
    <xdr:to>
      <xdr:col>8</xdr:col>
      <xdr:colOff>0</xdr:colOff>
      <xdr:row>70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9612ae3a7e4e3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chList1000" displayName="TechList1000" ref="A1:M1001" headerRowCount="1">
  <x:tableColumns count="13">
    <x:tableColumn id="1" name="编号"/>
    <x:tableColumn id="2" name="宏观层"/>
    <x:tableColumn id="3" name="一级技术域"/>
    <x:tableColumn id="4" name="二级技术簇"/>
    <x:tableColumn id="5" name="类型"/>
    <x:tableColumn id="6" name="关键技术 / 思维模型"/>
    <x:tableColumn id="7" name="核心技术点"/>
    <x:tableColumn id="8" name="工程化验收问题"/>
    <x:tableColumn id="9" name="典型指标 / 证据"/>
    <x:tableColumn id="10" name="成熟度"/>
    <x:tableColumn id="11" name="优先级"/>
    <x:tableColumn id="12" name="代表来源ID"/>
    <x:tableColumn id="13" name="主来源URL"/>
  </x:tableColumns>
  <x:tableStyleInfo name="TableStyleMedium2" showRowStripes="1"/>
</x:table>
</file>

<file path=xl/tables/table2.xml><?xml version="1.0" encoding="utf-8"?>
<x:table xmlns:x="http://schemas.openxmlformats.org/spreadsheetml/2006/main" id="2" name="CategoryMap25" displayName="CategoryMap25" ref="A1:K26" headerRowCount="1">
  <x:tableColumns count="11">
    <x:tableColumn id="1" name="序号"/>
    <x:tableColumn id="2" name="宏观层"/>
    <x:tableColumn id="3" name="一级技术域"/>
    <x:tableColumn id="4" name="条目数"/>
    <x:tableColumn id="5" name="二级簇1"/>
    <x:tableColumn id="6" name="二级簇2"/>
    <x:tableColumn id="7" name="二级簇3"/>
    <x:tableColumn id="8" name="二级簇4"/>
    <x:tableColumn id="9" name="核心目标"/>
    <x:tableColumn id="10" name="推荐牵头角色"/>
    <x:tableColumn id="11" name="代表来源ID"/>
  </x:tableColumns>
  <x:tableStyleInfo name="TableStyleMedium2" showRowStripes="1"/>
</x:table>
</file>

<file path=xl/tables/table3.xml><?xml version="1.0" encoding="utf-8"?>
<x:table xmlns:x="http://schemas.openxmlformats.org/spreadsheetml/2006/main" id="3" name="RepresentativeSystems" displayName="RepresentativeSystems" ref="A1:I26" headerRowCount="1">
  <x:tableColumns count="9">
    <x:tableColumn id="1" name="序号"/>
    <x:tableColumn id="2" name="系统 / 平台"/>
    <x:tableColumn id="3" name="年份"/>
    <x:tableColumn id="4" name="领域"/>
    <x:tableColumn id="5" name="架构亮点"/>
    <x:tableColumn id="6" name="自主闭环方式"/>
    <x:tableColumn id="7" name="关键限制 / 启示"/>
    <x:tableColumn id="8" name="来源ID"/>
    <x:tableColumn id="9" name="来源URL"/>
  </x:tableColumns>
  <x:tableStyleInfo name="TableStyleMedium2" showRowStripes="1"/>
</x:table>
</file>

<file path=xl/tables/table4.xml><?xml version="1.0" encoding="utf-8"?>
<x:table xmlns:x="http://schemas.openxmlformats.org/spreadsheetml/2006/main" id="4" name="SourceIndex" displayName="SourceIndex" ref="A1:F66" headerRowCount="1">
  <x:tableColumns count="6">
    <x:tableColumn id="1" name="来源ID"/>
    <x:tableColumn id="2" name="文献 / 标准 / 平台"/>
    <x:tableColumn id="3" name="年份"/>
    <x:tableColumn id="4" name="类型"/>
    <x:tableColumn id="5" name="与本清单的关系"/>
    <x:tableColumn id="6" name="URL"/>
  </x:tableColumns>
  <x:tableStyleInfo name="TableStyleMedium2" showRowStripes="1"/>
</x:table>
</file>

<file path=xl/tables/table5.xml><?xml version="1.0" encoding="utf-8"?>
<x:table xmlns:x="http://schemas.openxmlformats.org/spreadsheetml/2006/main" id="5" name="ScenarioMapTable" displayName="ScenarioMapTable" ref="A4:P1004" headerRowCount="1">
  <x:tableColumns count="16">
    <x:tableColumn id="1" name="编号"/>
    <x:tableColumn id="2" name="宏观层"/>
    <x:tableColumn id="3" name="一级技术域"/>
    <x:tableColumn id="4" name="场景相关性"/>
    <x:tableColumn id="5" name="相关性评分"/>
    <x:tableColumn id="6" name="适用模式"/>
    <x:tableColumn id="7" name="任务包"/>
    <x:tableColumn id="8" name="关键技术 / 思维模型"/>
    <x:tableColumn id="9" name="能解决的具体问题"/>
    <x:tableColumn id="10" name="本项目落地方式"/>
    <x:tableColumn id="11" name="边界/限制"/>
    <x:tableColumn id="12" name="建议阶段"/>
    <x:tableColumn id="13" name="接入建议"/>
    <x:tableColumn id="14" name="原优先级"/>
    <x:tableColumn id="15" name="主来源URL"/>
    <x:tableColumn id="16" name="项目状态（可编辑）"/>
  </x:tableColumns>
  <x:tableStyleInfo name="TableStyleMedium2" showRowStripes="1"/>
</x:table>
</file>

<file path=xl/tables/table6.xml><?xml version="1.0" encoding="utf-8"?>
<x:table xmlns:x="http://schemas.openxmlformats.org/spreadsheetml/2006/main" id="6" name="Core80Table" displayName="Core80Table" ref="A4:J84" headerRowCount="1">
  <x:tableColumns count="10">
    <x:tableColumn id="1" name="序号"/>
    <x:tableColumn id="2" name="模块"/>
    <x:tableColumn id="3" name="编号"/>
    <x:tableColumn id="4" name="一级技术域"/>
    <x:tableColumn id="5" name="技术点"/>
    <x:tableColumn id="6" name="适用模式"/>
    <x:tableColumn id="7" name="M0接入动作"/>
    <x:tableColumn id="8" name="阶段验收"/>
    <x:tableColumn id="9" name="原工程验收问题"/>
    <x:tableColumn id="10" name="来源URL"/>
  </x:tableColumns>
  <x:tableStyleInfo name="TableStyleMedium2" showRowStripes="1"/>
</x:table>
</file>

<file path=xl/tables/table7.xml><?xml version="1.0" encoding="utf-8"?>
<x:table xmlns:x="http://schemas.openxmlformats.org/spreadsheetml/2006/main" id="7" name="ScenarioPatchTable" displayName="ScenarioPatchTable" ref="A4:H36" headerRowCount="1">
  <x:tableColumns count="8">
    <x:tableColumn id="1" name="补丁ID"/>
    <x:tableColumn id="2" name="类别"/>
    <x:tableColumn id="3" name="场景特化技术"/>
    <x:tableColumn id="4" name="解决的具体问题"/>
    <x:tableColumn id="5" name="实现要点"/>
    <x:tableColumn id="6" name="验收证据"/>
    <x:tableColumn id="7" name="对应1000项"/>
    <x:tableColumn id="8" name="阶段"/>
  </x:tableColumns>
  <x:tableStyleInfo name="TableStyleMedium2" showRowStripes="1"/>
</x:table>
</file>

<file path=xl/tables/table8.xml><?xml version="1.0" encoding="utf-8"?>
<x:table xmlns:x="http://schemas.openxmlformats.org/spreadsheetml/2006/main" id="8" name="UnifiedMetricsTable" displayName="UnifiedMetricsTable" ref="A4:H35" headerRowCount="1">
  <x:tableColumns count="8">
    <x:tableColumn id="1" name="指标ID"/>
    <x:tableColumn id="2" name="指标层"/>
    <x:tableColumn id="3" name="统一指标"/>
    <x:tableColumn id="4" name="定义 / 公式"/>
    <x:tableColumn id="5" name="适用模式"/>
    <x:tableColumn id="6" name="统计层级"/>
    <x:tableColumn id="7" name="不确定性与质控要求"/>
    <x:tableColumn id="8" name="主要用途"/>
  </x:tableColumns>
  <x:tableStyleInfo name="TableStyleMedium2" showRowStripes="1"/>
</x:table>
</file>

<file path=xl/tables/table9.xml><?xml version="1.0" encoding="utf-8"?>
<x:table xmlns:x="http://schemas.openxmlformats.org/spreadsheetml/2006/main" id="9" name="TransferDiscoveryTable" displayName="TransferDiscoveryTable" ref="A4:I16" headerRowCount="1">
  <x:tableColumns count="9">
    <x:tableColumn id="1" name="步骤"/>
    <x:tableColumn id="2" name="阶段"/>
    <x:tableColumn id="3" name="输入"/>
    <x:tableColumn id="4" name="智能体职责"/>
    <x:tableColumn id="5" name="确定性工具/算法"/>
    <x:tableColumn id="6" name="输出"/>
    <x:tableColumn id="7" name="科学门禁"/>
    <x:tableColumn id="8" name="停止/决策条件"/>
    <x:tableColumn id="9" name="关联技术"/>
  </x:tableColumns>
  <x:tableStyleInfo name="TableStyleMedium2" showRowStripes="1"/>
</x:table>
</file>

<file path=xl/tables/table10.xml><?xml version="1.0" encoding="utf-8"?>
<x:table xmlns:x="http://schemas.openxmlformats.org/spreadsheetml/2006/main" id="10" name="ClosedLoopOptimizationTable" displayName="ClosedLoopOptimizationTable" ref="A4:I16" headerRowCount="1">
  <x:tableColumns count="9">
    <x:tableColumn id="1" name="步骤"/>
    <x:tableColumn id="2" name="阶段"/>
    <x:tableColumn id="3" name="输入"/>
    <x:tableColumn id="4" name="智能体职责"/>
    <x:tableColumn id="5" name="确定性工具/算法"/>
    <x:tableColumn id="6" name="输出"/>
    <x:tableColumn id="7" name="科学/安全门禁"/>
    <x:tableColumn id="8" name="停止/决策条件"/>
    <x:tableColumn id="9" name="关联技术"/>
  </x:tableColumns>
  <x:tableStyleInfo name="TableStyleMedium2" showRowStripes="1"/>
</x:table>
</file>

<file path=xl/tables/table11.xml><?xml version="1.0" encoding="utf-8"?>
<x:table xmlns:x="http://schemas.openxmlformats.org/spreadsheetml/2006/main" id="11" name="ScenarioSourcesTable" displayName="ScenarioSourcesTable" ref="A4:D16" headerRowCount="1">
  <x:tableColumns count="4">
    <x:tableColumn id="1" name="来源ID"/>
    <x:tableColumn id="2" name="来源"/>
    <x:tableColumn id="3" name="用于本方案的关键启示"/>
    <x:tableColumn id="4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39aaa22d0064d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e0aa16e4ff46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f755859f33df45c0" /><Relationship Type="http://schemas.openxmlformats.org/officeDocument/2006/relationships/table" Target="/xl/tables/table2.xml" Id="Rcb82542931dd42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c258a75f734f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b6da32b95149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4cf268a00046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03aff80b634d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602ee952da46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a14f370c664a8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71467b9b7f74b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6a2d53690284fb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60668c67929a445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3.xml" Id="R1c684488fc844d3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44" hidden="0" customWidth="1"/>
    <x:col min="4" max="4" width="20" hidden="0" customWidth="1"/>
    <x:col min="5" max="5" width="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28" customHeight="1">
      <x:c r="A1" s="5" t="str">
        <x:v>黑灯实验室 / 自驱动实验室 / 科学智能体：1000项关键技术与思维模型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12" t="str">
        <x:v>公开资料综合调研版｜截至 2026-06-18｜25个技术域 × 40项 = 1000项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5">
      <x:c r="A5" s="20" t="str">
        <x:v>口径</x:v>
      </x:c>
      <x:c r="B5" s="20" t="str">
        <x:v>定义</x:v>
      </x:c>
      <x:c r="C5" s="20" t="str">
        <x:v>核心区分</x:v>
      </x:c>
      <x:c r="D5" s="20" t="str">
        <x:v>代表来源</x:v>
      </x:c>
      <x:c r="F5" s="20" t="str">
        <x:v>本清单的使用边界</x:v>
      </x:c>
      <x:c r="G5" s="20"/>
      <x:c r="H5" s="20"/>
      <x:c r="I5" s="20"/>
      <x:c r="J5" s="20"/>
      <x:c r="K5" s="20"/>
      <x:c r="L5" s="20"/>
      <x:c r="M5" s="20"/>
    </x:row>
    <x:row r="6" ht="34" customHeight="1">
      <x:c r="A6" s="28" t="str">
        <x:v>黑灯实验室（Lights-out Lab）</x:v>
      </x:c>
      <x:c r="B6" s="28" t="str">
        <x:v>以AI、机器人、物联网、自动化仪器和数据平台实现少人/无人值守、可连续运行的实验设施。</x:v>
      </x:c>
      <x:c r="C6" s="28" t="str">
        <x:v>重点是无人值守执行与运营；不必然具备自主提出假设或改变研究策略的能力。</x:v>
      </x:c>
      <x:c r="D6" s="28" t="str">
        <x:v>S56; S57; S63</x:v>
      </x:c>
      <x:c r="F6" s="35" t="str">
        <x:v>本工作簿不是声称穷尽全球每一家实验室或每一篇论文，而是把公开的黑灯实验室、自驱动实验室、科学自动化、AI for Science 与 Agent 技术栈，按系统工程方式尽可能全面地分解为1000个可检索、可评审的技术点。
建议用法：①按“宏观层/技术域/技术簇”筛选；②以P0建立最小闭环；③用指标列定义验收证据；④沿来源ID回到原始文献；⑤在具体行业中补充SOP、法规、仪器和风险边界。</x:v>
      </x:c>
      <x:c r="G6" s="35"/>
      <x:c r="H6" s="35"/>
      <x:c r="I6" s="35"/>
      <x:c r="J6" s="35"/>
      <x:c r="K6" s="35"/>
      <x:c r="L6" s="35"/>
      <x:c r="M6" s="35"/>
    </x:row>
    <x:row r="7" ht="34" customHeight="1">
      <x:c r="A7" s="28" t="str">
        <x:v>自驱动实验室（SDL）</x:v>
      </x:c>
      <x:c r="B7" s="28" t="str">
        <x:v>把自动实验、在线分析、机器学习/优化和反馈决策闭合成“设计—执行—学习—再设计”循环。</x:v>
      </x:c>
      <x:c r="C7" s="28" t="str">
        <x:v>重点是根据新证据自主选择下一实验；科学自主度高于固定脚本自动化。</x:v>
      </x:c>
      <x:c r="D7" s="28" t="str">
        <x:v>S01; S02; S05; S07</x:v>
      </x:c>
      <x:c r="F7" s="35"/>
      <x:c r="G7" s="35"/>
      <x:c r="H7" s="35"/>
      <x:c r="I7" s="35"/>
      <x:c r="J7" s="35"/>
      <x:c r="K7" s="35"/>
      <x:c r="L7" s="35"/>
      <x:c r="M7" s="35"/>
    </x:row>
    <x:row r="8" ht="34" customHeight="1">
      <x:c r="A8" s="28" t="str">
        <x:v>科学智能体 / Agent</x:v>
      </x:c>
      <x:c r="B8" s="28" t="str">
        <x:v>能感知上下文、规划任务、调用文献/数据库/代码/仿真/仪器工具、验证结果并维护记忆的软件或具身智能体。</x:v>
      </x:c>
      <x:c r="C8" s="28" t="str">
        <x:v>语言推理必须与工具权限、结构化协议、验证器、安全策略和审计轨迹共同工作。</x:v>
      </x:c>
      <x:c r="D8" s="28" t="str">
        <x:v>S11; S31–S39</x:v>
      </x:c>
      <x:c r="F8" s="35"/>
      <x:c r="G8" s="35"/>
      <x:c r="H8" s="35"/>
      <x:c r="I8" s="35"/>
      <x:c r="J8" s="35"/>
      <x:c r="K8" s="35"/>
      <x:c r="L8" s="35"/>
      <x:c r="M8" s="35"/>
    </x:row>
    <x:row r="9" ht="34" customHeight="1">
      <x:c r="F9" s="35"/>
      <x:c r="G9" s="35"/>
      <x:c r="H9" s="35"/>
      <x:c r="I9" s="35"/>
      <x:c r="J9" s="35"/>
      <x:c r="K9" s="35"/>
      <x:c r="L9" s="35"/>
      <x:c r="M9" s="35"/>
    </x:row>
    <x:row r="11">
      <x:c r="A11" s="20" t="str">
        <x:v>清单总数</x:v>
      </x:c>
      <x:c r="B11" s="20" t="str">
        <x:v>技术域</x:v>
      </x:c>
      <x:c r="C11" s="20" t="str">
        <x:v>宏观层</x:v>
      </x:c>
      <x:c r="D11" s="20" t="str">
        <x:v>来源条目</x:v>
      </x:c>
      <x:c r="E11" s="20" t="str">
        <x:v>代表系统</x:v>
      </x:c>
      <x:c r="F11" s="20" t="str">
        <x:v>P0项</x:v>
      </x:c>
      <x:c r="G11" s="20" t="str">
        <x:v>P1项</x:v>
      </x:c>
      <x:c r="H11" s="20" t="str">
        <x:v>P2项</x:v>
      </x:c>
    </x:row>
    <x:row r="12">
      <x:c r="A12" s="43" t="n">
        <x:f>COUNTA('1000清单'!$A$2:$A$1001)</x:f>
        <x:v>1000</x:v>
      </x:c>
      <x:c r="B12" s="43" t="n">
        <x:f>COUNTA('分类地图'!$A$2:$A$26)</x:f>
        <x:v>25</x:v>
      </x:c>
      <x:c r="C12" s="43" t="n">
        <x:v>7</x:v>
      </x:c>
      <x:c r="D12" s="43" t="n">
        <x:f>COUNTA('来源索引'!$A$2:$A$66)</x:f>
        <x:v>65</x:v>
      </x:c>
      <x:c r="E12" s="43" t="n">
        <x:f>COUNTA('代表性系统'!$A$2:$A$26)</x:f>
        <x:v>25</x:v>
      </x:c>
      <x:c r="F12" s="43" t="n">
        <x:f>COUNTIF('1000清单'!$K$2:$K$1001,"P0")</x:f>
        <x:v>250</x:v>
      </x:c>
      <x:c r="G12" s="43" t="n">
        <x:f>COUNTIF('1000清单'!$K$2:$K$1001,"P1")</x:f>
        <x:v>450</x:v>
      </x:c>
      <x:c r="H12" s="43" t="n">
        <x:f>COUNTIF('1000清单'!$K$2:$K$1001,"P2")</x:f>
        <x:v>300</x:v>
      </x:c>
    </x:row>
    <x:row r="15">
      <x:c r="A15" s="20" t="str">
        <x:v>宏观层</x:v>
      </x:c>
      <x:c r="B15" s="20" t="str">
        <x:v>条目数</x:v>
      </x:c>
    </x:row>
    <x:row r="16">
      <x:c r="A16" s="28" t="str">
        <x:v>科研闭环与自主架构</x:v>
      </x:c>
      <x:c r="B16" s="28" t="n">
        <x:f>COUNTIF('1000清单'!$B$2:$B$1001,A16)</x:f>
        <x:v>80</x:v>
      </x:c>
    </x:row>
    <x:row r="17">
      <x:c r="A17" s="28" t="str">
        <x:v>实验执行与具身自动化</x:v>
      </x:c>
      <x:c r="B17" s="28" t="n">
        <x:f>COUNTIF('1000清单'!$B$2:$B$1001,A17)</x:f>
        <x:v>320</x:v>
      </x:c>
    </x:row>
    <x:row r="18">
      <x:c r="A18" s="28" t="str">
        <x:v>数据与互操作基础设施</x:v>
      </x:c>
      <x:c r="B18" s="28" t="n">
        <x:f>COUNTIF('1000清单'!$B$2:$B$1001,A18)</x:f>
        <x:v>80</x:v>
      </x:c>
    </x:row>
    <x:row r="19">
      <x:c r="A19" s="28" t="str">
        <x:v>实验设计与闭环优化</x:v>
      </x:c>
      <x:c r="B19" s="28" t="n">
        <x:f>COUNTIF('1000清单'!$B$2:$B$1001,A19)</x:f>
        <x:v>160</x:v>
      </x:c>
    </x:row>
    <x:row r="20">
      <x:c r="A20" s="28" t="str">
        <x:v>科学AI、仿真与数字孪生</x:v>
      </x:c>
      <x:c r="B20" s="28" t="n">
        <x:f>COUNTIF('1000清单'!$B$2:$B$1001,A20)</x:f>
        <x:v>80</x:v>
      </x:c>
    </x:row>
    <x:row r="21">
      <x:c r="A21" s="28" t="str">
        <x:v>科学智能体与多智能体</x:v>
      </x:c>
      <x:c r="B21" s="28" t="n">
        <x:f>COUNTIF('1000清单'!$B$2:$B$1001,A21)</x:f>
        <x:v>120</x:v>
      </x:c>
    </x:row>
    <x:row r="22">
      <x:c r="A22" s="28" t="str">
        <x:v>可信、安全、运营与思维模型</x:v>
      </x:c>
      <x:c r="B22" s="28" t="n">
        <x:f>COUNTIF('1000清单'!$B$2:$B$1001,A22)</x:f>
        <x:v>160</x:v>
      </x:c>
    </x:row>
    <x:row r="24">
      <x:c r="A24" s="20" t="str">
        <x:v>七条落地判断：真正的黑灯/自驱动实验室不是“机器人+大模型”的简单叠加</x:v>
      </x:c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</x:row>
    <x:row r="25" ht="28" customHeight="1">
      <x:c r="A25" s="51" t="str">
        <x:v>1</x:v>
      </x:c>
      <x:c r="B25" s="58" t="str">
        <x:v>闭环优先</x:v>
      </x:c>
      <x:c r="C25" s="28" t="str">
        <x:v>先定义目标、证据、约束、异常和停止条件，再选硬件与模型。</x:v>
      </x:c>
      <x:c r="D25" s="28" t="str">
        <x:v>S01; S02</x:v>
      </x:c>
      <x:c r="E25" s="62"/>
      <x:c r="F25" s="62"/>
      <x:c r="G25" s="62"/>
      <x:c r="H25" s="62"/>
      <x:c r="I25" s="62"/>
      <x:c r="J25" s="62"/>
      <x:c r="K25" s="62"/>
      <x:c r="L25" s="62"/>
      <x:c r="M25" s="62"/>
    </x:row>
    <x:row r="26" ht="28" customHeight="1">
      <x:c r="A26" s="51" t="str">
        <x:v>2</x:v>
      </x:c>
      <x:c r="B26" s="58" t="str">
        <x:v>数据优先</x:v>
      </x:c>
      <x:c r="C26" s="28" t="str">
        <x:v>没有唯一身份、元数据、时间同步、溯源和质量规则，闭环只会放大噪声。</x:v>
      </x:c>
      <x:c r="D26" s="28" t="str">
        <x:v>S23–S25</x:v>
      </x:c>
      <x:c r="E26" s="62"/>
      <x:c r="F26" s="62"/>
      <x:c r="G26" s="62"/>
      <x:c r="H26" s="62"/>
      <x:c r="I26" s="62"/>
      <x:c r="J26" s="62"/>
      <x:c r="K26" s="62"/>
      <x:c r="L26" s="62"/>
      <x:c r="M26" s="62"/>
    </x:row>
    <x:row r="27" ht="28" customHeight="1">
      <x:c r="A27" s="51" t="str">
        <x:v>3</x:v>
      </x:c>
      <x:c r="B27" s="58" t="str">
        <x:v>互操作优先</x:v>
      </x:c>
      <x:c r="C27" s="28" t="str">
        <x:v>设备能力应通过稳定标准接口暴露，协议与设备解耦。</x:v>
      </x:c>
      <x:c r="D27" s="28" t="str">
        <x:v>S26; S29; S30</x:v>
      </x:c>
      <x:c r="E27" s="62"/>
      <x:c r="F27" s="62"/>
      <x:c r="G27" s="62"/>
      <x:c r="H27" s="62"/>
      <x:c r="I27" s="62"/>
      <x:c r="J27" s="62"/>
      <x:c r="K27" s="62"/>
      <x:c r="L27" s="62"/>
      <x:c r="M27" s="62"/>
    </x:row>
    <x:row r="28" ht="28" customHeight="1">
      <x:c r="A28" s="51" t="str">
        <x:v>4</x:v>
      </x:c>
      <x:c r="B28" s="58" t="str">
        <x:v>验证优先</x:v>
      </x:c>
      <x:c r="C28" s="28" t="str">
        <x:v>Agent的计划、工具调用和实验动作都需要前置/后置验证与拒绝机制。</x:v>
      </x:c>
      <x:c r="D28" s="28" t="str">
        <x:v>S11; S31–S39</x:v>
      </x:c>
      <x:c r="E28" s="62"/>
      <x:c r="F28" s="62"/>
      <x:c r="G28" s="62"/>
      <x:c r="H28" s="62"/>
      <x:c r="I28" s="62"/>
      <x:c r="J28" s="62"/>
      <x:c r="K28" s="62"/>
      <x:c r="L28" s="62"/>
      <x:c r="M28" s="62"/>
    </x:row>
    <x:row r="29" ht="28" customHeight="1">
      <x:c r="A29" s="51" t="str">
        <x:v>5</x:v>
      </x:c>
      <x:c r="B29" s="58" t="str">
        <x:v>安全包络</x:v>
      </x:c>
      <x:c r="C29" s="28" t="str">
        <x:v>自主权应随证据、风险、异常和系统健康动态调整，高风险动作必须人工授权。</x:v>
      </x:c>
      <x:c r="D29" s="28" t="str">
        <x:v>S46–S51</x:v>
      </x:c>
      <x:c r="E29" s="62"/>
      <x:c r="F29" s="62"/>
      <x:c r="G29" s="62"/>
      <x:c r="H29" s="62"/>
      <x:c r="I29" s="62"/>
      <x:c r="J29" s="62"/>
      <x:c r="K29" s="62"/>
      <x:c r="L29" s="62"/>
      <x:c r="M29" s="62"/>
    </x:row>
    <x:row r="30" ht="28" customHeight="1">
      <x:c r="A30" s="51" t="str">
        <x:v>6</x:v>
      </x:c>
      <x:c r="B30" s="58" t="str">
        <x:v>指标闭环</x:v>
      </x:c>
      <x:c r="C30" s="28" t="str">
        <x:v>用样本效率、发现率、人工干预、单位成功成本、复现率和安全事件评价，而非只看吞吐。</x:v>
      </x:c>
      <x:c r="D30" s="28" t="str">
        <x:v>S03; S04</x:v>
      </x:c>
      <x:c r="E30" s="62"/>
      <x:c r="F30" s="62"/>
      <x:c r="G30" s="62"/>
      <x:c r="H30" s="62"/>
      <x:c r="I30" s="62"/>
      <x:c r="J30" s="62"/>
      <x:c r="K30" s="62"/>
      <x:c r="L30" s="62"/>
      <x:c r="M30" s="62"/>
    </x:row>
    <x:row r="31" ht="28" customHeight="1">
      <x:c r="A31" s="51" t="str">
        <x:v>7</x:v>
      </x:c>
      <x:c r="B31" s="58" t="str">
        <x:v>从P0到规模化</x:v>
      </x:c>
      <x:c r="C31" s="28" t="str">
        <x:v>先建立一个可复现的最小闭环，再逐步扩展模态、设备、Agent和跨实验室协作。</x:v>
      </x:c>
      <x:c r="D31" s="28" t="str">
        <x:v>S05; S58; S60</x:v>
      </x:c>
      <x:c r="E31" s="62"/>
      <x:c r="F31" s="62"/>
      <x:c r="G31" s="62"/>
      <x:c r="H31" s="62"/>
      <x:c r="I31" s="62"/>
      <x:c r="J31" s="62"/>
      <x:c r="K31" s="62"/>
      <x:c r="L31" s="62"/>
      <x:c r="M31" s="62"/>
    </x:row>
  </x:sheetData>
  <x:mergeCells>
    <x:mergeCell ref="A1:M2"/>
    <x:mergeCell ref="A3:M3"/>
    <x:mergeCell ref="F5:M5"/>
    <x:mergeCell ref="F6:M9"/>
    <x:mergeCell ref="A24:M24"/>
  </x:mergeCells>
  <x:pageMargins left="0.7" right="0.7" top="0.75" bottom="0.75" header="0.3" footer="0.3"/>
  <x:drawing xmlns:r="http://schemas.openxmlformats.org/officeDocument/2006/relationships" r:id="R239aaa22d0064df6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8" hidden="0" customWidth="1"/>
    <x:col min="4" max="4" width="24" hidden="0" customWidth="1"/>
    <x:col min="5" max="5" width="18" hidden="0" customWidth="1"/>
    <x:col min="6" max="6" width="25" hidden="0" customWidth="1"/>
    <x:col min="7" max="7" width="48" hidden="0" customWidth="1"/>
    <x:col min="8" max="8" width="38" hidden="0" customWidth="1"/>
    <x:col min="9" max="9" width="36" hidden="0" customWidth="1"/>
    <x:col min="10" max="10" width="12" hidden="0" customWidth="1"/>
    <x:col min="11" max="11" width="9" hidden="0" customWidth="1"/>
    <x:col min="12" max="12" width="24" hidden="0" customWidth="1"/>
    <x:col min="13" max="13" width="46" hidden="0" customWidth="1"/>
  </x:cols>
  <x:sheetData>
    <x:row r="1" ht="34" customHeight="1">
      <x:c r="A1" s="20" t="str">
        <x:v>编号</x:v>
      </x:c>
      <x:c r="B1" s="20" t="str">
        <x:v>宏观层</x:v>
      </x:c>
      <x:c r="C1" s="20" t="str">
        <x:v>一级技术域</x:v>
      </x:c>
      <x:c r="D1" s="20" t="str">
        <x:v>二级技术簇</x:v>
      </x:c>
      <x:c r="E1" s="20" t="str">
        <x:v>类型</x:v>
      </x:c>
      <x:c r="F1" s="20" t="str">
        <x:v>关键技术 / 思维模型</x:v>
      </x:c>
      <x:c r="G1" s="20" t="str">
        <x:v>核心技术点</x:v>
      </x:c>
      <x:c r="H1" s="20" t="str">
        <x:v>工程化验收问题</x:v>
      </x:c>
      <x:c r="I1" s="20" t="str">
        <x:v>典型指标 / 证据</x:v>
      </x:c>
      <x:c r="J1" s="20" t="str">
        <x:v>成熟度</x:v>
      </x:c>
      <x:c r="K1" s="20" t="str">
        <x:v>优先级</x:v>
      </x:c>
      <x:c r="L1" s="20" t="str">
        <x:v>代表来源ID</x:v>
      </x:c>
      <x:c r="M1" s="20" t="str">
        <x:v>主来源URL</x:v>
      </x:c>
    </x:row>
    <x:row r="2" ht="48" customHeight="1">
      <x:c r="A2" s="64" t="str">
        <x:v>T0001</x:v>
      </x:c>
      <x:c r="B2" s="28" t="str">
        <x:v>科研闭环与自主架构</x:v>
      </x:c>
      <x:c r="C2" s="28" t="str">
        <x:v>科学闭环与自主科研范式</x:v>
      </x:c>
      <x:c r="D2" s="28" t="str">
        <x:v>目标与假设</x:v>
      </x:c>
      <x:c r="E2" s="28" t="str">
        <x:v>科研范式</x:v>
      </x:c>
      <x:c r="F2" s="28" t="str">
        <x:v>目标形式化</x:v>
      </x:c>
      <x:c r="G2" s="28" t="str">
        <x:v>把“目标形式化”嵌入假设—设计—执行—分析—更新的科学闭环，使系统基于证据而非脚本机械推进研究。</x:v>
      </x:c>
      <x:c r="H2" s="28" t="str">
        <x:v>闭环输入、可证伪假设、更新规则与停止条件是否明确？</x:v>
      </x:c>
      <x:c r="I2" s="28" t="str">
        <x:v>闭环周期；样本效率；人工干预率；假设命中率；独立重复通过率</x:v>
      </x:c>
      <x:c r="J2" s="64" t="str">
        <x:v>基础能力</x:v>
      </x:c>
      <x:c r="K2" s="64" t="str">
        <x:v>P0</x:v>
      </x:c>
      <x:c r="L2" s="28" t="str">
        <x:v>S01; S02; S05; S07; S11</x:v>
      </x:c>
      <x:c r="M2" s="28" t="str">
        <x:v>https://pubs.acs.org/doi/10.1021/acs.chemrev.4c00055</x:v>
      </x:c>
    </x:row>
    <x:row r="3" ht="48" customHeight="1">
      <x:c r="A3" s="64" t="str">
        <x:v>T0002</x:v>
      </x:c>
      <x:c r="B3" s="28" t="str">
        <x:v>科研闭环与自主架构</x:v>
      </x:c>
      <x:c r="C3" s="28" t="str">
        <x:v>科学闭环与自主科研范式</x:v>
      </x:c>
      <x:c r="D3" s="28" t="str">
        <x:v>目标与假设</x:v>
      </x:c>
      <x:c r="E3" s="28" t="str">
        <x:v>科研范式</x:v>
      </x:c>
      <x:c r="F3" s="28" t="str">
        <x:v>假设生成</x:v>
      </x:c>
      <x:c r="G3" s="28" t="str">
        <x:v>把“假设生成”嵌入假设—设计—执行—分析—更新的科学闭环，使系统基于证据而非脚本机械推进研究。</x:v>
      </x:c>
      <x:c r="H3" s="28" t="str">
        <x:v>闭环输入、可证伪假设、更新规则与停止条件是否明确？</x:v>
      </x:c>
      <x:c r="I3" s="28" t="str">
        <x:v>闭环周期；样本效率；人工干预率；假设命中率；独立重复通过率</x:v>
      </x:c>
      <x:c r="J3" s="64" t="str">
        <x:v>基础能力</x:v>
      </x:c>
      <x:c r="K3" s="64" t="str">
        <x:v>P0</x:v>
      </x:c>
      <x:c r="L3" s="28" t="str">
        <x:v>S01; S02; S05; S07; S11</x:v>
      </x:c>
      <x:c r="M3" s="28" t="str">
        <x:v>https://royalsocietypublishing.org/rsos/article/12/7/250646/235354/Autonomous-self-driving-laboratories-a-review-of</x:v>
      </x:c>
    </x:row>
    <x:row r="4" ht="48" customHeight="1">
      <x:c r="A4" s="64" t="str">
        <x:v>T0003</x:v>
      </x:c>
      <x:c r="B4" s="28" t="str">
        <x:v>科研闭环与自主架构</x:v>
      </x:c>
      <x:c r="C4" s="28" t="str">
        <x:v>科学闭环与自主科研范式</x:v>
      </x:c>
      <x:c r="D4" s="28" t="str">
        <x:v>目标与假设</x:v>
      </x:c>
      <x:c r="E4" s="28" t="str">
        <x:v>科研范式</x:v>
      </x:c>
      <x:c r="F4" s="28" t="str">
        <x:v>文献证据检索</x:v>
      </x:c>
      <x:c r="G4" s="28" t="str">
        <x:v>把“文献证据检索”嵌入假设—设计—执行—分析—更新的科学闭环，使系统基于证据而非脚本机械推进研究。</x:v>
      </x:c>
      <x:c r="H4" s="28" t="str">
        <x:v>闭环输入、可证伪假设、更新规则与停止条件是否明确？</x:v>
      </x:c>
      <x:c r="I4" s="28" t="str">
        <x:v>闭环周期；样本效率；人工干预率；假设命中率；独立重复通过率</x:v>
      </x:c>
      <x:c r="J4" s="64" t="str">
        <x:v>基础能力</x:v>
      </x:c>
      <x:c r="K4" s="64" t="str">
        <x:v>P0</x:v>
      </x:c>
      <x:c r="L4" s="28" t="str">
        <x:v>S01; S02; S05; S07; S11</x:v>
      </x:c>
      <x:c r="M4" s="28" t="str">
        <x:v>https://www.science.org/doi/10.1126/scirobotics.aat5559</x:v>
      </x:c>
    </x:row>
    <x:row r="5" ht="48" customHeight="1">
      <x:c r="A5" s="64" t="str">
        <x:v>T0004</x:v>
      </x:c>
      <x:c r="B5" s="28" t="str">
        <x:v>科研闭环与自主架构</x:v>
      </x:c>
      <x:c r="C5" s="28" t="str">
        <x:v>科学闭环与自主科研范式</x:v>
      </x:c>
      <x:c r="D5" s="28" t="str">
        <x:v>目标与假设</x:v>
      </x:c>
      <x:c r="E5" s="28" t="str">
        <x:v>科研范式</x:v>
      </x:c>
      <x:c r="F5" s="28" t="str">
        <x:v>知识缺口识别</x:v>
      </x:c>
      <x:c r="G5" s="28" t="str">
        <x:v>把“知识缺口识别”嵌入假设—设计—执行—分析—更新的科学闭环，使系统基于证据而非脚本机械推进研究。</x:v>
      </x:c>
      <x:c r="H5" s="28" t="str">
        <x:v>闭环输入、可证伪假设、更新规则与停止条件是否明确？</x:v>
      </x:c>
      <x:c r="I5" s="28" t="str">
        <x:v>闭环周期；样本效率；人工干预率；假设命中率；独立重复通过率</x:v>
      </x:c>
      <x:c r="J5" s="64" t="str">
        <x:v>基础能力</x:v>
      </x:c>
      <x:c r="K5" s="64" t="str">
        <x:v>P0</x:v>
      </x:c>
      <x:c r="L5" s="28" t="str">
        <x:v>S01; S02; S05; S07; S11</x:v>
      </x:c>
      <x:c r="M5" s="28" t="str">
        <x:v>https://www.nature.com/articles/s41586-023-06734-w</x:v>
      </x:c>
    </x:row>
    <x:row r="6" ht="48" customHeight="1">
      <x:c r="A6" s="64" t="str">
        <x:v>T0005</x:v>
      </x:c>
      <x:c r="B6" s="28" t="str">
        <x:v>科研闭环与自主架构</x:v>
      </x:c>
      <x:c r="C6" s="28" t="str">
        <x:v>科学闭环与自主科研范式</x:v>
      </x:c>
      <x:c r="D6" s="28" t="str">
        <x:v>目标与假设</x:v>
      </x:c>
      <x:c r="E6" s="28" t="str">
        <x:v>科研范式</x:v>
      </x:c>
      <x:c r="F6" s="28" t="str">
        <x:v>目标—约束翻译</x:v>
      </x:c>
      <x:c r="G6" s="28" t="str">
        <x:v>把“目标—约束翻译”嵌入假设—设计—执行—分析—更新的科学闭环，使系统基于证据而非脚本机械推进研究。</x:v>
      </x:c>
      <x:c r="H6" s="28" t="str">
        <x:v>闭环输入、可证伪假设、更新规则与停止条件是否明确？</x:v>
      </x:c>
      <x:c r="I6" s="28" t="str">
        <x:v>闭环周期；样本效率；人工干预率；假设命中率；独立重复通过率</x:v>
      </x:c>
      <x:c r="J6" s="64" t="str">
        <x:v>基础能力</x:v>
      </x:c>
      <x:c r="K6" s="64" t="str">
        <x:v>P0</x:v>
      </x:c>
      <x:c r="L6" s="28" t="str">
        <x:v>S01; S02; S05; S07; S11</x:v>
      </x:c>
      <x:c r="M6" s="28" t="str">
        <x:v>https://www.nature.com/articles/s41586-023-06792-0</x:v>
      </x:c>
    </x:row>
    <x:row r="7" ht="48" customHeight="1">
      <x:c r="A7" s="64" t="str">
        <x:v>T0006</x:v>
      </x:c>
      <x:c r="B7" s="28" t="str">
        <x:v>科研闭环与自主架构</x:v>
      </x:c>
      <x:c r="C7" s="28" t="str">
        <x:v>科学闭环与自主科研范式</x:v>
      </x:c>
      <x:c r="D7" s="28" t="str">
        <x:v>目标与假设</x:v>
      </x:c>
      <x:c r="E7" s="28" t="str">
        <x:v>科研范式</x:v>
      </x:c>
      <x:c r="F7" s="28" t="str">
        <x:v>实验空间定义</x:v>
      </x:c>
      <x:c r="G7" s="28" t="str">
        <x:v>把“实验空间定义”嵌入假设—设计—执行—分析—更新的科学闭环，使系统基于证据而非脚本机械推进研究。</x:v>
      </x:c>
      <x:c r="H7" s="28" t="str">
        <x:v>闭环输入、可证伪假设、更新规则与停止条件是否明确？</x:v>
      </x:c>
      <x:c r="I7" s="28" t="str">
        <x:v>闭环周期；样本效率；人工干预率；假设命中率；独立重复通过率</x:v>
      </x:c>
      <x:c r="J7" s="64" t="str">
        <x:v>基础能力</x:v>
      </x:c>
      <x:c r="K7" s="64" t="str">
        <x:v>P0</x:v>
      </x:c>
      <x:c r="L7" s="28" t="str">
        <x:v>S01; S02; S05; S07; S11</x:v>
      </x:c>
      <x:c r="M7" s="28" t="str">
        <x:v>https://pubs.acs.org/doi/10.1021/acs.chemrev.4c00055</x:v>
      </x:c>
    </x:row>
    <x:row r="8" ht="48" customHeight="1">
      <x:c r="A8" s="64" t="str">
        <x:v>T0007</x:v>
      </x:c>
      <x:c r="B8" s="28" t="str">
        <x:v>科研闭环与自主架构</x:v>
      </x:c>
      <x:c r="C8" s="28" t="str">
        <x:v>科学闭环与自主科研范式</x:v>
      </x:c>
      <x:c r="D8" s="28" t="str">
        <x:v>目标与假设</x:v>
      </x:c>
      <x:c r="E8" s="28" t="str">
        <x:v>科研范式</x:v>
      </x:c>
      <x:c r="F8" s="28" t="str">
        <x:v>候选生成</x:v>
      </x:c>
      <x:c r="G8" s="28" t="str">
        <x:v>把“候选生成”嵌入假设—设计—执行—分析—更新的科学闭环，使系统基于证据而非脚本机械推进研究。</x:v>
      </x:c>
      <x:c r="H8" s="28" t="str">
        <x:v>闭环输入、可证伪假设、更新规则与停止条件是否明确？</x:v>
      </x:c>
      <x:c r="I8" s="28" t="str">
        <x:v>闭环周期；样本效率；人工干预率；假设命中率；独立重复通过率</x:v>
      </x:c>
      <x:c r="J8" s="64" t="str">
        <x:v>基础能力</x:v>
      </x:c>
      <x:c r="K8" s="64" t="str">
        <x:v>P0</x:v>
      </x:c>
      <x:c r="L8" s="28" t="str">
        <x:v>S01; S02; S05; S07; S11</x:v>
      </x:c>
      <x:c r="M8" s="28" t="str">
        <x:v>https://royalsocietypublishing.org/rsos/article/12/7/250646/235354/Autonomous-self-driving-laboratories-a-review-of</x:v>
      </x:c>
    </x:row>
    <x:row r="9" ht="48" customHeight="1">
      <x:c r="A9" s="64" t="str">
        <x:v>T0008</x:v>
      </x:c>
      <x:c r="B9" s="28" t="str">
        <x:v>科研闭环与自主架构</x:v>
      </x:c>
      <x:c r="C9" s="28" t="str">
        <x:v>科学闭环与自主科研范式</x:v>
      </x:c>
      <x:c r="D9" s="28" t="str">
        <x:v>目标与假设</x:v>
      </x:c>
      <x:c r="E9" s="28" t="str">
        <x:v>科研范式</x:v>
      </x:c>
      <x:c r="F9" s="28" t="str">
        <x:v>实验协议生成</x:v>
      </x:c>
      <x:c r="G9" s="28" t="str">
        <x:v>把“实验协议生成”嵌入假设—设计—执行—分析—更新的科学闭环，使系统基于证据而非脚本机械推进研究。</x:v>
      </x:c>
      <x:c r="H9" s="28" t="str">
        <x:v>闭环输入、可证伪假设、更新规则与停止条件是否明确？</x:v>
      </x:c>
      <x:c r="I9" s="28" t="str">
        <x:v>闭环周期；样本效率；人工干预率；假设命中率；独立重复通过率</x:v>
      </x:c>
      <x:c r="J9" s="64" t="str">
        <x:v>基础能力</x:v>
      </x:c>
      <x:c r="K9" s="64" t="str">
        <x:v>P0</x:v>
      </x:c>
      <x:c r="L9" s="28" t="str">
        <x:v>S01; S02; S05; S07; S11</x:v>
      </x:c>
      <x:c r="M9" s="28" t="str">
        <x:v>https://www.science.org/doi/10.1126/scirobotics.aat5559</x:v>
      </x:c>
    </x:row>
    <x:row r="10" ht="48" customHeight="1">
      <x:c r="A10" s="64" t="str">
        <x:v>T0009</x:v>
      </x:c>
      <x:c r="B10" s="28" t="str">
        <x:v>科研闭环与自主架构</x:v>
      </x:c>
      <x:c r="C10" s="28" t="str">
        <x:v>科学闭环与自主科研范式</x:v>
      </x:c>
      <x:c r="D10" s="28" t="str">
        <x:v>目标与假设</x:v>
      </x:c>
      <x:c r="E10" s="28" t="str">
        <x:v>科研范式</x:v>
      </x:c>
      <x:c r="F10" s="28" t="str">
        <x:v>试验设计</x:v>
      </x:c>
      <x:c r="G10" s="28" t="str">
        <x:v>把“试验设计”嵌入假设—设计—执行—分析—更新的科学闭环，使系统基于证据而非脚本机械推进研究。</x:v>
      </x:c>
      <x:c r="H10" s="28" t="str">
        <x:v>闭环输入、可证伪假设、更新规则与停止条件是否明确？</x:v>
      </x:c>
      <x:c r="I10" s="28" t="str">
        <x:v>闭环周期；样本效率；人工干预率；假设命中率；独立重复通过率</x:v>
      </x:c>
      <x:c r="J10" s="64" t="str">
        <x:v>基础能力</x:v>
      </x:c>
      <x:c r="K10" s="64" t="str">
        <x:v>P0</x:v>
      </x:c>
      <x:c r="L10" s="28" t="str">
        <x:v>S01; S02; S05; S07; S11</x:v>
      </x:c>
      <x:c r="M10" s="28" t="str">
        <x:v>https://www.nature.com/articles/s41586-023-06734-w</x:v>
      </x:c>
    </x:row>
    <x:row r="11" ht="48" customHeight="1">
      <x:c r="A11" s="64" t="str">
        <x:v>T0010</x:v>
      </x:c>
      <x:c r="B11" s="28" t="str">
        <x:v>科研闭环与自主架构</x:v>
      </x:c>
      <x:c r="C11" s="28" t="str">
        <x:v>科学闭环与自主科研范式</x:v>
      </x:c>
      <x:c r="D11" s="28" t="str">
        <x:v>目标与假设</x:v>
      </x:c>
      <x:c r="E11" s="28" t="str">
        <x:v>科研范式</x:v>
      </x:c>
      <x:c r="F11" s="28" t="str">
        <x:v>仿真预筛</x:v>
      </x:c>
      <x:c r="G11" s="28" t="str">
        <x:v>把“仿真预筛”嵌入假设—设计—执行—分析—更新的科学闭环，使系统基于证据而非脚本机械推进研究。</x:v>
      </x:c>
      <x:c r="H11" s="28" t="str">
        <x:v>闭环输入、可证伪假设、更新规则与停止条件是否明确？</x:v>
      </x:c>
      <x:c r="I11" s="28" t="str">
        <x:v>闭环周期；样本效率；人工干预率；假设命中率；独立重复通过率</x:v>
      </x:c>
      <x:c r="J11" s="64" t="str">
        <x:v>基础能力</x:v>
      </x:c>
      <x:c r="K11" s="64" t="str">
        <x:v>P0</x:v>
      </x:c>
      <x:c r="L11" s="28" t="str">
        <x:v>S01; S02; S05; S07; S11</x:v>
      </x:c>
      <x:c r="M11" s="28" t="str">
        <x:v>https://www.nature.com/articles/s41586-023-06792-0</x:v>
      </x:c>
    </x:row>
    <x:row r="12" ht="48" customHeight="1">
      <x:c r="A12" s="64" t="str">
        <x:v>T0011</x:v>
      </x:c>
      <x:c r="B12" s="28" t="str">
        <x:v>科研闭环与自主架构</x:v>
      </x:c>
      <x:c r="C12" s="28" t="str">
        <x:v>科学闭环与自主科研范式</x:v>
      </x:c>
      <x:c r="D12" s="28" t="str">
        <x:v>执行与分析闭环</x:v>
      </x:c>
      <x:c r="E12" s="28" t="str">
        <x:v>科研范式</x:v>
      </x:c>
      <x:c r="F12" s="28" t="str">
        <x:v>自动执行</x:v>
      </x:c>
      <x:c r="G12" s="28" t="str">
        <x:v>把“自动执行”嵌入假设—设计—执行—分析—更新的科学闭环，使系统基于证据而非脚本机械推进研究。</x:v>
      </x:c>
      <x:c r="H12" s="28" t="str">
        <x:v>闭环输入、可证伪假设、更新规则与停止条件是否明确？</x:v>
      </x:c>
      <x:c r="I12" s="28" t="str">
        <x:v>闭环周期；样本效率；人工干预率；假设命中率；独立重复通过率</x:v>
      </x:c>
      <x:c r="J12" s="64" t="str">
        <x:v>基础能力</x:v>
      </x:c>
      <x:c r="K12" s="64" t="str">
        <x:v>P1</x:v>
      </x:c>
      <x:c r="L12" s="28" t="str">
        <x:v>S01; S02; S05; S07; S11</x:v>
      </x:c>
      <x:c r="M12" s="28" t="str">
        <x:v>https://pubs.acs.org/doi/10.1021/acs.chemrev.4c00055</x:v>
      </x:c>
    </x:row>
    <x:row r="13" ht="48" customHeight="1">
      <x:c r="A13" s="64" t="str">
        <x:v>T0012</x:v>
      </x:c>
      <x:c r="B13" s="28" t="str">
        <x:v>科研闭环与自主架构</x:v>
      </x:c>
      <x:c r="C13" s="28" t="str">
        <x:v>科学闭环与自主科研范式</x:v>
      </x:c>
      <x:c r="D13" s="28" t="str">
        <x:v>执行与分析闭环</x:v>
      </x:c>
      <x:c r="E13" s="28" t="str">
        <x:v>科研范式</x:v>
      </x:c>
      <x:c r="F13" s="28" t="str">
        <x:v>在线感知</x:v>
      </x:c>
      <x:c r="G13" s="28" t="str">
        <x:v>把“在线感知”嵌入假设—设计—执行—分析—更新的科学闭环，使系统基于证据而非脚本机械推进研究。</x:v>
      </x:c>
      <x:c r="H13" s="28" t="str">
        <x:v>闭环输入、可证伪假设、更新规则与停止条件是否明确？</x:v>
      </x:c>
      <x:c r="I13" s="28" t="str">
        <x:v>闭环周期；样本效率；人工干预率；假设命中率；独立重复通过率</x:v>
      </x:c>
      <x:c r="J13" s="64" t="str">
        <x:v>基础能力</x:v>
      </x:c>
      <x:c r="K13" s="64" t="str">
        <x:v>P1</x:v>
      </x:c>
      <x:c r="L13" s="28" t="str">
        <x:v>S01; S02; S05; S07; S11</x:v>
      </x:c>
      <x:c r="M13" s="28" t="str">
        <x:v>https://royalsocietypublishing.org/rsos/article/12/7/250646/235354/Autonomous-self-driving-laboratories-a-review-of</x:v>
      </x:c>
    </x:row>
    <x:row r="14" ht="48" customHeight="1">
      <x:c r="A14" s="64" t="str">
        <x:v>T0013</x:v>
      </x:c>
      <x:c r="B14" s="28" t="str">
        <x:v>科研闭环与自主架构</x:v>
      </x:c>
      <x:c r="C14" s="28" t="str">
        <x:v>科学闭环与自主科研范式</x:v>
      </x:c>
      <x:c r="D14" s="28" t="str">
        <x:v>执行与分析闭环</x:v>
      </x:c>
      <x:c r="E14" s="28" t="str">
        <x:v>科研范式</x:v>
      </x:c>
      <x:c r="F14" s="28" t="str">
        <x:v>自动数据分析</x:v>
      </x:c>
      <x:c r="G14" s="28" t="str">
        <x:v>把“自动数据分析”嵌入假设—设计—执行—分析—更新的科学闭环，使系统基于证据而非脚本机械推进研究。</x:v>
      </x:c>
      <x:c r="H14" s="28" t="str">
        <x:v>闭环输入、可证伪假设、更新规则与停止条件是否明确？</x:v>
      </x:c>
      <x:c r="I14" s="28" t="str">
        <x:v>闭环周期；样本效率；人工干预率；假设命中率；独立重复通过率</x:v>
      </x:c>
      <x:c r="J14" s="64" t="str">
        <x:v>工程化关键</x:v>
      </x:c>
      <x:c r="K14" s="64" t="str">
        <x:v>P1</x:v>
      </x:c>
      <x:c r="L14" s="28" t="str">
        <x:v>S01; S02; S05; S07; S11</x:v>
      </x:c>
      <x:c r="M14" s="28" t="str">
        <x:v>https://www.science.org/doi/10.1126/scirobotics.aat5559</x:v>
      </x:c>
    </x:row>
    <x:row r="15" ht="48" customHeight="1">
      <x:c r="A15" s="64" t="str">
        <x:v>T0014</x:v>
      </x:c>
      <x:c r="B15" s="28" t="str">
        <x:v>科研闭环与自主架构</x:v>
      </x:c>
      <x:c r="C15" s="28" t="str">
        <x:v>科学闭环与自主科研范式</x:v>
      </x:c>
      <x:c r="D15" s="28" t="str">
        <x:v>执行与分析闭环</x:v>
      </x:c>
      <x:c r="E15" s="28" t="str">
        <x:v>科研范式</x:v>
      </x:c>
      <x:c r="F15" s="28" t="str">
        <x:v>模型更新</x:v>
      </x:c>
      <x:c r="G15" s="28" t="str">
        <x:v>把“模型更新”嵌入假设—设计—执行—分析—更新的科学闭环，使系统基于证据而非脚本机械推进研究。</x:v>
      </x:c>
      <x:c r="H15" s="28" t="str">
        <x:v>闭环输入、可证伪假设、更新规则与停止条件是否明确？</x:v>
      </x:c>
      <x:c r="I15" s="28" t="str">
        <x:v>闭环周期；样本效率；人工干预率；假设命中率；独立重复通过率</x:v>
      </x:c>
      <x:c r="J15" s="64" t="str">
        <x:v>工程化关键</x:v>
      </x:c>
      <x:c r="K15" s="64" t="str">
        <x:v>P1</x:v>
      </x:c>
      <x:c r="L15" s="28" t="str">
        <x:v>S01; S02; S05; S07; S11</x:v>
      </x:c>
      <x:c r="M15" s="28" t="str">
        <x:v>https://www.nature.com/articles/s41586-023-06734-w</x:v>
      </x:c>
    </x:row>
    <x:row r="16" ht="48" customHeight="1">
      <x:c r="A16" s="64" t="str">
        <x:v>T0015</x:v>
      </x:c>
      <x:c r="B16" s="28" t="str">
        <x:v>科研闭环与自主架构</x:v>
      </x:c>
      <x:c r="C16" s="28" t="str">
        <x:v>科学闭环与自主科研范式</x:v>
      </x:c>
      <x:c r="D16" s="28" t="str">
        <x:v>执行与分析闭环</x:v>
      </x:c>
      <x:c r="E16" s="28" t="str">
        <x:v>科研范式</x:v>
      </x:c>
      <x:c r="F16" s="28" t="str">
        <x:v>假设修正</x:v>
      </x:c>
      <x:c r="G16" s="28" t="str">
        <x:v>把“假设修正”嵌入假设—设计—执行—分析—更新的科学闭环，使系统基于证据而非脚本机械推进研究。</x:v>
      </x:c>
      <x:c r="H16" s="28" t="str">
        <x:v>闭环输入、可证伪假设、更新规则与停止条件是否明确？</x:v>
      </x:c>
      <x:c r="I16" s="28" t="str">
        <x:v>闭环周期；样本效率；人工干预率；假设命中率；独立重复通过率</x:v>
      </x:c>
      <x:c r="J16" s="64" t="str">
        <x:v>工程化关键</x:v>
      </x:c>
      <x:c r="K16" s="64" t="str">
        <x:v>P1</x:v>
      </x:c>
      <x:c r="L16" s="28" t="str">
        <x:v>S01; S02; S05; S07; S11</x:v>
      </x:c>
      <x:c r="M16" s="28" t="str">
        <x:v>https://www.nature.com/articles/s41586-023-06792-0</x:v>
      </x:c>
    </x:row>
    <x:row r="17" ht="48" customHeight="1">
      <x:c r="A17" s="64" t="str">
        <x:v>T0016</x:v>
      </x:c>
      <x:c r="B17" s="28" t="str">
        <x:v>科研闭环与自主架构</x:v>
      </x:c>
      <x:c r="C17" s="28" t="str">
        <x:v>科学闭环与自主科研范式</x:v>
      </x:c>
      <x:c r="D17" s="28" t="str">
        <x:v>执行与分析闭环</x:v>
      </x:c>
      <x:c r="E17" s="28" t="str">
        <x:v>科研范式</x:v>
      </x:c>
      <x:c r="F17" s="28" t="str">
        <x:v>停止准则</x:v>
      </x:c>
      <x:c r="G17" s="28" t="str">
        <x:v>把“停止准则”嵌入假设—设计—执行—分析—更新的科学闭环，使系统基于证据而非脚本机械推进研究。</x:v>
      </x:c>
      <x:c r="H17" s="28" t="str">
        <x:v>闭环输入、可证伪假设、更新规则与停止条件是否明确？</x:v>
      </x:c>
      <x:c r="I17" s="28" t="str">
        <x:v>闭环周期；样本效率；人工干预率；假设命中率；独立重复通过率</x:v>
      </x:c>
      <x:c r="J17" s="64" t="str">
        <x:v>工程化关键</x:v>
      </x:c>
      <x:c r="K17" s="64" t="str">
        <x:v>P1</x:v>
      </x:c>
      <x:c r="L17" s="28" t="str">
        <x:v>S01; S02; S05; S07; S11</x:v>
      </x:c>
      <x:c r="M17" s="28" t="str">
        <x:v>https://pubs.acs.org/doi/10.1021/acs.chemrev.4c00055</x:v>
      </x:c>
    </x:row>
    <x:row r="18" ht="48" customHeight="1">
      <x:c r="A18" s="64" t="str">
        <x:v>T0017</x:v>
      </x:c>
      <x:c r="B18" s="28" t="str">
        <x:v>科研闭环与自主架构</x:v>
      </x:c>
      <x:c r="C18" s="28" t="str">
        <x:v>科学闭环与自主科研范式</x:v>
      </x:c>
      <x:c r="D18" s="28" t="str">
        <x:v>执行与分析闭环</x:v>
      </x:c>
      <x:c r="E18" s="28" t="str">
        <x:v>科研范式</x:v>
      </x:c>
      <x:c r="F18" s="28" t="str">
        <x:v>发现确认</x:v>
      </x:c>
      <x:c r="G18" s="28" t="str">
        <x:v>把“发现确认”嵌入假设—设计—执行—分析—更新的科学闭环，使系统基于证据而非脚本机械推进研究。</x:v>
      </x:c>
      <x:c r="H18" s="28" t="str">
        <x:v>闭环输入、可证伪假设、更新规则与停止条件是否明确？</x:v>
      </x:c>
      <x:c r="I18" s="28" t="str">
        <x:v>闭环周期；样本效率；人工干预率；假设命中率；独立重复通过率</x:v>
      </x:c>
      <x:c r="J18" s="64" t="str">
        <x:v>工程化关键</x:v>
      </x:c>
      <x:c r="K18" s="64" t="str">
        <x:v>P1</x:v>
      </x:c>
      <x:c r="L18" s="28" t="str">
        <x:v>S01; S02; S05; S07; S11</x:v>
      </x:c>
      <x:c r="M18" s="28" t="str">
        <x:v>https://royalsocietypublishing.org/rsos/article/12/7/250646/235354/Autonomous-self-driving-laboratories-a-review-of</x:v>
      </x:c>
    </x:row>
    <x:row r="19" ht="48" customHeight="1">
      <x:c r="A19" s="64" t="str">
        <x:v>T0018</x:v>
      </x:c>
      <x:c r="B19" s="28" t="str">
        <x:v>科研闭环与自主架构</x:v>
      </x:c>
      <x:c r="C19" s="28" t="str">
        <x:v>科学闭环与自主科研范式</x:v>
      </x:c>
      <x:c r="D19" s="28" t="str">
        <x:v>执行与分析闭环</x:v>
      </x:c>
      <x:c r="E19" s="28" t="str">
        <x:v>科研范式</x:v>
      </x:c>
      <x:c r="F19" s="28" t="str">
        <x:v>独立重复</x:v>
      </x:c>
      <x:c r="G19" s="28" t="str">
        <x:v>把“独立重复”嵌入假设—设计—执行—分析—更新的科学闭环，使系统基于证据而非脚本机械推进研究。</x:v>
      </x:c>
      <x:c r="H19" s="28" t="str">
        <x:v>闭环输入、可证伪假设、更新规则与停止条件是否明确？</x:v>
      </x:c>
      <x:c r="I19" s="28" t="str">
        <x:v>闭环周期；样本效率；人工干预率；假设命中率；独立重复通过率</x:v>
      </x:c>
      <x:c r="J19" s="64" t="str">
        <x:v>工程化关键</x:v>
      </x:c>
      <x:c r="K19" s="64" t="str">
        <x:v>P1</x:v>
      </x:c>
      <x:c r="L19" s="28" t="str">
        <x:v>S01; S02; S05; S07; S11</x:v>
      </x:c>
      <x:c r="M19" s="28" t="str">
        <x:v>https://www.science.org/doi/10.1126/scirobotics.aat5559</x:v>
      </x:c>
    </x:row>
    <x:row r="20" ht="48" customHeight="1">
      <x:c r="A20" s="64" t="str">
        <x:v>T0019</x:v>
      </x:c>
      <x:c r="B20" s="28" t="str">
        <x:v>科研闭环与自主架构</x:v>
      </x:c>
      <x:c r="C20" s="28" t="str">
        <x:v>科学闭环与自主科研范式</x:v>
      </x:c>
      <x:c r="D20" s="28" t="str">
        <x:v>执行与分析闭环</x:v>
      </x:c>
      <x:c r="E20" s="28" t="str">
        <x:v>科研范式</x:v>
      </x:c>
      <x:c r="F20" s="28" t="str">
        <x:v>负结果捕获</x:v>
      </x:c>
      <x:c r="G20" s="28" t="str">
        <x:v>把“负结果捕获”嵌入假设—设计—执行—分析—更新的科学闭环，使系统基于证据而非脚本机械推进研究。</x:v>
      </x:c>
      <x:c r="H20" s="28" t="str">
        <x:v>闭环输入、可证伪假设、更新规则与停止条件是否明确？</x:v>
      </x:c>
      <x:c r="I20" s="28" t="str">
        <x:v>闭环周期；样本效率；人工干预率；假设命中率；独立重复通过率</x:v>
      </x:c>
      <x:c r="J20" s="64" t="str">
        <x:v>工程化关键</x:v>
      </x:c>
      <x:c r="K20" s="64" t="str">
        <x:v>P1</x:v>
      </x:c>
      <x:c r="L20" s="28" t="str">
        <x:v>S01; S02; S05; S07; S11</x:v>
      </x:c>
      <x:c r="M20" s="28" t="str">
        <x:v>https://www.nature.com/articles/s41586-023-06734-w</x:v>
      </x:c>
    </x:row>
    <x:row r="21" ht="48" customHeight="1">
      <x:c r="A21" s="64" t="str">
        <x:v>T0020</x:v>
      </x:c>
      <x:c r="B21" s="28" t="str">
        <x:v>科研闭环与自主架构</x:v>
      </x:c>
      <x:c r="C21" s="28" t="str">
        <x:v>科学闭环与自主科研范式</x:v>
      </x:c>
      <x:c r="D21" s="28" t="str">
        <x:v>执行与分析闭环</x:v>
      </x:c>
      <x:c r="E21" s="28" t="str">
        <x:v>科研范式</x:v>
      </x:c>
      <x:c r="F21" s="28" t="str">
        <x:v>因果机制搜索</x:v>
      </x:c>
      <x:c r="G21" s="28" t="str">
        <x:v>把“因果机制搜索”嵌入假设—设计—执行—分析—更新的科学闭环，使系统基于证据而非脚本机械推进研究。</x:v>
      </x:c>
      <x:c r="H21" s="28" t="str">
        <x:v>闭环输入、可证伪假设、更新规则与停止条件是否明确？</x:v>
      </x:c>
      <x:c r="I21" s="28" t="str">
        <x:v>闭环周期；样本效率；人工干预率；假设命中率；独立重复通过率</x:v>
      </x:c>
      <x:c r="J21" s="64" t="str">
        <x:v>工程化关键</x:v>
      </x:c>
      <x:c r="K21" s="64" t="str">
        <x:v>P1</x:v>
      </x:c>
      <x:c r="L21" s="28" t="str">
        <x:v>S01; S02; S05; S07; S11</x:v>
      </x:c>
      <x:c r="M21" s="28" t="str">
        <x:v>https://www.nature.com/articles/s41586-023-06792-0</x:v>
      </x:c>
    </x:row>
    <x:row r="22" ht="48" customHeight="1">
      <x:c r="A22" s="64" t="str">
        <x:v>T0021</x:v>
      </x:c>
      <x:c r="B22" s="28" t="str">
        <x:v>科研闭环与自主架构</x:v>
      </x:c>
      <x:c r="C22" s="28" t="str">
        <x:v>科学闭环与自主科研范式</x:v>
      </x:c>
      <x:c r="D22" s="28" t="str">
        <x:v>学习与决策</x:v>
      </x:c>
      <x:c r="E22" s="28" t="str">
        <x:v>科研范式</x:v>
      </x:c>
      <x:c r="F22" s="28" t="str">
        <x:v>理论—实验闭环</x:v>
      </x:c>
      <x:c r="G22" s="28" t="str">
        <x:v>把“理论—实验闭环”嵌入假设—设计—执行—分析—更新的科学闭环，使系统基于证据而非脚本机械推进研究。</x:v>
      </x:c>
      <x:c r="H22" s="28" t="str">
        <x:v>闭环输入、可证伪假设、更新规则与停止条件是否明确？</x:v>
      </x:c>
      <x:c r="I22" s="28" t="str">
        <x:v>闭环周期；样本效率；人工干预率；假设命中率；独立重复通过率</x:v>
      </x:c>
      <x:c r="J22" s="64" t="str">
        <x:v>工程化关键</x:v>
      </x:c>
      <x:c r="K22" s="64" t="str">
        <x:v>P1</x:v>
      </x:c>
      <x:c r="L22" s="28" t="str">
        <x:v>S01; S02; S05; S07; S11</x:v>
      </x:c>
      <x:c r="M22" s="28" t="str">
        <x:v>https://pubs.acs.org/doi/10.1021/acs.chemrev.4c00055</x:v>
      </x:c>
    </x:row>
    <x:row r="23" ht="48" customHeight="1">
      <x:c r="A23" s="64" t="str">
        <x:v>T0022</x:v>
      </x:c>
      <x:c r="B23" s="28" t="str">
        <x:v>科研闭环与自主架构</x:v>
      </x:c>
      <x:c r="C23" s="28" t="str">
        <x:v>科学闭环与自主科研范式</x:v>
      </x:c>
      <x:c r="D23" s="28" t="str">
        <x:v>学习与决策</x:v>
      </x:c>
      <x:c r="E23" s="28" t="str">
        <x:v>科研范式</x:v>
      </x:c>
      <x:c r="F23" s="28" t="str">
        <x:v>多尺度闭环</x:v>
      </x:c>
      <x:c r="G23" s="28" t="str">
        <x:v>把“多尺度闭环”嵌入假设—设计—执行—分析—更新的科学闭环，使系统基于证据而非脚本机械推进研究。</x:v>
      </x:c>
      <x:c r="H23" s="28" t="str">
        <x:v>闭环输入、可证伪假设、更新规则与停止条件是否明确？</x:v>
      </x:c>
      <x:c r="I23" s="28" t="str">
        <x:v>闭环周期；样本效率；人工干预率；假设命中率；独立重复通过率</x:v>
      </x:c>
      <x:c r="J23" s="64" t="str">
        <x:v>工程化关键</x:v>
      </x:c>
      <x:c r="K23" s="64" t="str">
        <x:v>P1</x:v>
      </x:c>
      <x:c r="L23" s="28" t="str">
        <x:v>S01; S02; S05; S07; S11</x:v>
      </x:c>
      <x:c r="M23" s="28" t="str">
        <x:v>https://royalsocietypublishing.org/rsos/article/12/7/250646/235354/Autonomous-self-driving-laboratories-a-review-of</x:v>
      </x:c>
    </x:row>
    <x:row r="24" ht="48" customHeight="1">
      <x:c r="A24" s="64" t="str">
        <x:v>T0023</x:v>
      </x:c>
      <x:c r="B24" s="28" t="str">
        <x:v>科研闭环与自主架构</x:v>
      </x:c>
      <x:c r="C24" s="28" t="str">
        <x:v>科学闭环与自主科研范式</x:v>
      </x:c>
      <x:c r="D24" s="28" t="str">
        <x:v>学习与决策</x:v>
      </x:c>
      <x:c r="E24" s="28" t="str">
        <x:v>科研范式</x:v>
      </x:c>
      <x:c r="F24" s="28" t="str">
        <x:v>跨学科闭环</x:v>
      </x:c>
      <x:c r="G24" s="28" t="str">
        <x:v>把“跨学科闭环”嵌入假设—设计—执行—分析—更新的科学闭环，使系统基于证据而非脚本机械推进研究。</x:v>
      </x:c>
      <x:c r="H24" s="28" t="str">
        <x:v>闭环输入、可证伪假设、更新规则与停止条件是否明确？</x:v>
      </x:c>
      <x:c r="I24" s="28" t="str">
        <x:v>闭环周期；样本效率；人工干预率；假设命中率；独立重复通过率</x:v>
      </x:c>
      <x:c r="J24" s="64" t="str">
        <x:v>工程化关键</x:v>
      </x:c>
      <x:c r="K24" s="64" t="str">
        <x:v>P1</x:v>
      </x:c>
      <x:c r="L24" s="28" t="str">
        <x:v>S01; S02; S05; S07; S11</x:v>
      </x:c>
      <x:c r="M24" s="28" t="str">
        <x:v>https://www.science.org/doi/10.1126/scirobotics.aat5559</x:v>
      </x:c>
    </x:row>
    <x:row r="25" ht="48" customHeight="1">
      <x:c r="A25" s="64" t="str">
        <x:v>T0024</x:v>
      </x:c>
      <x:c r="B25" s="28" t="str">
        <x:v>科研闭环与自主架构</x:v>
      </x:c>
      <x:c r="C25" s="28" t="str">
        <x:v>科学闭环与自主科研范式</x:v>
      </x:c>
      <x:c r="D25" s="28" t="str">
        <x:v>学习与决策</x:v>
      </x:c>
      <x:c r="E25" s="28" t="str">
        <x:v>科研范式</x:v>
      </x:c>
      <x:c r="F25" s="28" t="str">
        <x:v>样本效率</x:v>
      </x:c>
      <x:c r="G25" s="28" t="str">
        <x:v>把“样本效率”嵌入假设—设计—执行—分析—更新的科学闭环，使系统基于证据而非脚本机械推进研究。</x:v>
      </x:c>
      <x:c r="H25" s="28" t="str">
        <x:v>闭环输入、可证伪假设、更新规则与停止条件是否明确？</x:v>
      </x:c>
      <x:c r="I25" s="28" t="str">
        <x:v>闭环周期；样本效率；人工干预率；假设命中率；独立重复通过率</x:v>
      </x:c>
      <x:c r="J25" s="64" t="str">
        <x:v>工程化关键</x:v>
      </x:c>
      <x:c r="K25" s="64" t="str">
        <x:v>P1</x:v>
      </x:c>
      <x:c r="L25" s="28" t="str">
        <x:v>S01; S02; S05; S07; S11</x:v>
      </x:c>
      <x:c r="M25" s="28" t="str">
        <x:v>https://www.nature.com/articles/s41586-023-06734-w</x:v>
      </x:c>
    </x:row>
    <x:row r="26" ht="48" customHeight="1">
      <x:c r="A26" s="64" t="str">
        <x:v>T0025</x:v>
      </x:c>
      <x:c r="B26" s="28" t="str">
        <x:v>科研闭环与自主架构</x:v>
      </x:c>
      <x:c r="C26" s="28" t="str">
        <x:v>科学闭环与自主科研范式</x:v>
      </x:c>
      <x:c r="D26" s="28" t="str">
        <x:v>学习与决策</x:v>
      </x:c>
      <x:c r="E26" s="28" t="str">
        <x:v>科研范式</x:v>
      </x:c>
      <x:c r="F26" s="28" t="str">
        <x:v>信息价值</x:v>
      </x:c>
      <x:c r="G26" s="28" t="str">
        <x:v>把“信息价值”嵌入假设—设计—执行—分析—更新的科学闭环，使系统基于证据而非脚本机械推进研究。</x:v>
      </x:c>
      <x:c r="H26" s="28" t="str">
        <x:v>闭环输入、可证伪假设、更新规则与停止条件是否明确？</x:v>
      </x:c>
      <x:c r="I26" s="28" t="str">
        <x:v>闭环周期；样本效率；人工干预率；假设命中率；独立重复通过率</x:v>
      </x:c>
      <x:c r="J26" s="64" t="str">
        <x:v>工程化关键</x:v>
      </x:c>
      <x:c r="K26" s="64" t="str">
        <x:v>P1</x:v>
      </x:c>
      <x:c r="L26" s="28" t="str">
        <x:v>S01; S02; S05; S07; S11</x:v>
      </x:c>
      <x:c r="M26" s="28" t="str">
        <x:v>https://www.nature.com/articles/s41586-023-06792-0</x:v>
      </x:c>
    </x:row>
    <x:row r="27" ht="48" customHeight="1">
      <x:c r="A27" s="64" t="str">
        <x:v>T0026</x:v>
      </x:c>
      <x:c r="B27" s="28" t="str">
        <x:v>科研闭环与自主架构</x:v>
      </x:c>
      <x:c r="C27" s="28" t="str">
        <x:v>科学闭环与自主科研范式</x:v>
      </x:c>
      <x:c r="D27" s="28" t="str">
        <x:v>学习与决策</x:v>
      </x:c>
      <x:c r="E27" s="28" t="str">
        <x:v>科研范式</x:v>
      </x:c>
      <x:c r="F27" s="28" t="str">
        <x:v>探索—利用平衡</x:v>
      </x:c>
      <x:c r="G27" s="28" t="str">
        <x:v>把“探索—利用平衡”嵌入假设—设计—执行—分析—更新的科学闭环，使系统基于证据而非脚本机械推进研究。</x:v>
      </x:c>
      <x:c r="H27" s="28" t="str">
        <x:v>闭环输入、可证伪假设、更新规则与停止条件是否明确？</x:v>
      </x:c>
      <x:c r="I27" s="28" t="str">
        <x:v>闭环周期；样本效率；人工干预率；假设命中率；独立重复通过率</x:v>
      </x:c>
      <x:c r="J27" s="64" t="str">
        <x:v>工程化关键</x:v>
      </x:c>
      <x:c r="K27" s="64" t="str">
        <x:v>P1</x:v>
      </x:c>
      <x:c r="L27" s="28" t="str">
        <x:v>S01; S02; S05; S07; S11</x:v>
      </x:c>
      <x:c r="M27" s="28" t="str">
        <x:v>https://pubs.acs.org/doi/10.1021/acs.chemrev.4c00055</x:v>
      </x:c>
    </x:row>
    <x:row r="28" ht="48" customHeight="1">
      <x:c r="A28" s="64" t="str">
        <x:v>T0027</x:v>
      </x:c>
      <x:c r="B28" s="28" t="str">
        <x:v>科研闭环与自主架构</x:v>
      </x:c>
      <x:c r="C28" s="28" t="str">
        <x:v>科学闭环与自主科研范式</x:v>
      </x:c>
      <x:c r="D28" s="28" t="str">
        <x:v>学习与决策</x:v>
      </x:c>
      <x:c r="E28" s="28" t="str">
        <x:v>科研范式</x:v>
      </x:c>
      <x:c r="F28" s="28" t="str">
        <x:v>新颖性—效用平衡</x:v>
      </x:c>
      <x:c r="G28" s="28" t="str">
        <x:v>把“新颖性—效用平衡”嵌入假设—设计—执行—分析—更新的科学闭环，使系统基于证据而非脚本机械推进研究。</x:v>
      </x:c>
      <x:c r="H28" s="28" t="str">
        <x:v>闭环输入、可证伪假设、更新规则与停止条件是否明确？</x:v>
      </x:c>
      <x:c r="I28" s="28" t="str">
        <x:v>闭环周期；样本效率；人工干预率；假设命中率；独立重复通过率</x:v>
      </x:c>
      <x:c r="J28" s="64" t="str">
        <x:v>工程化关键</x:v>
      </x:c>
      <x:c r="K28" s="64" t="str">
        <x:v>P1</x:v>
      </x:c>
      <x:c r="L28" s="28" t="str">
        <x:v>S01; S02; S05; S07; S11</x:v>
      </x:c>
      <x:c r="M28" s="28" t="str">
        <x:v>https://royalsocietypublishing.org/rsos/article/12/7/250646/235354/Autonomous-self-driving-laboratories-a-review-of</x:v>
      </x:c>
    </x:row>
    <x:row r="29" ht="48" customHeight="1">
      <x:c r="A29" s="64" t="str">
        <x:v>T0028</x:v>
      </x:c>
      <x:c r="B29" s="28" t="str">
        <x:v>科研闭环与自主架构</x:v>
      </x:c>
      <x:c r="C29" s="28" t="str">
        <x:v>科学闭环与自主科研范式</x:v>
      </x:c>
      <x:c r="D29" s="28" t="str">
        <x:v>学习与决策</x:v>
      </x:c>
      <x:c r="E29" s="28" t="str">
        <x:v>科研范式</x:v>
      </x:c>
      <x:c r="F29" s="28" t="str">
        <x:v>不确定性驱动实验</x:v>
      </x:c>
      <x:c r="G29" s="28" t="str">
        <x:v>把“不确定性驱动实验”嵌入假设—设计—执行—分析—更新的科学闭环，使系统基于证据而非脚本机械推进研究。</x:v>
      </x:c>
      <x:c r="H29" s="28" t="str">
        <x:v>闭环输入、可证伪假设、更新规则与停止条件是否明确？</x:v>
      </x:c>
      <x:c r="I29" s="28" t="str">
        <x:v>闭环周期；样本效率；人工干预率；假设命中率；独立重复通过率</x:v>
      </x:c>
      <x:c r="J29" s="64" t="str">
        <x:v>工程化关键</x:v>
      </x:c>
      <x:c r="K29" s="64" t="str">
        <x:v>P1</x:v>
      </x:c>
      <x:c r="L29" s="28" t="str">
        <x:v>S01; S02; S05; S07; S11</x:v>
      </x:c>
      <x:c r="M29" s="28" t="str">
        <x:v>https://www.science.org/doi/10.1126/scirobotics.aat5559</x:v>
      </x:c>
    </x:row>
    <x:row r="30" ht="48" customHeight="1">
      <x:c r="A30" s="64" t="str">
        <x:v>T0029</x:v>
      </x:c>
      <x:c r="B30" s="28" t="str">
        <x:v>科研闭环与自主架构</x:v>
      </x:c>
      <x:c r="C30" s="28" t="str">
        <x:v>科学闭环与自主科研范式</x:v>
      </x:c>
      <x:c r="D30" s="28" t="str">
        <x:v>学习与决策</x:v>
      </x:c>
      <x:c r="E30" s="28" t="str">
        <x:v>科研范式</x:v>
      </x:c>
      <x:c r="F30" s="28" t="str">
        <x:v>风险感知实验</x:v>
      </x:c>
      <x:c r="G30" s="28" t="str">
        <x:v>把“风险感知实验”嵌入假设—设计—执行—分析—更新的科学闭环，使系统基于证据而非脚本机械推进研究。</x:v>
      </x:c>
      <x:c r="H30" s="28" t="str">
        <x:v>闭环输入、可证伪假设、更新规则与停止条件是否明确？</x:v>
      </x:c>
      <x:c r="I30" s="28" t="str">
        <x:v>闭环周期；样本效率；人工干预率；假设命中率；独立重复通过率</x:v>
      </x:c>
      <x:c r="J30" s="64" t="str">
        <x:v>进阶能力</x:v>
      </x:c>
      <x:c r="K30" s="64" t="str">
        <x:v>P2</x:v>
      </x:c>
      <x:c r="L30" s="28" t="str">
        <x:v>S01; S02; S05; S07; S11</x:v>
      </x:c>
      <x:c r="M30" s="28" t="str">
        <x:v>https://www.nature.com/articles/s41586-023-06734-w</x:v>
      </x:c>
    </x:row>
    <x:row r="31" ht="48" customHeight="1">
      <x:c r="A31" s="64" t="str">
        <x:v>T0030</x:v>
      </x:c>
      <x:c r="B31" s="28" t="str">
        <x:v>科研闭环与自主架构</x:v>
      </x:c>
      <x:c r="C31" s="28" t="str">
        <x:v>科学闭环与自主科研范式</x:v>
      </x:c>
      <x:c r="D31" s="28" t="str">
        <x:v>学习与决策</x:v>
      </x:c>
      <x:c r="E31" s="28" t="str">
        <x:v>科研范式</x:v>
      </x:c>
      <x:c r="F31" s="28" t="str">
        <x:v>Human-in-the-loop</x:v>
      </x:c>
      <x:c r="G31" s="28" t="str">
        <x:v>把“Human-in-the-loop”嵌入假设—设计—执行—分析—更新的科学闭环，使系统基于证据而非脚本机械推进研究。</x:v>
      </x:c>
      <x:c r="H31" s="28" t="str">
        <x:v>闭环输入、可证伪假设、更新规则与停止条件是否明确？</x:v>
      </x:c>
      <x:c r="I31" s="28" t="str">
        <x:v>闭环周期；样本效率；人工干预率；假设命中率；独立重复通过率</x:v>
      </x:c>
      <x:c r="J31" s="64" t="str">
        <x:v>进阶能力</x:v>
      </x:c>
      <x:c r="K31" s="64" t="str">
        <x:v>P2</x:v>
      </x:c>
      <x:c r="L31" s="28" t="str">
        <x:v>S01; S02; S05; S07; S11</x:v>
      </x:c>
      <x:c r="M31" s="28" t="str">
        <x:v>https://www.nature.com/articles/s41586-023-06792-0</x:v>
      </x:c>
    </x:row>
    <x:row r="32" ht="48" customHeight="1">
      <x:c r="A32" s="64" t="str">
        <x:v>T0031</x:v>
      </x:c>
      <x:c r="B32" s="28" t="str">
        <x:v>科研闭环与自主架构</x:v>
      </x:c>
      <x:c r="C32" s="28" t="str">
        <x:v>科学闭环与自主科研范式</x:v>
      </x:c>
      <x:c r="D32" s="28" t="str">
        <x:v>人机监督与证据</x:v>
      </x:c>
      <x:c r="E32" s="28" t="str">
        <x:v>科研范式</x:v>
      </x:c>
      <x:c r="F32" s="28" t="str">
        <x:v>Human-on-the-loop</x:v>
      </x:c>
      <x:c r="G32" s="28" t="str">
        <x:v>把“Human-on-the-loop”嵌入假设—设计—执行—分析—更新的科学闭环，使系统基于证据而非脚本机械推进研究。</x:v>
      </x:c>
      <x:c r="H32" s="28" t="str">
        <x:v>闭环输入、可证伪假设、更新规则与停止条件是否明确？</x:v>
      </x:c>
      <x:c r="I32" s="28" t="str">
        <x:v>闭环周期；样本效率；人工干预率；假设命中率；独立重复通过率</x:v>
      </x:c>
      <x:c r="J32" s="64" t="str">
        <x:v>进阶能力</x:v>
      </x:c>
      <x:c r="K32" s="64" t="str">
        <x:v>P2</x:v>
      </x:c>
      <x:c r="L32" s="28" t="str">
        <x:v>S01; S02; S05; S07; S11</x:v>
      </x:c>
      <x:c r="M32" s="28" t="str">
        <x:v>https://pubs.acs.org/doi/10.1021/acs.chemrev.4c00055</x:v>
      </x:c>
    </x:row>
    <x:row r="33" ht="48" customHeight="1">
      <x:c r="A33" s="64" t="str">
        <x:v>T0032</x:v>
      </x:c>
      <x:c r="B33" s="28" t="str">
        <x:v>科研闭环与自主架构</x:v>
      </x:c>
      <x:c r="C33" s="28" t="str">
        <x:v>科学闭环与自主科研范式</x:v>
      </x:c>
      <x:c r="D33" s="28" t="str">
        <x:v>人机监督与证据</x:v>
      </x:c>
      <x:c r="E33" s="28" t="str">
        <x:v>科研范式</x:v>
      </x:c>
      <x:c r="F33" s="28" t="str">
        <x:v>异常升级</x:v>
      </x:c>
      <x:c r="G33" s="28" t="str">
        <x:v>把“异常升级”嵌入假设—设计—执行—分析—更新的科学闭环，使系统基于证据而非脚本机械推进研究。</x:v>
      </x:c>
      <x:c r="H33" s="28" t="str">
        <x:v>闭环输入、可证伪假设、更新规则与停止条件是否明确？</x:v>
      </x:c>
      <x:c r="I33" s="28" t="str">
        <x:v>闭环周期；样本效率；人工干预率；假设命中率；独立重复通过率</x:v>
      </x:c>
      <x:c r="J33" s="64" t="str">
        <x:v>进阶能力</x:v>
      </x:c>
      <x:c r="K33" s="64" t="str">
        <x:v>P2</x:v>
      </x:c>
      <x:c r="L33" s="28" t="str">
        <x:v>S01; S02; S05; S07; S11</x:v>
      </x:c>
      <x:c r="M33" s="28" t="str">
        <x:v>https://royalsocietypublishing.org/rsos/article/12/7/250646/235354/Autonomous-self-driving-laboratories-a-review-of</x:v>
      </x:c>
    </x:row>
    <x:row r="34" ht="48" customHeight="1">
      <x:c r="A34" s="64" t="str">
        <x:v>T0033</x:v>
      </x:c>
      <x:c r="B34" s="28" t="str">
        <x:v>科研闭环与自主架构</x:v>
      </x:c>
      <x:c r="C34" s="28" t="str">
        <x:v>科学闭环与自主科研范式</x:v>
      </x:c>
      <x:c r="D34" s="28" t="str">
        <x:v>人机监督与证据</x:v>
      </x:c>
      <x:c r="E34" s="28" t="str">
        <x:v>科研范式</x:v>
      </x:c>
      <x:c r="F34" s="28" t="str">
        <x:v>自主运行包络</x:v>
      </x:c>
      <x:c r="G34" s="28" t="str">
        <x:v>把“自主运行包络”嵌入假设—设计—执行—分析—更新的科学闭环，使系统基于证据而非脚本机械推进研究。</x:v>
      </x:c>
      <x:c r="H34" s="28" t="str">
        <x:v>闭环输入、可证伪假设、更新规则与停止条件是否明确？</x:v>
      </x:c>
      <x:c r="I34" s="28" t="str">
        <x:v>闭环周期；样本效率；人工干预率；假设命中率；独立重复通过率</x:v>
      </x:c>
      <x:c r="J34" s="64" t="str">
        <x:v>进阶能力</x:v>
      </x:c>
      <x:c r="K34" s="64" t="str">
        <x:v>P2</x:v>
      </x:c>
      <x:c r="L34" s="28" t="str">
        <x:v>S01; S02; S05; S07; S11</x:v>
      </x:c>
      <x:c r="M34" s="28" t="str">
        <x:v>https://www.science.org/doi/10.1126/scirobotics.aat5559</x:v>
      </x:c>
    </x:row>
    <x:row r="35" ht="48" customHeight="1">
      <x:c r="A35" s="64" t="str">
        <x:v>T0034</x:v>
      </x:c>
      <x:c r="B35" s="28" t="str">
        <x:v>科研闭环与自主架构</x:v>
      </x:c>
      <x:c r="C35" s="28" t="str">
        <x:v>科学闭环与自主科研范式</x:v>
      </x:c>
      <x:c r="D35" s="28" t="str">
        <x:v>人机监督与证据</x:v>
      </x:c>
      <x:c r="E35" s="28" t="str">
        <x:v>科研范式</x:v>
      </x:c>
      <x:c r="F35" s="28" t="str">
        <x:v>持续学习</x:v>
      </x:c>
      <x:c r="G35" s="28" t="str">
        <x:v>把“持续学习”嵌入假设—设计—执行—分析—更新的科学闭环，使系统基于证据而非脚本机械推进研究。</x:v>
      </x:c>
      <x:c r="H35" s="28" t="str">
        <x:v>闭环输入、可证伪假设、更新规则与停止条件是否明确？</x:v>
      </x:c>
      <x:c r="I35" s="28" t="str">
        <x:v>闭环周期；样本效率；人工干预率；假设命中率；独立重复通过率</x:v>
      </x:c>
      <x:c r="J35" s="64" t="str">
        <x:v>进阶能力</x:v>
      </x:c>
      <x:c r="K35" s="64" t="str">
        <x:v>P2</x:v>
      </x:c>
      <x:c r="L35" s="28" t="str">
        <x:v>S01; S02; S05; S07; S11</x:v>
      </x:c>
      <x:c r="M35" s="28" t="str">
        <x:v>https://www.nature.com/articles/s41586-023-06734-w</x:v>
      </x:c>
    </x:row>
    <x:row r="36" ht="48" customHeight="1">
      <x:c r="A36" s="64" t="str">
        <x:v>T0035</x:v>
      </x:c>
      <x:c r="B36" s="28" t="str">
        <x:v>科研闭环与自主架构</x:v>
      </x:c>
      <x:c r="C36" s="28" t="str">
        <x:v>科学闭环与自主科研范式</x:v>
      </x:c>
      <x:c r="D36" s="28" t="str">
        <x:v>人机监督与证据</x:v>
      </x:c>
      <x:c r="E36" s="28" t="str">
        <x:v>科研范式</x:v>
      </x:c>
      <x:c r="F36" s="28" t="str">
        <x:v>元学习</x:v>
      </x:c>
      <x:c r="G36" s="28" t="str">
        <x:v>把“元学习”嵌入假设—设计—执行—分析—更新的科学闭环，使系统基于证据而非脚本机械推进研究。</x:v>
      </x:c>
      <x:c r="H36" s="28" t="str">
        <x:v>闭环输入、可证伪假设、更新规则与停止条件是否明确？</x:v>
      </x:c>
      <x:c r="I36" s="28" t="str">
        <x:v>闭环周期；样本效率；人工干预率；假设命中率；独立重复通过率</x:v>
      </x:c>
      <x:c r="J36" s="64" t="str">
        <x:v>进阶能力</x:v>
      </x:c>
      <x:c r="K36" s="64" t="str">
        <x:v>P2</x:v>
      </x:c>
      <x:c r="L36" s="28" t="str">
        <x:v>S01; S02; S05; S07; S11</x:v>
      </x:c>
      <x:c r="M36" s="28" t="str">
        <x:v>https://www.nature.com/articles/s41586-023-06792-0</x:v>
      </x:c>
    </x:row>
    <x:row r="37" ht="48" customHeight="1">
      <x:c r="A37" s="64" t="str">
        <x:v>T0036</x:v>
      </x:c>
      <x:c r="B37" s="28" t="str">
        <x:v>科研闭环与自主架构</x:v>
      </x:c>
      <x:c r="C37" s="28" t="str">
        <x:v>科学闭环与自主科研范式</x:v>
      </x:c>
      <x:c r="D37" s="28" t="str">
        <x:v>人机监督与证据</x:v>
      </x:c>
      <x:c r="E37" s="28" t="str">
        <x:v>科研范式</x:v>
      </x:c>
      <x:c r="F37" s="28" t="str">
        <x:v>自评估</x:v>
      </x:c>
      <x:c r="G37" s="28" t="str">
        <x:v>把“自评估”嵌入假设—设计—执行—分析—更新的科学闭环，使系统基于证据而非脚本机械推进研究。</x:v>
      </x:c>
      <x:c r="H37" s="28" t="str">
        <x:v>闭环输入、可证伪假设、更新规则与停止条件是否明确？</x:v>
      </x:c>
      <x:c r="I37" s="28" t="str">
        <x:v>闭环周期；样本效率；人工干预率；假设命中率；独立重复通过率</x:v>
      </x:c>
      <x:c r="J37" s="64" t="str">
        <x:v>进阶能力</x:v>
      </x:c>
      <x:c r="K37" s="64" t="str">
        <x:v>P2</x:v>
      </x:c>
      <x:c r="L37" s="28" t="str">
        <x:v>S01; S02; S05; S07; S11</x:v>
      </x:c>
      <x:c r="M37" s="28" t="str">
        <x:v>https://pubs.acs.org/doi/10.1021/acs.chemrev.4c00055</x:v>
      </x:c>
    </x:row>
    <x:row r="38" ht="48" customHeight="1">
      <x:c r="A38" s="64" t="str">
        <x:v>T0037</x:v>
      </x:c>
      <x:c r="B38" s="28" t="str">
        <x:v>科研闭环与自主架构</x:v>
      </x:c>
      <x:c r="C38" s="28" t="str">
        <x:v>科学闭环与自主科研范式</x:v>
      </x:c>
      <x:c r="D38" s="28" t="str">
        <x:v>人机监督与证据</x:v>
      </x:c>
      <x:c r="E38" s="28" t="str">
        <x:v>科研范式</x:v>
      </x:c>
      <x:c r="F38" s="28" t="str">
        <x:v>自纠错</x:v>
      </x:c>
      <x:c r="G38" s="28" t="str">
        <x:v>把“自纠错”嵌入假设—设计—执行—分析—更新的科学闭环，使系统基于证据而非脚本机械推进研究。</x:v>
      </x:c>
      <x:c r="H38" s="28" t="str">
        <x:v>闭环输入、可证伪假设、更新规则与停止条件是否明确？</x:v>
      </x:c>
      <x:c r="I38" s="28" t="str">
        <x:v>闭环周期；样本效率；人工干预率；假设命中率；独立重复通过率</x:v>
      </x:c>
      <x:c r="J38" s="64" t="str">
        <x:v>前沿能力</x:v>
      </x:c>
      <x:c r="K38" s="64" t="str">
        <x:v>P2</x:v>
      </x:c>
      <x:c r="L38" s="28" t="str">
        <x:v>S01; S02; S05; S07; S11</x:v>
      </x:c>
      <x:c r="M38" s="28" t="str">
        <x:v>https://royalsocietypublishing.org/rsos/article/12/7/250646/235354/Autonomous-self-driving-laboratories-a-review-of</x:v>
      </x:c>
    </x:row>
    <x:row r="39" ht="48" customHeight="1">
      <x:c r="A39" s="64" t="str">
        <x:v>T0038</x:v>
      </x:c>
      <x:c r="B39" s="28" t="str">
        <x:v>科研闭环与自主架构</x:v>
      </x:c>
      <x:c r="C39" s="28" t="str">
        <x:v>科学闭环与自主科研范式</x:v>
      </x:c>
      <x:c r="D39" s="28" t="str">
        <x:v>人机监督与证据</x:v>
      </x:c>
      <x:c r="E39" s="28" t="str">
        <x:v>科研范式</x:v>
      </x:c>
      <x:c r="F39" s="28" t="str">
        <x:v>科学记忆</x:v>
      </x:c>
      <x:c r="G39" s="28" t="str">
        <x:v>把“科学记忆”嵌入假设—设计—执行—分析—更新的科学闭环，使系统基于证据而非脚本机械推进研究。</x:v>
      </x:c>
      <x:c r="H39" s="28" t="str">
        <x:v>闭环输入、可证伪假设、更新规则与停止条件是否明确？</x:v>
      </x:c>
      <x:c r="I39" s="28" t="str">
        <x:v>闭环周期；样本效率；人工干预率；假设命中率；独立重复通过率</x:v>
      </x:c>
      <x:c r="J39" s="64" t="str">
        <x:v>前沿能力</x:v>
      </x:c>
      <x:c r="K39" s="64" t="str">
        <x:v>P2</x:v>
      </x:c>
      <x:c r="L39" s="28" t="str">
        <x:v>S01; S02; S05; S07; S11</x:v>
      </x:c>
      <x:c r="M39" s="28" t="str">
        <x:v>https://www.science.org/doi/10.1126/scirobotics.aat5559</x:v>
      </x:c>
    </x:row>
    <x:row r="40" ht="48" customHeight="1">
      <x:c r="A40" s="64" t="str">
        <x:v>T0039</x:v>
      </x:c>
      <x:c r="B40" s="28" t="str">
        <x:v>科研闭环与自主架构</x:v>
      </x:c>
      <x:c r="C40" s="28" t="str">
        <x:v>科学闭环与自主科研范式</x:v>
      </x:c>
      <x:c r="D40" s="28" t="str">
        <x:v>人机监督与证据</x:v>
      </x:c>
      <x:c r="E40" s="28" t="str">
        <x:v>科研范式</x:v>
      </x:c>
      <x:c r="F40" s="28" t="str">
        <x:v>机器可检验证据</x:v>
      </x:c>
      <x:c r="G40" s="28" t="str">
        <x:v>把“机器可检验证据”嵌入假设—设计—执行—分析—更新的科学闭环，使系统基于证据而非脚本机械推进研究。</x:v>
      </x:c>
      <x:c r="H40" s="28" t="str">
        <x:v>闭环输入、可证伪假设、更新规则与停止条件是否明确？</x:v>
      </x:c>
      <x:c r="I40" s="28" t="str">
        <x:v>闭环周期；样本效率；人工干预率；假设命中率；独立重复通过率</x:v>
      </x:c>
      <x:c r="J40" s="64" t="str">
        <x:v>前沿能力</x:v>
      </x:c>
      <x:c r="K40" s="64" t="str">
        <x:v>P2</x:v>
      </x:c>
      <x:c r="L40" s="28" t="str">
        <x:v>S01; S02; S05; S07; S11</x:v>
      </x:c>
      <x:c r="M40" s="28" t="str">
        <x:v>https://www.nature.com/articles/s41586-023-06734-w</x:v>
      </x:c>
    </x:row>
    <x:row r="41" ht="48" customHeight="1">
      <x:c r="A41" s="64" t="str">
        <x:v>T0040</x:v>
      </x:c>
      <x:c r="B41" s="28" t="str">
        <x:v>科研闭环与自主架构</x:v>
      </x:c>
      <x:c r="C41" s="28" t="str">
        <x:v>科学闭环与自主科研范式</x:v>
      </x:c>
      <x:c r="D41" s="28" t="str">
        <x:v>人机监督与证据</x:v>
      </x:c>
      <x:c r="E41" s="28" t="str">
        <x:v>科研范式</x:v>
      </x:c>
      <x:c r="F41" s="28" t="str">
        <x:v>可发表溯源链</x:v>
      </x:c>
      <x:c r="G41" s="28" t="str">
        <x:v>把“可发表溯源链”嵌入假设—设计—执行—分析—更新的科学闭环，使系统基于证据而非脚本机械推进研究。</x:v>
      </x:c>
      <x:c r="H41" s="28" t="str">
        <x:v>闭环输入、可证伪假设、更新规则与停止条件是否明确？</x:v>
      </x:c>
      <x:c r="I41" s="28" t="str">
        <x:v>闭环周期；样本效率；人工干预率；假设命中率；独立重复通过率</x:v>
      </x:c>
      <x:c r="J41" s="64" t="str">
        <x:v>前沿能力</x:v>
      </x:c>
      <x:c r="K41" s="64" t="str">
        <x:v>P2</x:v>
      </x:c>
      <x:c r="L41" s="28" t="str">
        <x:v>S01; S02; S05; S07; S11</x:v>
      </x:c>
      <x:c r="M41" s="28" t="str">
        <x:v>https://www.nature.com/articles/s41586-023-06792-0</x:v>
      </x:c>
    </x:row>
    <x:row r="42" ht="48" customHeight="1">
      <x:c r="A42" s="64" t="str">
        <x:v>T0041</x:v>
      </x:c>
      <x:c r="B42" s="28" t="str">
        <x:v>科研闭环与自主架构</x:v>
      </x:c>
      <x:c r="C42" s="28" t="str">
        <x:v>自主等级与系统架构</x:v>
      </x:c>
      <x:c r="D42" s="28" t="str">
        <x:v>自主分级与控制范式</x:v>
      </x:c>
      <x:c r="E42" s="28" t="str">
        <x:v>系统架构</x:v>
      </x:c>
      <x:c r="F42" s="28" t="str">
        <x:v>任务自动化等级</x:v>
      </x:c>
      <x:c r="G42" s="28" t="str">
        <x:v>围绕“任务自动化等级”定义自主系统的职责边界、组件关系、控制时序与故障行为，支撑长期无人值守运行。</x:v>
      </x:c>
      <x:c r="H42" s="28" t="str">
        <x:v>正常、降级、失效与人工接管状态是否都有确定行为？</x:v>
      </x:c>
      <x:c r="I42" s="28" t="str">
        <x:v>自主运行时长；MTBF/MTTR；人工接管次数；状态覆盖率；恢复成功率</x:v>
      </x:c>
      <x:c r="J42" s="64" t="str">
        <x:v>基础能力</x:v>
      </x:c>
      <x:c r="K42" s="64" t="str">
        <x:v>P0</x:v>
      </x:c>
      <x:c r="L42" s="28" t="str">
        <x:v>S01; S02; S04; S05; S58</x:v>
      </x:c>
      <x:c r="M42" s="28" t="str">
        <x:v>https://pubs.acs.org/doi/10.1021/acs.chemrev.4c00055</x:v>
      </x:c>
    </x:row>
    <x:row r="43" ht="48" customHeight="1">
      <x:c r="A43" s="64" t="str">
        <x:v>T0042</x:v>
      </x:c>
      <x:c r="B43" s="28" t="str">
        <x:v>科研闭环与自主架构</x:v>
      </x:c>
      <x:c r="C43" s="28" t="str">
        <x:v>自主等级与系统架构</x:v>
      </x:c>
      <x:c r="D43" s="28" t="str">
        <x:v>自主分级与控制范式</x:v>
      </x:c>
      <x:c r="E43" s="28" t="str">
        <x:v>系统架构</x:v>
      </x:c>
      <x:c r="F43" s="28" t="str">
        <x:v>软件自主度</x:v>
      </x:c>
      <x:c r="G43" s="28" t="str">
        <x:v>围绕“软件自主度”定义自主系统的职责边界、组件关系、控制时序与故障行为，支撑长期无人值守运行。</x:v>
      </x:c>
      <x:c r="H43" s="28" t="str">
        <x:v>正常、降级、失效与人工接管状态是否都有确定行为？</x:v>
      </x:c>
      <x:c r="I43" s="28" t="str">
        <x:v>自主运行时长；MTBF/MTTR；人工接管次数；状态覆盖率；恢复成功率</x:v>
      </x:c>
      <x:c r="J43" s="64" t="str">
        <x:v>基础能力</x:v>
      </x:c>
      <x:c r="K43" s="64" t="str">
        <x:v>P0</x:v>
      </x:c>
      <x:c r="L43" s="28" t="str">
        <x:v>S01; S02; S04; S05; S58</x:v>
      </x:c>
      <x:c r="M43" s="28" t="str">
        <x:v>https://royalsocietypublishing.org/rsos/article/12/7/250646/235354/Autonomous-self-driving-laboratories-a-review-of</x:v>
      </x:c>
    </x:row>
    <x:row r="44" ht="48" customHeight="1">
      <x:c r="A44" s="64" t="str">
        <x:v>T0043</x:v>
      </x:c>
      <x:c r="B44" s="28" t="str">
        <x:v>科研闭环与自主架构</x:v>
      </x:c>
      <x:c r="C44" s="28" t="str">
        <x:v>自主等级与系统架构</x:v>
      </x:c>
      <x:c r="D44" s="28" t="str">
        <x:v>自主分级与控制范式</x:v>
      </x:c>
      <x:c r="E44" s="28" t="str">
        <x:v>系统架构</x:v>
      </x:c>
      <x:c r="F44" s="28" t="str">
        <x:v>硬件自主度</x:v>
      </x:c>
      <x:c r="G44" s="28" t="str">
        <x:v>围绕“硬件自主度”定义自主系统的职责边界、组件关系、控制时序与故障行为，支撑长期无人值守运行。</x:v>
      </x:c>
      <x:c r="H44" s="28" t="str">
        <x:v>正常、降级、失效与人工接管状态是否都有确定行为？</x:v>
      </x:c>
      <x:c r="I44" s="28" t="str">
        <x:v>自主运行时长；MTBF/MTTR；人工接管次数；状态覆盖率；恢复成功率</x:v>
      </x:c>
      <x:c r="J44" s="64" t="str">
        <x:v>基础能力</x:v>
      </x:c>
      <x:c r="K44" s="64" t="str">
        <x:v>P0</x:v>
      </x:c>
      <x:c r="L44" s="28" t="str">
        <x:v>S01; S02; S04; S05; S58</x:v>
      </x:c>
      <x:c r="M44" s="28" t="str">
        <x:v>https://www.nature.com/articles/s42004-026-01932-9</x:v>
      </x:c>
    </x:row>
    <x:row r="45" ht="48" customHeight="1">
      <x:c r="A45" s="64" t="str">
        <x:v>T0044</x:v>
      </x:c>
      <x:c r="B45" s="28" t="str">
        <x:v>科研闭环与自主架构</x:v>
      </x:c>
      <x:c r="C45" s="28" t="str">
        <x:v>自主等级与系统架构</x:v>
      </x:c>
      <x:c r="D45" s="28" t="str">
        <x:v>自主分级与控制范式</x:v>
      </x:c>
      <x:c r="E45" s="28" t="str">
        <x:v>系统架构</x:v>
      </x:c>
      <x:c r="F45" s="28" t="str">
        <x:v>决策自主度</x:v>
      </x:c>
      <x:c r="G45" s="28" t="str">
        <x:v>围绕“决策自主度”定义自主系统的职责边界、组件关系、控制时序与故障行为，支撑长期无人值守运行。</x:v>
      </x:c>
      <x:c r="H45" s="28" t="str">
        <x:v>正常、降级、失效与人工接管状态是否都有确定行为？</x:v>
      </x:c>
      <x:c r="I45" s="28" t="str">
        <x:v>自主运行时长；MTBF/MTTR；人工接管次数；状态覆盖率；恢复成功率</x:v>
      </x:c>
      <x:c r="J45" s="64" t="str">
        <x:v>基础能力</x:v>
      </x:c>
      <x:c r="K45" s="64" t="str">
        <x:v>P0</x:v>
      </x:c>
      <x:c r="L45" s="28" t="str">
        <x:v>S01; S02; S04; S05; S58</x:v>
      </x:c>
      <x:c r="M45" s="28" t="str">
        <x:v>https://www.science.org/doi/10.1126/scirobotics.aat5559</x:v>
      </x:c>
    </x:row>
    <x:row r="46" ht="48" customHeight="1">
      <x:c r="A46" s="64" t="str">
        <x:v>T0045</x:v>
      </x:c>
      <x:c r="B46" s="28" t="str">
        <x:v>科研闭环与自主架构</x:v>
      </x:c>
      <x:c r="C46" s="28" t="str">
        <x:v>自主等级与系统架构</x:v>
      </x:c>
      <x:c r="D46" s="28" t="str">
        <x:v>自主分级与控制范式</x:v>
      </x:c>
      <x:c r="E46" s="28" t="str">
        <x:v>系统架构</x:v>
      </x:c>
      <x:c r="F46" s="28" t="str">
        <x:v>自适应自主权</x:v>
      </x:c>
      <x:c r="G46" s="28" t="str">
        <x:v>围绕“自适应自主权”定义自主系统的职责边界、组件关系、控制时序与故障行为，支撑长期无人值守运行。</x:v>
      </x:c>
      <x:c r="H46" s="28" t="str">
        <x:v>正常、降级、失效与人工接管状态是否都有确定行为？</x:v>
      </x:c>
      <x:c r="I46" s="28" t="str">
        <x:v>自主运行时长；MTBF/MTTR；人工接管次数；状态覆盖率；恢复成功率</x:v>
      </x:c>
      <x:c r="J46" s="64" t="str">
        <x:v>基础能力</x:v>
      </x:c>
      <x:c r="K46" s="64" t="str">
        <x:v>P0</x:v>
      </x:c>
      <x:c r="L46" s="28" t="str">
        <x:v>S01; S02; S04; S05; S58</x:v>
      </x:c>
      <x:c r="M46" s="28" t="str">
        <x:v>https://www.science.org/doi/10.1126/scirobotics.adm6991</x:v>
      </x:c>
    </x:row>
    <x:row r="47" ht="48" customHeight="1">
      <x:c r="A47" s="64" t="str">
        <x:v>T0046</x:v>
      </x:c>
      <x:c r="B47" s="28" t="str">
        <x:v>科研闭环与自主架构</x:v>
      </x:c>
      <x:c r="C47" s="28" t="str">
        <x:v>自主等级与系统架构</x:v>
      </x:c>
      <x:c r="D47" s="28" t="str">
        <x:v>自主分级与控制范式</x:v>
      </x:c>
      <x:c r="E47" s="28" t="str">
        <x:v>系统架构</x:v>
      </x:c>
      <x:c r="F47" s="28" t="str">
        <x:v>混合主动权</x:v>
      </x:c>
      <x:c r="G47" s="28" t="str">
        <x:v>围绕“混合主动权”定义自主系统的职责边界、组件关系、控制时序与故障行为，支撑长期无人值守运行。</x:v>
      </x:c>
      <x:c r="H47" s="28" t="str">
        <x:v>正常、降级、失效与人工接管状态是否都有确定行为？</x:v>
      </x:c>
      <x:c r="I47" s="28" t="str">
        <x:v>自主运行时长；MTBF/MTTR；人工接管次数；状态覆盖率；恢复成功率</x:v>
      </x:c>
      <x:c r="J47" s="64" t="str">
        <x:v>基础能力</x:v>
      </x:c>
      <x:c r="K47" s="64" t="str">
        <x:v>P0</x:v>
      </x:c>
      <x:c r="L47" s="28" t="str">
        <x:v>S01; S02; S04; S05; S58</x:v>
      </x:c>
      <x:c r="M47" s="28" t="str">
        <x:v>https://pubs.acs.org/doi/10.1021/acs.chemrev.4c00055</x:v>
      </x:c>
    </x:row>
    <x:row r="48" ht="48" customHeight="1">
      <x:c r="A48" s="64" t="str">
        <x:v>T0047</x:v>
      </x:c>
      <x:c r="B48" s="28" t="str">
        <x:v>科研闭环与自主架构</x:v>
      </x:c>
      <x:c r="C48" s="28" t="str">
        <x:v>自主等级与系统架构</x:v>
      </x:c>
      <x:c r="D48" s="28" t="str">
        <x:v>自主分级与控制范式</x:v>
      </x:c>
      <x:c r="E48" s="28" t="str">
        <x:v>系统架构</x:v>
      </x:c>
      <x:c r="F48" s="28" t="str">
        <x:v>分层控制</x:v>
      </x:c>
      <x:c r="G48" s="28" t="str">
        <x:v>围绕“分层控制”定义自主系统的职责边界、组件关系、控制时序与故障行为，支撑长期无人值守运行。</x:v>
      </x:c>
      <x:c r="H48" s="28" t="str">
        <x:v>正常、降级、失效与人工接管状态是否都有确定行为？</x:v>
      </x:c>
      <x:c r="I48" s="28" t="str">
        <x:v>自主运行时长；MTBF/MTTR；人工接管次数；状态覆盖率；恢复成功率</x:v>
      </x:c>
      <x:c r="J48" s="64" t="str">
        <x:v>基础能力</x:v>
      </x:c>
      <x:c r="K48" s="64" t="str">
        <x:v>P0</x:v>
      </x:c>
      <x:c r="L48" s="28" t="str">
        <x:v>S01; S02; S04; S05; S58</x:v>
      </x:c>
      <x:c r="M48" s="28" t="str">
        <x:v>https://royalsocietypublishing.org/rsos/article/12/7/250646/235354/Autonomous-self-driving-laboratories-a-review-of</x:v>
      </x:c>
    </x:row>
    <x:row r="49" ht="48" customHeight="1">
      <x:c r="A49" s="64" t="str">
        <x:v>T0048</x:v>
      </x:c>
      <x:c r="B49" s="28" t="str">
        <x:v>科研闭环与自主架构</x:v>
      </x:c>
      <x:c r="C49" s="28" t="str">
        <x:v>自主等级与系统架构</x:v>
      </x:c>
      <x:c r="D49" s="28" t="str">
        <x:v>自主分级与控制范式</x:v>
      </x:c>
      <x:c r="E49" s="28" t="str">
        <x:v>系统架构</x:v>
      </x:c>
      <x:c r="F49" s="28" t="str">
        <x:v>Sense-Plan-Act</x:v>
      </x:c>
      <x:c r="G49" s="28" t="str">
        <x:v>围绕“Sense-Plan-Act”定义自主系统的职责边界、组件关系、控制时序与故障行为，支撑长期无人值守运行。</x:v>
      </x:c>
      <x:c r="H49" s="28" t="str">
        <x:v>正常、降级、失效与人工接管状态是否都有确定行为？</x:v>
      </x:c>
      <x:c r="I49" s="28" t="str">
        <x:v>自主运行时长；MTBF/MTTR；人工接管次数；状态覆盖率；恢复成功率</x:v>
      </x:c>
      <x:c r="J49" s="64" t="str">
        <x:v>基础能力</x:v>
      </x:c>
      <x:c r="K49" s="64" t="str">
        <x:v>P0</x:v>
      </x:c>
      <x:c r="L49" s="28" t="str">
        <x:v>S01; S02; S04; S05; S58</x:v>
      </x:c>
      <x:c r="M49" s="28" t="str">
        <x:v>https://www.nature.com/articles/s42004-026-01932-9</x:v>
      </x:c>
    </x:row>
    <x:row r="50" ht="48" customHeight="1">
      <x:c r="A50" s="64" t="str">
        <x:v>T0049</x:v>
      </x:c>
      <x:c r="B50" s="28" t="str">
        <x:v>科研闭环与自主架构</x:v>
      </x:c>
      <x:c r="C50" s="28" t="str">
        <x:v>自主等级与系统架构</x:v>
      </x:c>
      <x:c r="D50" s="28" t="str">
        <x:v>自主分级与控制范式</x:v>
      </x:c>
      <x:c r="E50" s="28" t="str">
        <x:v>系统架构</x:v>
      </x:c>
      <x:c r="F50" s="28" t="str">
        <x:v>MAPE-K</x:v>
      </x:c>
      <x:c r="G50" s="28" t="str">
        <x:v>围绕“MAPE-K”定义自主系统的职责边界、组件关系、控制时序与故障行为，支撑长期无人值守运行。</x:v>
      </x:c>
      <x:c r="H50" s="28" t="str">
        <x:v>正常、降级、失效与人工接管状态是否都有确定行为？</x:v>
      </x:c>
      <x:c r="I50" s="28" t="str">
        <x:v>自主运行时长；MTBF/MTTR；人工接管次数；状态覆盖率；恢复成功率</x:v>
      </x:c>
      <x:c r="J50" s="64" t="str">
        <x:v>基础能力</x:v>
      </x:c>
      <x:c r="K50" s="64" t="str">
        <x:v>P0</x:v>
      </x:c>
      <x:c r="L50" s="28" t="str">
        <x:v>S01; S02; S04; S05; S58</x:v>
      </x:c>
      <x:c r="M50" s="28" t="str">
        <x:v>https://www.science.org/doi/10.1126/scirobotics.aat5559</x:v>
      </x:c>
    </x:row>
    <x:row r="51" ht="48" customHeight="1">
      <x:c r="A51" s="64" t="str">
        <x:v>T0050</x:v>
      </x:c>
      <x:c r="B51" s="28" t="str">
        <x:v>科研闭环与自主架构</x:v>
      </x:c>
      <x:c r="C51" s="28" t="str">
        <x:v>自主等级与系统架构</x:v>
      </x:c>
      <x:c r="D51" s="28" t="str">
        <x:v>自主分级与控制范式</x:v>
      </x:c>
      <x:c r="E51" s="28" t="str">
        <x:v>系统架构</x:v>
      </x:c>
      <x:c r="F51" s="28" t="str">
        <x:v>OODA</x:v>
      </x:c>
      <x:c r="G51" s="28" t="str">
        <x:v>围绕“OODA”定义自主系统的职责边界、组件关系、控制时序与故障行为，支撑长期无人值守运行。</x:v>
      </x:c>
      <x:c r="H51" s="28" t="str">
        <x:v>正常、降级、失效与人工接管状态是否都有确定行为？</x:v>
      </x:c>
      <x:c r="I51" s="28" t="str">
        <x:v>自主运行时长；MTBF/MTTR；人工接管次数；状态覆盖率；恢复成功率</x:v>
      </x:c>
      <x:c r="J51" s="64" t="str">
        <x:v>基础能力</x:v>
      </x:c>
      <x:c r="K51" s="64" t="str">
        <x:v>P0</x:v>
      </x:c>
      <x:c r="L51" s="28" t="str">
        <x:v>S01; S02; S04; S05; S58</x:v>
      </x:c>
      <x:c r="M51" s="28" t="str">
        <x:v>https://www.science.org/doi/10.1126/scirobotics.adm6991</x:v>
      </x:c>
    </x:row>
    <x:row r="52" ht="48" customHeight="1">
      <x:c r="A52" s="64" t="str">
        <x:v>T0051</x:v>
      </x:c>
      <x:c r="B52" s="28" t="str">
        <x:v>科研闭环与自主架构</x:v>
      </x:c>
      <x:c r="C52" s="28" t="str">
        <x:v>自主等级与系统架构</x:v>
      </x:c>
      <x:c r="D52" s="28" t="str">
        <x:v>软件架构与执行模型</x:v>
      </x:c>
      <x:c r="E52" s="28" t="str">
        <x:v>系统架构</x:v>
      </x:c>
      <x:c r="F52" s="28" t="str">
        <x:v>感知—规划—控制解耦</x:v>
      </x:c>
      <x:c r="G52" s="28" t="str">
        <x:v>围绕“感知—规划—控制解耦”定义自主系统的职责边界、组件关系、控制时序与故障行为，支撑长期无人值守运行。</x:v>
      </x:c>
      <x:c r="H52" s="28" t="str">
        <x:v>正常、降级、失效与人工接管状态是否都有确定行为？</x:v>
      </x:c>
      <x:c r="I52" s="28" t="str">
        <x:v>自主运行时长；MTBF/MTTR；人工接管次数；状态覆盖率；恢复成功率</x:v>
      </x:c>
      <x:c r="J52" s="64" t="str">
        <x:v>基础能力</x:v>
      </x:c>
      <x:c r="K52" s="64" t="str">
        <x:v>P1</x:v>
      </x:c>
      <x:c r="L52" s="28" t="str">
        <x:v>S01; S02; S04; S05; S58</x:v>
      </x:c>
      <x:c r="M52" s="28" t="str">
        <x:v>https://pubs.acs.org/doi/10.1021/acs.chemrev.4c00055</x:v>
      </x:c>
    </x:row>
    <x:row r="53" ht="48" customHeight="1">
      <x:c r="A53" s="64" t="str">
        <x:v>T0052</x:v>
      </x:c>
      <x:c r="B53" s="28" t="str">
        <x:v>科研闭环与自主架构</x:v>
      </x:c>
      <x:c r="C53" s="28" t="str">
        <x:v>自主等级与系统架构</x:v>
      </x:c>
      <x:c r="D53" s="28" t="str">
        <x:v>软件架构与执行模型</x:v>
      </x:c>
      <x:c r="E53" s="28" t="str">
        <x:v>系统架构</x:v>
      </x:c>
      <x:c r="F53" s="28" t="str">
        <x:v>事件驱动架构</x:v>
      </x:c>
      <x:c r="G53" s="28" t="str">
        <x:v>围绕“事件驱动架构”定义自主系统的职责边界、组件关系、控制时序与故障行为，支撑长期无人值守运行。</x:v>
      </x:c>
      <x:c r="H53" s="28" t="str">
        <x:v>正常、降级、失效与人工接管状态是否都有确定行为？</x:v>
      </x:c>
      <x:c r="I53" s="28" t="str">
        <x:v>自主运行时长；MTBF/MTTR；人工接管次数；状态覆盖率；恢复成功率</x:v>
      </x:c>
      <x:c r="J53" s="64" t="str">
        <x:v>基础能力</x:v>
      </x:c>
      <x:c r="K53" s="64" t="str">
        <x:v>P1</x:v>
      </x:c>
      <x:c r="L53" s="28" t="str">
        <x:v>S01; S02; S04; S05; S58</x:v>
      </x:c>
      <x:c r="M53" s="28" t="str">
        <x:v>https://royalsocietypublishing.org/rsos/article/12/7/250646/235354/Autonomous-self-driving-laboratories-a-review-of</x:v>
      </x:c>
    </x:row>
    <x:row r="54" ht="48" customHeight="1">
      <x:c r="A54" s="64" t="str">
        <x:v>T0053</x:v>
      </x:c>
      <x:c r="B54" s="28" t="str">
        <x:v>科研闭环与自主架构</x:v>
      </x:c>
      <x:c r="C54" s="28" t="str">
        <x:v>自主等级与系统架构</x:v>
      </x:c>
      <x:c r="D54" s="28" t="str">
        <x:v>软件架构与执行模型</x:v>
      </x:c>
      <x:c r="E54" s="28" t="str">
        <x:v>系统架构</x:v>
      </x:c>
      <x:c r="F54" s="28" t="str">
        <x:v>服务化架构</x:v>
      </x:c>
      <x:c r="G54" s="28" t="str">
        <x:v>围绕“服务化架构”定义自主系统的职责边界、组件关系、控制时序与故障行为，支撑长期无人值守运行。</x:v>
      </x:c>
      <x:c r="H54" s="28" t="str">
        <x:v>正常、降级、失效与人工接管状态是否都有确定行为？</x:v>
      </x:c>
      <x:c r="I54" s="28" t="str">
        <x:v>自主运行时长；MTBF/MTTR；人工接管次数；状态覆盖率；恢复成功率</x:v>
      </x:c>
      <x:c r="J54" s="64" t="str">
        <x:v>工程化关键</x:v>
      </x:c>
      <x:c r="K54" s="64" t="str">
        <x:v>P1</x:v>
      </x:c>
      <x:c r="L54" s="28" t="str">
        <x:v>S01; S02; S04; S05; S58</x:v>
      </x:c>
      <x:c r="M54" s="28" t="str">
        <x:v>https://www.nature.com/articles/s42004-026-01932-9</x:v>
      </x:c>
    </x:row>
    <x:row r="55" ht="48" customHeight="1">
      <x:c r="A55" s="64" t="str">
        <x:v>T0054</x:v>
      </x:c>
      <x:c r="B55" s="28" t="str">
        <x:v>科研闭环与自主架构</x:v>
      </x:c>
      <x:c r="C55" s="28" t="str">
        <x:v>自主等级与系统架构</x:v>
      </x:c>
      <x:c r="D55" s="28" t="str">
        <x:v>软件架构与执行模型</x:v>
      </x:c>
      <x:c r="E55" s="28" t="str">
        <x:v>系统架构</x:v>
      </x:c>
      <x:c r="F55" s="28" t="str">
        <x:v>微服务架构</x:v>
      </x:c>
      <x:c r="G55" s="28" t="str">
        <x:v>围绕“微服务架构”定义自主系统的职责边界、组件关系、控制时序与故障行为，支撑长期无人值守运行。</x:v>
      </x:c>
      <x:c r="H55" s="28" t="str">
        <x:v>正常、降级、失效与人工接管状态是否都有确定行为？</x:v>
      </x:c>
      <x:c r="I55" s="28" t="str">
        <x:v>自主运行时长；MTBF/MTTR；人工接管次数；状态覆盖率；恢复成功率</x:v>
      </x:c>
      <x:c r="J55" s="64" t="str">
        <x:v>工程化关键</x:v>
      </x:c>
      <x:c r="K55" s="64" t="str">
        <x:v>P1</x:v>
      </x:c>
      <x:c r="L55" s="28" t="str">
        <x:v>S01; S02; S04; S05; S58</x:v>
      </x:c>
      <x:c r="M55" s="28" t="str">
        <x:v>https://www.science.org/doi/10.1126/scirobotics.aat5559</x:v>
      </x:c>
    </x:row>
    <x:row r="56" ht="48" customHeight="1">
      <x:c r="A56" s="64" t="str">
        <x:v>T0055</x:v>
      </x:c>
      <x:c r="B56" s="28" t="str">
        <x:v>科研闭环与自主架构</x:v>
      </x:c>
      <x:c r="C56" s="28" t="str">
        <x:v>自主等级与系统架构</x:v>
      </x:c>
      <x:c r="D56" s="28" t="str">
        <x:v>软件架构与执行模型</x:v>
      </x:c>
      <x:c r="E56" s="28" t="str">
        <x:v>系统架构</x:v>
      </x:c>
      <x:c r="F56" s="28" t="str">
        <x:v>模块化即插即用</x:v>
      </x:c>
      <x:c r="G56" s="28" t="str">
        <x:v>围绕“模块化即插即用”定义自主系统的职责边界、组件关系、控制时序与故障行为，支撑长期无人值守运行。</x:v>
      </x:c>
      <x:c r="H56" s="28" t="str">
        <x:v>正常、降级、失效与人工接管状态是否都有确定行为？</x:v>
      </x:c>
      <x:c r="I56" s="28" t="str">
        <x:v>自主运行时长；MTBF/MTTR；人工接管次数；状态覆盖率；恢复成功率</x:v>
      </x:c>
      <x:c r="J56" s="64" t="str">
        <x:v>工程化关键</x:v>
      </x:c>
      <x:c r="K56" s="64" t="str">
        <x:v>P1</x:v>
      </x:c>
      <x:c r="L56" s="28" t="str">
        <x:v>S01; S02; S04; S05; S58</x:v>
      </x:c>
      <x:c r="M56" s="28" t="str">
        <x:v>https://www.science.org/doi/10.1126/scirobotics.adm6991</x:v>
      </x:c>
    </x:row>
    <x:row r="57" ht="48" customHeight="1">
      <x:c r="A57" s="64" t="str">
        <x:v>T0056</x:v>
      </x:c>
      <x:c r="B57" s="28" t="str">
        <x:v>科研闭环与自主架构</x:v>
      </x:c>
      <x:c r="C57" s="28" t="str">
        <x:v>自主等级与系统架构</x:v>
      </x:c>
      <x:c r="D57" s="28" t="str">
        <x:v>软件架构与执行模型</x:v>
      </x:c>
      <x:c r="E57" s="28" t="str">
        <x:v>系统架构</x:v>
      </x:c>
      <x:c r="F57" s="28" t="str">
        <x:v>有限状态机</x:v>
      </x:c>
      <x:c r="G57" s="28" t="str">
        <x:v>围绕“有限状态机”定义自主系统的职责边界、组件关系、控制时序与故障行为，支撑长期无人值守运行。</x:v>
      </x:c>
      <x:c r="H57" s="28" t="str">
        <x:v>正常、降级、失效与人工接管状态是否都有确定行为？</x:v>
      </x:c>
      <x:c r="I57" s="28" t="str">
        <x:v>自主运行时长；MTBF/MTTR；人工接管次数；状态覆盖率；恢复成功率</x:v>
      </x:c>
      <x:c r="J57" s="64" t="str">
        <x:v>工程化关键</x:v>
      </x:c>
      <x:c r="K57" s="64" t="str">
        <x:v>P1</x:v>
      </x:c>
      <x:c r="L57" s="28" t="str">
        <x:v>S01; S02; S04; S05; S58</x:v>
      </x:c>
      <x:c r="M57" s="28" t="str">
        <x:v>https://pubs.acs.org/doi/10.1021/acs.chemrev.4c00055</x:v>
      </x:c>
    </x:row>
    <x:row r="58" ht="48" customHeight="1">
      <x:c r="A58" s="64" t="str">
        <x:v>T0057</x:v>
      </x:c>
      <x:c r="B58" s="28" t="str">
        <x:v>科研闭环与自主架构</x:v>
      </x:c>
      <x:c r="C58" s="28" t="str">
        <x:v>自主等级与系统架构</x:v>
      </x:c>
      <x:c r="D58" s="28" t="str">
        <x:v>软件架构与执行模型</x:v>
      </x:c>
      <x:c r="E58" s="28" t="str">
        <x:v>系统架构</x:v>
      </x:c>
      <x:c r="F58" s="28" t="str">
        <x:v>行为树</x:v>
      </x:c>
      <x:c r="G58" s="28" t="str">
        <x:v>围绕“行为树”定义自主系统的职责边界、组件关系、控制时序与故障行为，支撑长期无人值守运行。</x:v>
      </x:c>
      <x:c r="H58" s="28" t="str">
        <x:v>正常、降级、失效与人工接管状态是否都有确定行为？</x:v>
      </x:c>
      <x:c r="I58" s="28" t="str">
        <x:v>自主运行时长；MTBF/MTTR；人工接管次数；状态覆盖率；恢复成功率</x:v>
      </x:c>
      <x:c r="J58" s="64" t="str">
        <x:v>工程化关键</x:v>
      </x:c>
      <x:c r="K58" s="64" t="str">
        <x:v>P1</x:v>
      </x:c>
      <x:c r="L58" s="28" t="str">
        <x:v>S01; S02; S04; S05; S58</x:v>
      </x:c>
      <x:c r="M58" s="28" t="str">
        <x:v>https://royalsocietypublishing.org/rsos/article/12/7/250646/235354/Autonomous-self-driving-laboratories-a-review-of</x:v>
      </x:c>
    </x:row>
    <x:row r="59" ht="48" customHeight="1">
      <x:c r="A59" s="64" t="str">
        <x:v>T0058</x:v>
      </x:c>
      <x:c r="B59" s="28" t="str">
        <x:v>科研闭环与自主架构</x:v>
      </x:c>
      <x:c r="C59" s="28" t="str">
        <x:v>自主等级与系统架构</x:v>
      </x:c>
      <x:c r="D59" s="28" t="str">
        <x:v>软件架构与执行模型</x:v>
      </x:c>
      <x:c r="E59" s="28" t="str">
        <x:v>系统架构</x:v>
      </x:c>
      <x:c r="F59" s="28" t="str">
        <x:v>工作流DAG</x:v>
      </x:c>
      <x:c r="G59" s="28" t="str">
        <x:v>围绕“工作流DAG”定义自主系统的职责边界、组件关系、控制时序与故障行为，支撑长期无人值守运行。</x:v>
      </x:c>
      <x:c r="H59" s="28" t="str">
        <x:v>正常、降级、失效与人工接管状态是否都有确定行为？</x:v>
      </x:c>
      <x:c r="I59" s="28" t="str">
        <x:v>自主运行时长；MTBF/MTTR；人工接管次数；状态覆盖率；恢复成功率</x:v>
      </x:c>
      <x:c r="J59" s="64" t="str">
        <x:v>工程化关键</x:v>
      </x:c>
      <x:c r="K59" s="64" t="str">
        <x:v>P1</x:v>
      </x:c>
      <x:c r="L59" s="28" t="str">
        <x:v>S01; S02; S04; S05; S58</x:v>
      </x:c>
      <x:c r="M59" s="28" t="str">
        <x:v>https://www.nature.com/articles/s42004-026-01932-9</x:v>
      </x:c>
    </x:row>
    <x:row r="60" ht="48" customHeight="1">
      <x:c r="A60" s="64" t="str">
        <x:v>T0059</x:v>
      </x:c>
      <x:c r="B60" s="28" t="str">
        <x:v>科研闭环与自主架构</x:v>
      </x:c>
      <x:c r="C60" s="28" t="str">
        <x:v>自主等级与系统架构</x:v>
      </x:c>
      <x:c r="D60" s="28" t="str">
        <x:v>软件架构与执行模型</x:v>
      </x:c>
      <x:c r="E60" s="28" t="str">
        <x:v>系统架构</x:v>
      </x:c>
      <x:c r="F60" s="28" t="str">
        <x:v>Petri网</x:v>
      </x:c>
      <x:c r="G60" s="28" t="str">
        <x:v>围绕“Petri网”定义自主系统的职责边界、组件关系、控制时序与故障行为，支撑长期无人值守运行。</x:v>
      </x:c>
      <x:c r="H60" s="28" t="str">
        <x:v>正常、降级、失效与人工接管状态是否都有确定行为？</x:v>
      </x:c>
      <x:c r="I60" s="28" t="str">
        <x:v>自主运行时长；MTBF/MTTR；人工接管次数；状态覆盖率；恢复成功率</x:v>
      </x:c>
      <x:c r="J60" s="64" t="str">
        <x:v>工程化关键</x:v>
      </x:c>
      <x:c r="K60" s="64" t="str">
        <x:v>P1</x:v>
      </x:c>
      <x:c r="L60" s="28" t="str">
        <x:v>S01; S02; S04; S05; S58</x:v>
      </x:c>
      <x:c r="M60" s="28" t="str">
        <x:v>https://www.science.org/doi/10.1126/scirobotics.aat5559</x:v>
      </x:c>
    </x:row>
    <x:row r="61" ht="48" customHeight="1">
      <x:c r="A61" s="64" t="str">
        <x:v>T0060</x:v>
      </x:c>
      <x:c r="B61" s="28" t="str">
        <x:v>科研闭环与自主架构</x:v>
      </x:c>
      <x:c r="C61" s="28" t="str">
        <x:v>自主等级与系统架构</x:v>
      </x:c>
      <x:c r="D61" s="28" t="str">
        <x:v>软件架构与执行模型</x:v>
      </x:c>
      <x:c r="E61" s="28" t="str">
        <x:v>系统架构</x:v>
      </x:c>
      <x:c r="F61" s="28" t="str">
        <x:v>黑板架构</x:v>
      </x:c>
      <x:c r="G61" s="28" t="str">
        <x:v>围绕“黑板架构”定义自主系统的职责边界、组件关系、控制时序与故障行为，支撑长期无人值守运行。</x:v>
      </x:c>
      <x:c r="H61" s="28" t="str">
        <x:v>正常、降级、失效与人工接管状态是否都有确定行为？</x:v>
      </x:c>
      <x:c r="I61" s="28" t="str">
        <x:v>自主运行时长；MTBF/MTTR；人工接管次数；状态覆盖率；恢复成功率</x:v>
      </x:c>
      <x:c r="J61" s="64" t="str">
        <x:v>工程化关键</x:v>
      </x:c>
      <x:c r="K61" s="64" t="str">
        <x:v>P1</x:v>
      </x:c>
      <x:c r="L61" s="28" t="str">
        <x:v>S01; S02; S04; S05; S58</x:v>
      </x:c>
      <x:c r="M61" s="28" t="str">
        <x:v>https://www.science.org/doi/10.1126/scirobotics.adm6991</x:v>
      </x:c>
    </x:row>
    <x:row r="62" ht="48" customHeight="1">
      <x:c r="A62" s="64" t="str">
        <x:v>T0061</x:v>
      </x:c>
      <x:c r="B62" s="28" t="str">
        <x:v>科研闭环与自主架构</x:v>
      </x:c>
      <x:c r="C62" s="28" t="str">
        <x:v>自主等级与系统架构</x:v>
      </x:c>
      <x:c r="D62" s="28" t="str">
        <x:v>云边与分布式实验</x:v>
      </x:c>
      <x:c r="E62" s="28" t="str">
        <x:v>系统架构</x:v>
      </x:c>
      <x:c r="F62" s="28" t="str">
        <x:v>数字线程</x:v>
      </x:c>
      <x:c r="G62" s="28" t="str">
        <x:v>围绕“数字线程”定义自主系统的职责边界、组件关系、控制时序与故障行为，支撑长期无人值守运行。</x:v>
      </x:c>
      <x:c r="H62" s="28" t="str">
        <x:v>正常、降级、失效与人工接管状态是否都有确定行为？</x:v>
      </x:c>
      <x:c r="I62" s="28" t="str">
        <x:v>自主运行时长；MTBF/MTTR；人工接管次数；状态覆盖率；恢复成功率</x:v>
      </x:c>
      <x:c r="J62" s="64" t="str">
        <x:v>工程化关键</x:v>
      </x:c>
      <x:c r="K62" s="64" t="str">
        <x:v>P1</x:v>
      </x:c>
      <x:c r="L62" s="28" t="str">
        <x:v>S01; S02; S04; S05; S58</x:v>
      </x:c>
      <x:c r="M62" s="28" t="str">
        <x:v>https://pubs.acs.org/doi/10.1021/acs.chemrev.4c00055</x:v>
      </x:c>
    </x:row>
    <x:row r="63" ht="48" customHeight="1">
      <x:c r="A63" s="64" t="str">
        <x:v>T0062</x:v>
      </x:c>
      <x:c r="B63" s="28" t="str">
        <x:v>科研闭环与自主架构</x:v>
      </x:c>
      <x:c r="C63" s="28" t="str">
        <x:v>自主等级与系统架构</x:v>
      </x:c>
      <x:c r="D63" s="28" t="str">
        <x:v>云边与分布式实验</x:v>
      </x:c>
      <x:c r="E63" s="28" t="str">
        <x:v>系统架构</x:v>
      </x:c>
      <x:c r="F63" s="28" t="str">
        <x:v>架构级数字孪生</x:v>
      </x:c>
      <x:c r="G63" s="28" t="str">
        <x:v>围绕“架构级数字孪生”定义自主系统的职责边界、组件关系、控制时序与故障行为，支撑长期无人值守运行。</x:v>
      </x:c>
      <x:c r="H63" s="28" t="str">
        <x:v>正常、降级、失效与人工接管状态是否都有确定行为？</x:v>
      </x:c>
      <x:c r="I63" s="28" t="str">
        <x:v>自主运行时长；MTBF/MTTR；人工接管次数；状态覆盖率；恢复成功率</x:v>
      </x:c>
      <x:c r="J63" s="64" t="str">
        <x:v>工程化关键</x:v>
      </x:c>
      <x:c r="K63" s="64" t="str">
        <x:v>P1</x:v>
      </x:c>
      <x:c r="L63" s="28" t="str">
        <x:v>S01; S02; S04; S05; S58</x:v>
      </x:c>
      <x:c r="M63" s="28" t="str">
        <x:v>https://royalsocietypublishing.org/rsos/article/12/7/250646/235354/Autonomous-self-driving-laboratories-a-review-of</x:v>
      </x:c>
    </x:row>
    <x:row r="64" ht="48" customHeight="1">
      <x:c r="A64" s="64" t="str">
        <x:v>T0063</x:v>
      </x:c>
      <x:c r="B64" s="28" t="str">
        <x:v>科研闭环与自主架构</x:v>
      </x:c>
      <x:c r="C64" s="28" t="str">
        <x:v>自主等级与系统架构</x:v>
      </x:c>
      <x:c r="D64" s="28" t="str">
        <x:v>云边与分布式实验</x:v>
      </x:c>
      <x:c r="E64" s="28" t="str">
        <x:v>系统架构</x:v>
      </x:c>
      <x:c r="F64" s="28" t="str">
        <x:v>边缘—云协同</x:v>
      </x:c>
      <x:c r="G64" s="28" t="str">
        <x:v>围绕“边缘—云协同”定义自主系统的职责边界、组件关系、控制时序与故障行为，支撑长期无人值守运行。</x:v>
      </x:c>
      <x:c r="H64" s="28" t="str">
        <x:v>正常、降级、失效与人工接管状态是否都有确定行为？</x:v>
      </x:c>
      <x:c r="I64" s="28" t="str">
        <x:v>自主运行时长；MTBF/MTTR；人工接管次数；状态覆盖率；恢复成功率</x:v>
      </x:c>
      <x:c r="J64" s="64" t="str">
        <x:v>工程化关键</x:v>
      </x:c>
      <x:c r="K64" s="64" t="str">
        <x:v>P1</x:v>
      </x:c>
      <x:c r="L64" s="28" t="str">
        <x:v>S01; S02; S04; S05; S58</x:v>
      </x:c>
      <x:c r="M64" s="28" t="str">
        <x:v>https://www.nature.com/articles/s42004-026-01932-9</x:v>
      </x:c>
    </x:row>
    <x:row r="65" ht="48" customHeight="1">
      <x:c r="A65" s="64" t="str">
        <x:v>T0064</x:v>
      </x:c>
      <x:c r="B65" s="28" t="str">
        <x:v>科研闭环与自主架构</x:v>
      </x:c>
      <x:c r="C65" s="28" t="str">
        <x:v>自主等级与系统架构</x:v>
      </x:c>
      <x:c r="D65" s="28" t="str">
        <x:v>云边与分布式实验</x:v>
      </x:c>
      <x:c r="E65" s="28" t="str">
        <x:v>系统架构</x:v>
      </x:c>
      <x:c r="F65" s="28" t="str">
        <x:v>实时系统</x:v>
      </x:c>
      <x:c r="G65" s="28" t="str">
        <x:v>围绕“实时系统”定义自主系统的职责边界、组件关系、控制时序与故障行为，支撑长期无人值守运行。</x:v>
      </x:c>
      <x:c r="H65" s="28" t="str">
        <x:v>正常、降级、失效与人工接管状态是否都有确定行为？</x:v>
      </x:c>
      <x:c r="I65" s="28" t="str">
        <x:v>自主运行时长；MTBF/MTTR；人工接管次数；状态覆盖率；恢复成功率</x:v>
      </x:c>
      <x:c r="J65" s="64" t="str">
        <x:v>工程化关键</x:v>
      </x:c>
      <x:c r="K65" s="64" t="str">
        <x:v>P1</x:v>
      </x:c>
      <x:c r="L65" s="28" t="str">
        <x:v>S01; S02; S04; S05; S58</x:v>
      </x:c>
      <x:c r="M65" s="28" t="str">
        <x:v>https://www.science.org/doi/10.1126/scirobotics.aat5559</x:v>
      </x:c>
    </x:row>
    <x:row r="66" ht="48" customHeight="1">
      <x:c r="A66" s="64" t="str">
        <x:v>T0065</x:v>
      </x:c>
      <x:c r="B66" s="28" t="str">
        <x:v>科研闭环与自主架构</x:v>
      </x:c>
      <x:c r="C66" s="28" t="str">
        <x:v>自主等级与系统架构</x:v>
      </x:c>
      <x:c r="D66" s="28" t="str">
        <x:v>云边与分布式实验</x:v>
      </x:c>
      <x:c r="E66" s="28" t="str">
        <x:v>系统架构</x:v>
      </x:c>
      <x:c r="F66" s="28" t="str">
        <x:v>确定性控制</x:v>
      </x:c>
      <x:c r="G66" s="28" t="str">
        <x:v>围绕“确定性控制”定义自主系统的职责边界、组件关系、控制时序与故障行为，支撑长期无人值守运行。</x:v>
      </x:c>
      <x:c r="H66" s="28" t="str">
        <x:v>正常、降级、失效与人工接管状态是否都有确定行为？</x:v>
      </x:c>
      <x:c r="I66" s="28" t="str">
        <x:v>自主运行时长；MTBF/MTTR；人工接管次数；状态覆盖率；恢复成功率</x:v>
      </x:c>
      <x:c r="J66" s="64" t="str">
        <x:v>工程化关键</x:v>
      </x:c>
      <x:c r="K66" s="64" t="str">
        <x:v>P1</x:v>
      </x:c>
      <x:c r="L66" s="28" t="str">
        <x:v>S01; S02; S04; S05; S58</x:v>
      </x:c>
      <x:c r="M66" s="28" t="str">
        <x:v>https://www.science.org/doi/10.1126/scirobotics.adm6991</x:v>
      </x:c>
    </x:row>
    <x:row r="67" ht="48" customHeight="1">
      <x:c r="A67" s="64" t="str">
        <x:v>T0066</x:v>
      </x:c>
      <x:c r="B67" s="28" t="str">
        <x:v>科研闭环与自主架构</x:v>
      </x:c>
      <x:c r="C67" s="28" t="str">
        <x:v>自主等级与系统架构</x:v>
      </x:c>
      <x:c r="D67" s="28" t="str">
        <x:v>云边与分布式实验</x:v>
      </x:c>
      <x:c r="E67" s="28" t="str">
        <x:v>系统架构</x:v>
      </x:c>
      <x:c r="F67" s="28" t="str">
        <x:v>异步编排</x:v>
      </x:c>
      <x:c r="G67" s="28" t="str">
        <x:v>围绕“异步编排”定义自主系统的职责边界、组件关系、控制时序与故障行为，支撑长期无人值守运行。</x:v>
      </x:c>
      <x:c r="H67" s="28" t="str">
        <x:v>正常、降级、失效与人工接管状态是否都有确定行为？</x:v>
      </x:c>
      <x:c r="I67" s="28" t="str">
        <x:v>自主运行时长；MTBF/MTTR；人工接管次数；状态覆盖率；恢复成功率</x:v>
      </x:c>
      <x:c r="J67" s="64" t="str">
        <x:v>工程化关键</x:v>
      </x:c>
      <x:c r="K67" s="64" t="str">
        <x:v>P1</x:v>
      </x:c>
      <x:c r="L67" s="28" t="str">
        <x:v>S01; S02; S04; S05; S58</x:v>
      </x:c>
      <x:c r="M67" s="28" t="str">
        <x:v>https://pubs.acs.org/doi/10.1021/acs.chemrev.4c00055</x:v>
      </x:c>
    </x:row>
    <x:row r="68" ht="48" customHeight="1">
      <x:c r="A68" s="64" t="str">
        <x:v>T0067</x:v>
      </x:c>
      <x:c r="B68" s="28" t="str">
        <x:v>科研闭环与自主架构</x:v>
      </x:c>
      <x:c r="C68" s="28" t="str">
        <x:v>自主等级与系统架构</x:v>
      </x:c>
      <x:c r="D68" s="28" t="str">
        <x:v>云边与分布式实验</x:v>
      </x:c>
      <x:c r="E68" s="28" t="str">
        <x:v>系统架构</x:v>
      </x:c>
      <x:c r="F68" s="28" t="str">
        <x:v>分布式自主</x:v>
      </x:c>
      <x:c r="G68" s="28" t="str">
        <x:v>围绕“分布式自主”定义自主系统的职责边界、组件关系、控制时序与故障行为，支撑长期无人值守运行。</x:v>
      </x:c>
      <x:c r="H68" s="28" t="str">
        <x:v>正常、降级、失效与人工接管状态是否都有确定行为？</x:v>
      </x:c>
      <x:c r="I68" s="28" t="str">
        <x:v>自主运行时长；MTBF/MTTR；人工接管次数；状态覆盖率；恢复成功率</x:v>
      </x:c>
      <x:c r="J68" s="64" t="str">
        <x:v>工程化关键</x:v>
      </x:c>
      <x:c r="K68" s="64" t="str">
        <x:v>P1</x:v>
      </x:c>
      <x:c r="L68" s="28" t="str">
        <x:v>S01; S02; S04; S05; S58</x:v>
      </x:c>
      <x:c r="M68" s="28" t="str">
        <x:v>https://royalsocietypublishing.org/rsos/article/12/7/250646/235354/Autonomous-self-driving-laboratories-a-review-of</x:v>
      </x:c>
    </x:row>
    <x:row r="69" ht="48" customHeight="1">
      <x:c r="A69" s="64" t="str">
        <x:v>T0068</x:v>
      </x:c>
      <x:c r="B69" s="28" t="str">
        <x:v>科研闭环与自主架构</x:v>
      </x:c>
      <x:c r="C69" s="28" t="str">
        <x:v>自主等级与系统架构</x:v>
      </x:c>
      <x:c r="D69" s="28" t="str">
        <x:v>云边与分布式实验</x:v>
      </x:c>
      <x:c r="E69" s="28" t="str">
        <x:v>系统架构</x:v>
      </x:c>
      <x:c r="F69" s="28" t="str">
        <x:v>联邦实验室</x:v>
      </x:c>
      <x:c r="G69" s="28" t="str">
        <x:v>围绕“联邦实验室”定义自主系统的职责边界、组件关系、控制时序与故障行为，支撑长期无人值守运行。</x:v>
      </x:c>
      <x:c r="H69" s="28" t="str">
        <x:v>正常、降级、失效与人工接管状态是否都有确定行为？</x:v>
      </x:c>
      <x:c r="I69" s="28" t="str">
        <x:v>自主运行时长；MTBF/MTTR；人工接管次数；状态覆盖率；恢复成功率</x:v>
      </x:c>
      <x:c r="J69" s="64" t="str">
        <x:v>工程化关键</x:v>
      </x:c>
      <x:c r="K69" s="64" t="str">
        <x:v>P1</x:v>
      </x:c>
      <x:c r="L69" s="28" t="str">
        <x:v>S01; S02; S04; S05; S58</x:v>
      </x:c>
      <x:c r="M69" s="28" t="str">
        <x:v>https://www.nature.com/articles/s42004-026-01932-9</x:v>
      </x:c>
    </x:row>
    <x:row r="70" ht="48" customHeight="1">
      <x:c r="A70" s="64" t="str">
        <x:v>T0069</x:v>
      </x:c>
      <x:c r="B70" s="28" t="str">
        <x:v>科研闭环与自主架构</x:v>
      </x:c>
      <x:c r="C70" s="28" t="str">
        <x:v>自主等级与系统架构</x:v>
      </x:c>
      <x:c r="D70" s="28" t="str">
        <x:v>云边与分布式实验</x:v>
      </x:c>
      <x:c r="E70" s="28" t="str">
        <x:v>系统架构</x:v>
      </x:c>
      <x:c r="F70" s="28" t="str">
        <x:v>远程/云实验室</x:v>
      </x:c>
      <x:c r="G70" s="28" t="str">
        <x:v>围绕“远程/云实验室”定义自主系统的职责边界、组件关系、控制时序与故障行为，支撑长期无人值守运行。</x:v>
      </x:c>
      <x:c r="H70" s="28" t="str">
        <x:v>正常、降级、失效与人工接管状态是否都有确定行为？</x:v>
      </x:c>
      <x:c r="I70" s="28" t="str">
        <x:v>自主运行时长；MTBF/MTTR；人工接管次数；状态覆盖率；恢复成功率</x:v>
      </x:c>
      <x:c r="J70" s="64" t="str">
        <x:v>进阶能力</x:v>
      </x:c>
      <x:c r="K70" s="64" t="str">
        <x:v>P2</x:v>
      </x:c>
      <x:c r="L70" s="28" t="str">
        <x:v>S01; S02; S04; S05; S58</x:v>
      </x:c>
      <x:c r="M70" s="28" t="str">
        <x:v>https://www.science.org/doi/10.1126/scirobotics.aat5559</x:v>
      </x:c>
    </x:row>
    <x:row r="71" ht="48" customHeight="1">
      <x:c r="A71" s="64" t="str">
        <x:v>T0070</x:v>
      </x:c>
      <x:c r="B71" s="28" t="str">
        <x:v>科研闭环与自主架构</x:v>
      </x:c>
      <x:c r="C71" s="28" t="str">
        <x:v>自主等级与系统架构</x:v>
      </x:c>
      <x:c r="D71" s="28" t="str">
        <x:v>云边与分布式实验</x:v>
      </x:c>
      <x:c r="E71" s="28" t="str">
        <x:v>系统架构</x:v>
      </x:c>
      <x:c r="F71" s="28" t="str">
        <x:v>资源抽象</x:v>
      </x:c>
      <x:c r="G71" s="28" t="str">
        <x:v>围绕“资源抽象”定义自主系统的职责边界、组件关系、控制时序与故障行为，支撑长期无人值守运行。</x:v>
      </x:c>
      <x:c r="H71" s="28" t="str">
        <x:v>正常、降级、失效与人工接管状态是否都有确定行为？</x:v>
      </x:c>
      <x:c r="I71" s="28" t="str">
        <x:v>自主运行时长；MTBF/MTTR；人工接管次数；状态覆盖率；恢复成功率</x:v>
      </x:c>
      <x:c r="J71" s="64" t="str">
        <x:v>进阶能力</x:v>
      </x:c>
      <x:c r="K71" s="64" t="str">
        <x:v>P2</x:v>
      </x:c>
      <x:c r="L71" s="28" t="str">
        <x:v>S01; S02; S04; S05; S58</x:v>
      </x:c>
      <x:c r="M71" s="28" t="str">
        <x:v>https://www.science.org/doi/10.1126/scirobotics.adm6991</x:v>
      </x:c>
    </x:row>
    <x:row r="72" ht="48" customHeight="1">
      <x:c r="A72" s="64" t="str">
        <x:v>T0071</x:v>
      </x:c>
      <x:c r="B72" s="28" t="str">
        <x:v>科研闭环与自主架构</x:v>
      </x:c>
      <x:c r="C72" s="28" t="str">
        <x:v>自主等级与系统架构</x:v>
      </x:c>
      <x:c r="D72" s="28" t="str">
        <x:v>安全、可观测与成熟度</x:v>
      </x:c>
      <x:c r="E72" s="28" t="str">
        <x:v>系统架构</x:v>
      </x:c>
      <x:c r="F72" s="28" t="str">
        <x:v>能力注册表</x:v>
      </x:c>
      <x:c r="G72" s="28" t="str">
        <x:v>围绕“能力注册表”定义自主系统的职责边界、组件关系、控制时序与故障行为，支撑长期无人值守运行。</x:v>
      </x:c>
      <x:c r="H72" s="28" t="str">
        <x:v>正常、降级、失效与人工接管状态是否都有确定行为？</x:v>
      </x:c>
      <x:c r="I72" s="28" t="str">
        <x:v>自主运行时长；MTBF/MTTR；人工接管次数；状态覆盖率；恢复成功率</x:v>
      </x:c>
      <x:c r="J72" s="64" t="str">
        <x:v>进阶能力</x:v>
      </x:c>
      <x:c r="K72" s="64" t="str">
        <x:v>P2</x:v>
      </x:c>
      <x:c r="L72" s="28" t="str">
        <x:v>S01; S02; S04; S05; S58</x:v>
      </x:c>
      <x:c r="M72" s="28" t="str">
        <x:v>https://pubs.acs.org/doi/10.1021/acs.chemrev.4c00055</x:v>
      </x:c>
    </x:row>
    <x:row r="73" ht="48" customHeight="1">
      <x:c r="A73" s="64" t="str">
        <x:v>T0072</x:v>
      </x:c>
      <x:c r="B73" s="28" t="str">
        <x:v>科研闭环与自主架构</x:v>
      </x:c>
      <x:c r="C73" s="28" t="str">
        <x:v>自主等级与系统架构</x:v>
      </x:c>
      <x:c r="D73" s="28" t="str">
        <x:v>安全、可观测与成熟度</x:v>
      </x:c>
      <x:c r="E73" s="28" t="str">
        <x:v>系统架构</x:v>
      </x:c>
      <x:c r="F73" s="28" t="str">
        <x:v>配方—设备分离</x:v>
      </x:c>
      <x:c r="G73" s="28" t="str">
        <x:v>围绕“配方—设备分离”定义自主系统的职责边界、组件关系、控制时序与故障行为，支撑长期无人值守运行。</x:v>
      </x:c>
      <x:c r="H73" s="28" t="str">
        <x:v>正常、降级、失效与人工接管状态是否都有确定行为？</x:v>
      </x:c>
      <x:c r="I73" s="28" t="str">
        <x:v>自主运行时长；MTBF/MTTR；人工接管次数；状态覆盖率；恢复成功率</x:v>
      </x:c>
      <x:c r="J73" s="64" t="str">
        <x:v>进阶能力</x:v>
      </x:c>
      <x:c r="K73" s="64" t="str">
        <x:v>P2</x:v>
      </x:c>
      <x:c r="L73" s="28" t="str">
        <x:v>S01; S02; S04; S05; S58</x:v>
      </x:c>
      <x:c r="M73" s="28" t="str">
        <x:v>https://royalsocietypublishing.org/rsos/article/12/7/250646/235354/Autonomous-self-driving-laboratories-a-review-of</x:v>
      </x:c>
    </x:row>
    <x:row r="74" ht="48" customHeight="1">
      <x:c r="A74" s="64" t="str">
        <x:v>T0073</x:v>
      </x:c>
      <x:c r="B74" s="28" t="str">
        <x:v>科研闭环与自主架构</x:v>
      </x:c>
      <x:c r="C74" s="28" t="str">
        <x:v>自主等级与系统架构</x:v>
      </x:c>
      <x:c r="D74" s="28" t="str">
        <x:v>安全、可观测与成熟度</x:v>
      </x:c>
      <x:c r="E74" s="28" t="str">
        <x:v>系统架构</x:v>
      </x:c>
      <x:c r="F74" s="28" t="str">
        <x:v>策略—执行分离</x:v>
      </x:c>
      <x:c r="G74" s="28" t="str">
        <x:v>围绕“策略—执行分离”定义自主系统的职责边界、组件关系、控制时序与故障行为，支撑长期无人值守运行。</x:v>
      </x:c>
      <x:c r="H74" s="28" t="str">
        <x:v>正常、降级、失效与人工接管状态是否都有确定行为？</x:v>
      </x:c>
      <x:c r="I74" s="28" t="str">
        <x:v>自主运行时长；MTBF/MTTR；人工接管次数；状态覆盖率；恢复成功率</x:v>
      </x:c>
      <x:c r="J74" s="64" t="str">
        <x:v>进阶能力</x:v>
      </x:c>
      <x:c r="K74" s="64" t="str">
        <x:v>P2</x:v>
      </x:c>
      <x:c r="L74" s="28" t="str">
        <x:v>S01; S02; S04; S05; S58</x:v>
      </x:c>
      <x:c r="M74" s="28" t="str">
        <x:v>https://www.nature.com/articles/s42004-026-01932-9</x:v>
      </x:c>
    </x:row>
    <x:row r="75" ht="48" customHeight="1">
      <x:c r="A75" s="64" t="str">
        <x:v>T0074</x:v>
      </x:c>
      <x:c r="B75" s="28" t="str">
        <x:v>科研闭环与自主架构</x:v>
      </x:c>
      <x:c r="C75" s="28" t="str">
        <x:v>自主等级与系统架构</x:v>
      </x:c>
      <x:c r="D75" s="28" t="str">
        <x:v>安全、可观测与成熟度</x:v>
      </x:c>
      <x:c r="E75" s="28" t="str">
        <x:v>系统架构</x:v>
      </x:c>
      <x:c r="F75" s="28" t="str">
        <x:v>模型—实验分离</x:v>
      </x:c>
      <x:c r="G75" s="28" t="str">
        <x:v>围绕“模型—实验分离”定义自主系统的职责边界、组件关系、控制时序与故障行为，支撑长期无人值守运行。</x:v>
      </x:c>
      <x:c r="H75" s="28" t="str">
        <x:v>正常、降级、失效与人工接管状态是否都有确定行为？</x:v>
      </x:c>
      <x:c r="I75" s="28" t="str">
        <x:v>自主运行时长；MTBF/MTTR；人工接管次数；状态覆盖率；恢复成功率</x:v>
      </x:c>
      <x:c r="J75" s="64" t="str">
        <x:v>进阶能力</x:v>
      </x:c>
      <x:c r="K75" s="64" t="str">
        <x:v>P2</x:v>
      </x:c>
      <x:c r="L75" s="28" t="str">
        <x:v>S01; S02; S04; S05; S58</x:v>
      </x:c>
      <x:c r="M75" s="28" t="str">
        <x:v>https://www.science.org/doi/10.1126/scirobotics.aat5559</x:v>
      </x:c>
    </x:row>
    <x:row r="76" ht="48" customHeight="1">
      <x:c r="A76" s="64" t="str">
        <x:v>T0075</x:v>
      </x:c>
      <x:c r="B76" s="28" t="str">
        <x:v>科研闭环与自主架构</x:v>
      </x:c>
      <x:c r="C76" s="28" t="str">
        <x:v>自主等级与系统架构</x:v>
      </x:c>
      <x:c r="D76" s="28" t="str">
        <x:v>安全、可观测与成熟度</x:v>
      </x:c>
      <x:c r="E76" s="28" t="str">
        <x:v>系统架构</x:v>
      </x:c>
      <x:c r="F76" s="28" t="str">
        <x:v>沙箱执行</x:v>
      </x:c>
      <x:c r="G76" s="28" t="str">
        <x:v>围绕“沙箱执行”定义自主系统的职责边界、组件关系、控制时序与故障行为，支撑长期无人值守运行。</x:v>
      </x:c>
      <x:c r="H76" s="28" t="str">
        <x:v>正常、降级、失效与人工接管状态是否都有确定行为？</x:v>
      </x:c>
      <x:c r="I76" s="28" t="str">
        <x:v>自主运行时长；MTBF/MTTR；人工接管次数；状态覆盖率；恢复成功率</x:v>
      </x:c>
      <x:c r="J76" s="64" t="str">
        <x:v>进阶能力</x:v>
      </x:c>
      <x:c r="K76" s="64" t="str">
        <x:v>P2</x:v>
      </x:c>
      <x:c r="L76" s="28" t="str">
        <x:v>S01; S02; S04; S05; S58</x:v>
      </x:c>
      <x:c r="M76" s="28" t="str">
        <x:v>https://www.science.org/doi/10.1126/scirobotics.adm6991</x:v>
      </x:c>
    </x:row>
    <x:row r="77" ht="48" customHeight="1">
      <x:c r="A77" s="64" t="str">
        <x:v>T0076</x:v>
      </x:c>
      <x:c r="B77" s="28" t="str">
        <x:v>科研闭环与自主架构</x:v>
      </x:c>
      <x:c r="C77" s="28" t="str">
        <x:v>自主等级与系统架构</x:v>
      </x:c>
      <x:c r="D77" s="28" t="str">
        <x:v>安全、可观测与成熟度</x:v>
      </x:c>
      <x:c r="E77" s="28" t="str">
        <x:v>系统架构</x:v>
      </x:c>
      <x:c r="F77" s="28" t="str">
        <x:v>失效安全状态</x:v>
      </x:c>
      <x:c r="G77" s="28" t="str">
        <x:v>围绕“失效安全状态”定义自主系统的职责边界、组件关系、控制时序与故障行为，支撑长期无人值守运行。</x:v>
      </x:c>
      <x:c r="H77" s="28" t="str">
        <x:v>正常、降级、失效与人工接管状态是否都有确定行为？</x:v>
      </x:c>
      <x:c r="I77" s="28" t="str">
        <x:v>自主运行时长；MTBF/MTTR；人工接管次数；状态覆盖率；恢复成功率</x:v>
      </x:c>
      <x:c r="J77" s="64" t="str">
        <x:v>进阶能力</x:v>
      </x:c>
      <x:c r="K77" s="64" t="str">
        <x:v>P2</x:v>
      </x:c>
      <x:c r="L77" s="28" t="str">
        <x:v>S01; S02; S04; S05; S58</x:v>
      </x:c>
      <x:c r="M77" s="28" t="str">
        <x:v>https://pubs.acs.org/doi/10.1021/acs.chemrev.4c00055</x:v>
      </x:c>
    </x:row>
    <x:row r="78" ht="48" customHeight="1">
      <x:c r="A78" s="64" t="str">
        <x:v>T0077</x:v>
      </x:c>
      <x:c r="B78" s="28" t="str">
        <x:v>科研闭环与自主架构</x:v>
      </x:c>
      <x:c r="C78" s="28" t="str">
        <x:v>自主等级与系统架构</x:v>
      </x:c>
      <x:c r="D78" s="28" t="str">
        <x:v>安全、可观测与成熟度</x:v>
      </x:c>
      <x:c r="E78" s="28" t="str">
        <x:v>系统架构</x:v>
      </x:c>
      <x:c r="F78" s="28" t="str">
        <x:v>架构优雅降级</x:v>
      </x:c>
      <x:c r="G78" s="28" t="str">
        <x:v>围绕“架构优雅降级”定义自主系统的职责边界、组件关系、控制时序与故障行为，支撑长期无人值守运行。</x:v>
      </x:c>
      <x:c r="H78" s="28" t="str">
        <x:v>正常、降级、失效与人工接管状态是否都有确定行为？</x:v>
      </x:c>
      <x:c r="I78" s="28" t="str">
        <x:v>自主运行时长；MTBF/MTTR；人工接管次数；状态覆盖率；恢复成功率</x:v>
      </x:c>
      <x:c r="J78" s="64" t="str">
        <x:v>前沿能力</x:v>
      </x:c>
      <x:c r="K78" s="64" t="str">
        <x:v>P2</x:v>
      </x:c>
      <x:c r="L78" s="28" t="str">
        <x:v>S01; S02; S04; S05; S58</x:v>
      </x:c>
      <x:c r="M78" s="28" t="str">
        <x:v>https://royalsocietypublishing.org/rsos/article/12/7/250646/235354/Autonomous-self-driving-laboratories-a-review-of</x:v>
      </x:c>
    </x:row>
    <x:row r="79" ht="48" customHeight="1">
      <x:c r="A79" s="64" t="str">
        <x:v>T0078</x:v>
      </x:c>
      <x:c r="B79" s="28" t="str">
        <x:v>科研闭环与自主架构</x:v>
      </x:c>
      <x:c r="C79" s="28" t="str">
        <x:v>自主等级与系统架构</x:v>
      </x:c>
      <x:c r="D79" s="28" t="str">
        <x:v>安全、可观测与成熟度</x:v>
      </x:c>
      <x:c r="E79" s="28" t="str">
        <x:v>系统架构</x:v>
      </x:c>
      <x:c r="F79" s="28" t="str">
        <x:v>冗余架构</x:v>
      </x:c>
      <x:c r="G79" s="28" t="str">
        <x:v>围绕“冗余架构”定义自主系统的职责边界、组件关系、控制时序与故障行为，支撑长期无人值守运行。</x:v>
      </x:c>
      <x:c r="H79" s="28" t="str">
        <x:v>正常、降级、失效与人工接管状态是否都有确定行为？</x:v>
      </x:c>
      <x:c r="I79" s="28" t="str">
        <x:v>自主运行时长；MTBF/MTTR；人工接管次数；状态覆盖率；恢复成功率</x:v>
      </x:c>
      <x:c r="J79" s="64" t="str">
        <x:v>前沿能力</x:v>
      </x:c>
      <x:c r="K79" s="64" t="str">
        <x:v>P2</x:v>
      </x:c>
      <x:c r="L79" s="28" t="str">
        <x:v>S01; S02; S04; S05; S58</x:v>
      </x:c>
      <x:c r="M79" s="28" t="str">
        <x:v>https://www.nature.com/articles/s42004-026-01932-9</x:v>
      </x:c>
    </x:row>
    <x:row r="80" ht="48" customHeight="1">
      <x:c r="A80" s="64" t="str">
        <x:v>T0079</x:v>
      </x:c>
      <x:c r="B80" s="28" t="str">
        <x:v>科研闭环与自主架构</x:v>
      </x:c>
      <x:c r="C80" s="28" t="str">
        <x:v>自主等级与系统架构</x:v>
      </x:c>
      <x:c r="D80" s="28" t="str">
        <x:v>安全、可观测与成熟度</x:v>
      </x:c>
      <x:c r="E80" s="28" t="str">
        <x:v>系统架构</x:v>
      </x:c>
      <x:c r="F80" s="28" t="str">
        <x:v>全栈可观测性</x:v>
      </x:c>
      <x:c r="G80" s="28" t="str">
        <x:v>围绕“全栈可观测性”定义自主系统的职责边界、组件关系、控制时序与故障行为，支撑长期无人值守运行。</x:v>
      </x:c>
      <x:c r="H80" s="28" t="str">
        <x:v>正常、降级、失效与人工接管状态是否都有确定行为？</x:v>
      </x:c>
      <x:c r="I80" s="28" t="str">
        <x:v>自主运行时长；MTBF/MTTR；人工接管次数；状态覆盖率；恢复成功率</x:v>
      </x:c>
      <x:c r="J80" s="64" t="str">
        <x:v>前沿能力</x:v>
      </x:c>
      <x:c r="K80" s="64" t="str">
        <x:v>P2</x:v>
      </x:c>
      <x:c r="L80" s="28" t="str">
        <x:v>S01; S02; S04; S05; S58</x:v>
      </x:c>
      <x:c r="M80" s="28" t="str">
        <x:v>https://www.science.org/doi/10.1126/scirobotics.aat5559</x:v>
      </x:c>
    </x:row>
    <x:row r="81" ht="48" customHeight="1">
      <x:c r="A81" s="64" t="str">
        <x:v>T0080</x:v>
      </x:c>
      <x:c r="B81" s="28" t="str">
        <x:v>科研闭环与自主架构</x:v>
      </x:c>
      <x:c r="C81" s="28" t="str">
        <x:v>自主等级与系统架构</x:v>
      </x:c>
      <x:c r="D81" s="28" t="str">
        <x:v>安全、可观测与成熟度</x:v>
      </x:c>
      <x:c r="E81" s="28" t="str">
        <x:v>系统架构</x:v>
      </x:c>
      <x:c r="F81" s="28" t="str">
        <x:v>自主成熟度评估</x:v>
      </x:c>
      <x:c r="G81" s="28" t="str">
        <x:v>围绕“自主成熟度评估”定义自主系统的职责边界、组件关系、控制时序与故障行为，支撑长期无人值守运行。</x:v>
      </x:c>
      <x:c r="H81" s="28" t="str">
        <x:v>正常、降级、失效与人工接管状态是否都有确定行为？</x:v>
      </x:c>
      <x:c r="I81" s="28" t="str">
        <x:v>自主运行时长；MTBF/MTTR；人工接管次数；状态覆盖率；恢复成功率</x:v>
      </x:c>
      <x:c r="J81" s="64" t="str">
        <x:v>前沿能力</x:v>
      </x:c>
      <x:c r="K81" s="64" t="str">
        <x:v>P2</x:v>
      </x:c>
      <x:c r="L81" s="28" t="str">
        <x:v>S01; S02; S04; S05; S58</x:v>
      </x:c>
      <x:c r="M81" s="28" t="str">
        <x:v>https://www.science.org/doi/10.1126/scirobotics.adm6991</x:v>
      </x:c>
    </x:row>
    <x:row r="82" ht="48" customHeight="1">
      <x:c r="A82" s="64" t="str">
        <x:v>T0081</x:v>
      </x:c>
      <x:c r="B82" s="28" t="str">
        <x:v>实验执行与具身自动化</x:v>
      </x:c>
      <x:c r="C82" s="28" t="str">
        <x:v>实验流程与机器可执行协议</x:v>
      </x:c>
      <x:c r="D82" s="28" t="str">
        <x:v>协议语义与类型系统</x:v>
      </x:c>
      <x:c r="E82" s="28" t="str">
        <x:v>协议与知识表示</x:v>
      </x:c>
      <x:c r="F82" s="28" t="str">
        <x:v>SOP数字化</x:v>
      </x:c>
      <x:c r="G82" s="28" t="str">
        <x:v>将“SOP数字化”表示为机器可读、可验证、可版本化的协议元素，并与设备能力、数据与审计轨迹绑定。</x:v>
      </x:c>
      <x:c r="H82" s="28" t="str">
        <x:v>输入/输出、单位、前后置条件、异常与验收标准能否被机器检查？</x:v>
      </x:c>
      <x:c r="I82" s="28" t="str">
        <x:v>协议验证通过率；设备映射成功率；单位错误率；可重放率；版本可追溯率</x:v>
      </x:c>
      <x:c r="J82" s="64" t="str">
        <x:v>基础能力</x:v>
      </x:c>
      <x:c r="K82" s="64" t="str">
        <x:v>P0</x:v>
      </x:c>
      <x:c r="L82" s="28" t="str">
        <x:v>S01; S05; S25; S26; S59</x:v>
      </x:c>
      <x:c r="M82" s="28" t="str">
        <x:v>https://pubs.acs.org/doi/10.1021/acs.chemrev.4c00055</x:v>
      </x:c>
    </x:row>
    <x:row r="83" ht="48" customHeight="1">
      <x:c r="A83" s="64" t="str">
        <x:v>T0082</x:v>
      </x:c>
      <x:c r="B83" s="28" t="str">
        <x:v>实验执行与具身自动化</x:v>
      </x:c>
      <x:c r="C83" s="28" t="str">
        <x:v>实验流程与机器可执行协议</x:v>
      </x:c>
      <x:c r="D83" s="28" t="str">
        <x:v>协议语义与类型系统</x:v>
      </x:c>
      <x:c r="E83" s="28" t="str">
        <x:v>协议与知识表示</x:v>
      </x:c>
      <x:c r="F83" s="28" t="str">
        <x:v>机器可读协议</x:v>
      </x:c>
      <x:c r="G83" s="28" t="str">
        <x:v>将“机器可读协议”表示为机器可读、可验证、可版本化的协议元素，并与设备能力、数据与审计轨迹绑定。</x:v>
      </x:c>
      <x:c r="H83" s="28" t="str">
        <x:v>输入/输出、单位、前后置条件、异常与验收标准能否被机器检查？</x:v>
      </x:c>
      <x:c r="I83" s="28" t="str">
        <x:v>协议验证通过率；设备映射成功率；单位错误率；可重放率；版本可追溯率</x:v>
      </x:c>
      <x:c r="J83" s="64" t="str">
        <x:v>基础能力</x:v>
      </x:c>
      <x:c r="K83" s="64" t="str">
        <x:v>P0</x:v>
      </x:c>
      <x:c r="L83" s="28" t="str">
        <x:v>S01; S05; S25; S26; S59</x:v>
      </x:c>
      <x:c r="M83" s="28" t="str">
        <x:v>https://www.science.org/doi/10.1126/scirobotics.aat5559</x:v>
      </x:c>
    </x:row>
    <x:row r="84" ht="48" customHeight="1">
      <x:c r="A84" s="64" t="str">
        <x:v>T0083</x:v>
      </x:c>
      <x:c r="B84" s="28" t="str">
        <x:v>实验执行与具身自动化</x:v>
      </x:c>
      <x:c r="C84" s="28" t="str">
        <x:v>实验流程与机器可执行协议</x:v>
      </x:c>
      <x:c r="D84" s="28" t="str">
        <x:v>协议语义与类型系统</x:v>
      </x:c>
      <x:c r="E84" s="28" t="str">
        <x:v>协议与知识表示</x:v>
      </x:c>
      <x:c r="F84" s="28" t="str">
        <x:v>实验DSL</x:v>
      </x:c>
      <x:c r="G84" s="28" t="str">
        <x:v>将“实验DSL”表示为机器可读、可验证、可版本化的协议元素，并与设备能力、数据与审计轨迹绑定。</x:v>
      </x:c>
      <x:c r="H84" s="28" t="str">
        <x:v>输入/输出、单位、前后置条件、异常与验收标准能否被机器检查？</x:v>
      </x:c>
      <x:c r="I84" s="28" t="str">
        <x:v>协议验证通过率；设备映射成功率；单位错误率；可重放率；版本可追溯率</x:v>
      </x:c>
      <x:c r="J84" s="64" t="str">
        <x:v>基础能力</x:v>
      </x:c>
      <x:c r="K84" s="64" t="str">
        <x:v>P0</x:v>
      </x:c>
      <x:c r="L84" s="28" t="str">
        <x:v>S01; S05; S25; S26; S59</x:v>
      </x:c>
      <x:c r="M84" s="28" t="str">
        <x:v>https://www.researchobject.org/ro-crate/specification/1.1/provenance.html</x:v>
      </x:c>
    </x:row>
    <x:row r="85" ht="48" customHeight="1">
      <x:c r="A85" s="64" t="str">
        <x:v>T0084</x:v>
      </x:c>
      <x:c r="B85" s="28" t="str">
        <x:v>实验执行与具身自动化</x:v>
      </x:c>
      <x:c r="C85" s="28" t="str">
        <x:v>实验流程与机器可执行协议</x:v>
      </x:c>
      <x:c r="D85" s="28" t="str">
        <x:v>协议语义与类型系统</x:v>
      </x:c>
      <x:c r="E85" s="28" t="str">
        <x:v>协议与知识表示</x:v>
      </x:c>
      <x:c r="F85" s="28" t="str">
        <x:v>协议本体</x:v>
      </x:c>
      <x:c r="G85" s="28" t="str">
        <x:v>将“协议本体”表示为机器可读、可验证、可版本化的协议元素，并与设备能力、数据与审计轨迹绑定。</x:v>
      </x:c>
      <x:c r="H85" s="28" t="str">
        <x:v>输入/输出、单位、前后置条件、异常与验收标准能否被机器检查？</x:v>
      </x:c>
      <x:c r="I85" s="28" t="str">
        <x:v>协议验证通过率；设备映射成功率；单位错误率；可重放率；版本可追溯率</x:v>
      </x:c>
      <x:c r="J85" s="64" t="str">
        <x:v>基础能力</x:v>
      </x:c>
      <x:c r="K85" s="64" t="str">
        <x:v>P0</x:v>
      </x:c>
      <x:c r="L85" s="28" t="str">
        <x:v>S01; S05; S25; S26; S59</x:v>
      </x:c>
      <x:c r="M85" s="28" t="str">
        <x:v>https://sila-standard.com/standards/</x:v>
      </x:c>
    </x:row>
    <x:row r="86" ht="48" customHeight="1">
      <x:c r="A86" s="64" t="str">
        <x:v>T0085</x:v>
      </x:c>
      <x:c r="B86" s="28" t="str">
        <x:v>实验执行与具身自动化</x:v>
      </x:c>
      <x:c r="C86" s="28" t="str">
        <x:v>实验流程与机器可执行协议</x:v>
      </x:c>
      <x:c r="D86" s="28" t="str">
        <x:v>协议语义与类型系统</x:v>
      </x:c>
      <x:c r="E86" s="28" t="str">
        <x:v>协议与知识表示</x:v>
      </x:c>
      <x:c r="F86" s="28" t="str">
        <x:v>单位安全类型</x:v>
      </x:c>
      <x:c r="G86" s="28" t="str">
        <x:v>将“单位安全类型”表示为机器可读、可验证、可版本化的协议元素，并与设备能力、数据与审计轨迹绑定。</x:v>
      </x:c>
      <x:c r="H86" s="28" t="str">
        <x:v>输入/输出、单位、前后置条件、异常与验收标准能否被机器检查？</x:v>
      </x:c>
      <x:c r="I86" s="28" t="str">
        <x:v>协议验证通过率；设备映射成功率；单位错误率；可重放率；版本可追溯率</x:v>
      </x:c>
      <x:c r="J86" s="64" t="str">
        <x:v>基础能力</x:v>
      </x:c>
      <x:c r="K86" s="64" t="str">
        <x:v>P0</x:v>
      </x:c>
      <x:c r="L86" s="28" t="str">
        <x:v>S01; S05; S25; S26; S59</x:v>
      </x:c>
      <x:c r="M86" s="28" t="str">
        <x:v>https://arxiv.org/abs/2411.00444</x:v>
      </x:c>
    </x:row>
    <x:row r="87" ht="48" customHeight="1">
      <x:c r="A87" s="64" t="str">
        <x:v>T0086</x:v>
      </x:c>
      <x:c r="B87" s="28" t="str">
        <x:v>实验执行与具身自动化</x:v>
      </x:c>
      <x:c r="C87" s="28" t="str">
        <x:v>实验流程与机器可执行协议</x:v>
      </x:c>
      <x:c r="D87" s="28" t="str">
        <x:v>协议语义与类型系统</x:v>
      </x:c>
      <x:c r="E87" s="28" t="str">
        <x:v>协议与知识表示</x:v>
      </x:c>
      <x:c r="F87" s="28" t="str">
        <x:v>参数模式</x:v>
      </x:c>
      <x:c r="G87" s="28" t="str">
        <x:v>将“参数模式”表示为机器可读、可验证、可版本化的协议元素，并与设备能力、数据与审计轨迹绑定。</x:v>
      </x:c>
      <x:c r="H87" s="28" t="str">
        <x:v>输入/输出、单位、前后置条件、异常与验收标准能否被机器检查？</x:v>
      </x:c>
      <x:c r="I87" s="28" t="str">
        <x:v>协议验证通过率；设备映射成功率；单位错误率；可重放率；版本可追溯率</x:v>
      </x:c>
      <x:c r="J87" s="64" t="str">
        <x:v>基础能力</x:v>
      </x:c>
      <x:c r="K87" s="64" t="str">
        <x:v>P0</x:v>
      </x:c>
      <x:c r="L87" s="28" t="str">
        <x:v>S01; S05; S25; S26; S59</x:v>
      </x:c>
      <x:c r="M87" s="28" t="str">
        <x:v>https://pubs.acs.org/doi/10.1021/acs.chemrev.4c00055</x:v>
      </x:c>
    </x:row>
    <x:row r="88" ht="48" customHeight="1">
      <x:c r="A88" s="64" t="str">
        <x:v>T0087</x:v>
      </x:c>
      <x:c r="B88" s="28" t="str">
        <x:v>实验执行与具身自动化</x:v>
      </x:c>
      <x:c r="C88" s="28" t="str">
        <x:v>实验流程与机器可执行协议</x:v>
      </x:c>
      <x:c r="D88" s="28" t="str">
        <x:v>协议语义与类型系统</x:v>
      </x:c>
      <x:c r="E88" s="28" t="str">
        <x:v>协议与知识表示</x:v>
      </x:c>
      <x:c r="F88" s="28" t="str">
        <x:v>样品模式</x:v>
      </x:c>
      <x:c r="G88" s="28" t="str">
        <x:v>将“样品模式”表示为机器可读、可验证、可版本化的协议元素，并与设备能力、数据与审计轨迹绑定。</x:v>
      </x:c>
      <x:c r="H88" s="28" t="str">
        <x:v>输入/输出、单位、前后置条件、异常与验收标准能否被机器检查？</x:v>
      </x:c>
      <x:c r="I88" s="28" t="str">
        <x:v>协议验证通过率；设备映射成功率；单位错误率；可重放率；版本可追溯率</x:v>
      </x:c>
      <x:c r="J88" s="64" t="str">
        <x:v>基础能力</x:v>
      </x:c>
      <x:c r="K88" s="64" t="str">
        <x:v>P0</x:v>
      </x:c>
      <x:c r="L88" s="28" t="str">
        <x:v>S01; S05; S25; S26; S59</x:v>
      </x:c>
      <x:c r="M88" s="28" t="str">
        <x:v>https://www.science.org/doi/10.1126/scirobotics.aat5559</x:v>
      </x:c>
    </x:row>
    <x:row r="89" ht="48" customHeight="1">
      <x:c r="A89" s="64" t="str">
        <x:v>T0088</x:v>
      </x:c>
      <x:c r="B89" s="28" t="str">
        <x:v>实验执行与具身自动化</x:v>
      </x:c>
      <x:c r="C89" s="28" t="str">
        <x:v>实验流程与机器可执行协议</x:v>
      </x:c>
      <x:c r="D89" s="28" t="str">
        <x:v>协议语义与类型系统</x:v>
      </x:c>
      <x:c r="E89" s="28" t="str">
        <x:v>协议与知识表示</x:v>
      </x:c>
      <x:c r="F89" s="28" t="str">
        <x:v>物料身份模式</x:v>
      </x:c>
      <x:c r="G89" s="28" t="str">
        <x:v>将“物料身份模式”表示为机器可读、可验证、可版本化的协议元素，并与设备能力、数据与审计轨迹绑定。</x:v>
      </x:c>
      <x:c r="H89" s="28" t="str">
        <x:v>输入/输出、单位、前后置条件、异常与验收标准能否被机器检查？</x:v>
      </x:c>
      <x:c r="I89" s="28" t="str">
        <x:v>协议验证通过率；设备映射成功率；单位错误率；可重放率；版本可追溯率</x:v>
      </x:c>
      <x:c r="J89" s="64" t="str">
        <x:v>基础能力</x:v>
      </x:c>
      <x:c r="K89" s="64" t="str">
        <x:v>P0</x:v>
      </x:c>
      <x:c r="L89" s="28" t="str">
        <x:v>S01; S05; S25; S26; S59</x:v>
      </x:c>
      <x:c r="M89" s="28" t="str">
        <x:v>https://www.researchobject.org/ro-crate/specification/1.1/provenance.html</x:v>
      </x:c>
    </x:row>
    <x:row r="90" ht="48" customHeight="1">
      <x:c r="A90" s="64" t="str">
        <x:v>T0089</x:v>
      </x:c>
      <x:c r="B90" s="28" t="str">
        <x:v>实验执行与具身自动化</x:v>
      </x:c>
      <x:c r="C90" s="28" t="str">
        <x:v>实验流程与机器可执行协议</x:v>
      </x:c>
      <x:c r="D90" s="28" t="str">
        <x:v>协议语义与类型系统</x:v>
      </x:c>
      <x:c r="E90" s="28" t="str">
        <x:v>协议与知识表示</x:v>
      </x:c>
      <x:c r="F90" s="28" t="str">
        <x:v>设备能力模式</x:v>
      </x:c>
      <x:c r="G90" s="28" t="str">
        <x:v>将“设备能力模式”表示为机器可读、可验证、可版本化的协议元素，并与设备能力、数据与审计轨迹绑定。</x:v>
      </x:c>
      <x:c r="H90" s="28" t="str">
        <x:v>输入/输出、单位、前后置条件、异常与验收标准能否被机器检查？</x:v>
      </x:c>
      <x:c r="I90" s="28" t="str">
        <x:v>协议验证通过率；设备映射成功率；单位错误率；可重放率；版本可追溯率</x:v>
      </x:c>
      <x:c r="J90" s="64" t="str">
        <x:v>基础能力</x:v>
      </x:c>
      <x:c r="K90" s="64" t="str">
        <x:v>P0</x:v>
      </x:c>
      <x:c r="L90" s="28" t="str">
        <x:v>S01; S05; S25; S26; S59</x:v>
      </x:c>
      <x:c r="M90" s="28" t="str">
        <x:v>https://sila-standard.com/standards/</x:v>
      </x:c>
    </x:row>
    <x:row r="91" ht="48" customHeight="1">
      <x:c r="A91" s="64" t="str">
        <x:v>T0090</x:v>
      </x:c>
      <x:c r="B91" s="28" t="str">
        <x:v>实验执行与具身自动化</x:v>
      </x:c>
      <x:c r="C91" s="28" t="str">
        <x:v>实验流程与机器可执行协议</x:v>
      </x:c>
      <x:c r="D91" s="28" t="str">
        <x:v>协议语义与类型系统</x:v>
      </x:c>
      <x:c r="E91" s="28" t="str">
        <x:v>协议与知识表示</x:v>
      </x:c>
      <x:c r="F91" s="28" t="str">
        <x:v>前置条件</x:v>
      </x:c>
      <x:c r="G91" s="28" t="str">
        <x:v>将“前置条件”表示为机器可读、可验证、可版本化的协议元素，并与设备能力、数据与审计轨迹绑定。</x:v>
      </x:c>
      <x:c r="H91" s="28" t="str">
        <x:v>输入/输出、单位、前后置条件、异常与验收标准能否被机器检查？</x:v>
      </x:c>
      <x:c r="I91" s="28" t="str">
        <x:v>协议验证通过率；设备映射成功率；单位错误率；可重放率；版本可追溯率</x:v>
      </x:c>
      <x:c r="J91" s="64" t="str">
        <x:v>基础能力</x:v>
      </x:c>
      <x:c r="K91" s="64" t="str">
        <x:v>P0</x:v>
      </x:c>
      <x:c r="L91" s="28" t="str">
        <x:v>S01; S05; S25; S26; S59</x:v>
      </x:c>
      <x:c r="M91" s="28" t="str">
        <x:v>https://arxiv.org/abs/2411.00444</x:v>
      </x:c>
    </x:row>
    <x:row r="92" ht="48" customHeight="1">
      <x:c r="A92" s="64" t="str">
        <x:v>T0091</x:v>
      </x:c>
      <x:c r="B92" s="28" t="str">
        <x:v>实验执行与具身自动化</x:v>
      </x:c>
      <x:c r="C92" s="28" t="str">
        <x:v>实验流程与机器可执行协议</x:v>
      </x:c>
      <x:c r="D92" s="28" t="str">
        <x:v>控制流与资源约束</x:v>
      </x:c>
      <x:c r="E92" s="28" t="str">
        <x:v>协议与知识表示</x:v>
      </x:c>
      <x:c r="F92" s="28" t="str">
        <x:v>后置条件</x:v>
      </x:c>
      <x:c r="G92" s="28" t="str">
        <x:v>将“后置条件”表示为机器可读、可验证、可版本化的协议元素，并与设备能力、数据与审计轨迹绑定。</x:v>
      </x:c>
      <x:c r="H92" s="28" t="str">
        <x:v>输入/输出、单位、前后置条件、异常与验收标准能否被机器检查？</x:v>
      </x:c>
      <x:c r="I92" s="28" t="str">
        <x:v>协议验证通过率；设备映射成功率；单位错误率；可重放率；版本可追溯率</x:v>
      </x:c>
      <x:c r="J92" s="64" t="str">
        <x:v>基础能力</x:v>
      </x:c>
      <x:c r="K92" s="64" t="str">
        <x:v>P1</x:v>
      </x:c>
      <x:c r="L92" s="28" t="str">
        <x:v>S01; S05; S25; S26; S59</x:v>
      </x:c>
      <x:c r="M92" s="28" t="str">
        <x:v>https://pubs.acs.org/doi/10.1021/acs.chemrev.4c00055</x:v>
      </x:c>
    </x:row>
    <x:row r="93" ht="48" customHeight="1">
      <x:c r="A93" s="64" t="str">
        <x:v>T0092</x:v>
      </x:c>
      <x:c r="B93" s="28" t="str">
        <x:v>实验执行与具身自动化</x:v>
      </x:c>
      <x:c r="C93" s="28" t="str">
        <x:v>实验流程与机器可执行协议</x:v>
      </x:c>
      <x:c r="D93" s="28" t="str">
        <x:v>控制流与资源约束</x:v>
      </x:c>
      <x:c r="E93" s="28" t="str">
        <x:v>协议与知识表示</x:v>
      </x:c>
      <x:c r="F93" s="28" t="str">
        <x:v>不变量</x:v>
      </x:c>
      <x:c r="G93" s="28" t="str">
        <x:v>将“不变量”表示为机器可读、可验证、可版本化的协议元素，并与设备能力、数据与审计轨迹绑定。</x:v>
      </x:c>
      <x:c r="H93" s="28" t="str">
        <x:v>输入/输出、单位、前后置条件、异常与验收标准能否被机器检查？</x:v>
      </x:c>
      <x:c r="I93" s="28" t="str">
        <x:v>协议验证通过率；设备映射成功率；单位错误率；可重放率；版本可追溯率</x:v>
      </x:c>
      <x:c r="J93" s="64" t="str">
        <x:v>基础能力</x:v>
      </x:c>
      <x:c r="K93" s="64" t="str">
        <x:v>P1</x:v>
      </x:c>
      <x:c r="L93" s="28" t="str">
        <x:v>S01; S05; S25; S26; S59</x:v>
      </x:c>
      <x:c r="M93" s="28" t="str">
        <x:v>https://www.science.org/doi/10.1126/scirobotics.aat5559</x:v>
      </x:c>
    </x:row>
    <x:row r="94" ht="48" customHeight="1">
      <x:c r="A94" s="64" t="str">
        <x:v>T0093</x:v>
      </x:c>
      <x:c r="B94" s="28" t="str">
        <x:v>实验执行与具身自动化</x:v>
      </x:c>
      <x:c r="C94" s="28" t="str">
        <x:v>实验流程与机器可执行协议</x:v>
      </x:c>
      <x:c r="D94" s="28" t="str">
        <x:v>控制流与资源约束</x:v>
      </x:c>
      <x:c r="E94" s="28" t="str">
        <x:v>协议与知识表示</x:v>
      </x:c>
      <x:c r="F94" s="28" t="str">
        <x:v>条件分支</x:v>
      </x:c>
      <x:c r="G94" s="28" t="str">
        <x:v>将“条件分支”表示为机器可读、可验证、可版本化的协议元素，并与设备能力、数据与审计轨迹绑定。</x:v>
      </x:c>
      <x:c r="H94" s="28" t="str">
        <x:v>输入/输出、单位、前后置条件、异常与验收标准能否被机器检查？</x:v>
      </x:c>
      <x:c r="I94" s="28" t="str">
        <x:v>协议验证通过率；设备映射成功率；单位错误率；可重放率；版本可追溯率</x:v>
      </x:c>
      <x:c r="J94" s="64" t="str">
        <x:v>工程化关键</x:v>
      </x:c>
      <x:c r="K94" s="64" t="str">
        <x:v>P1</x:v>
      </x:c>
      <x:c r="L94" s="28" t="str">
        <x:v>S01; S05; S25; S26; S59</x:v>
      </x:c>
      <x:c r="M94" s="28" t="str">
        <x:v>https://www.researchobject.org/ro-crate/specification/1.1/provenance.html</x:v>
      </x:c>
    </x:row>
    <x:row r="95" ht="48" customHeight="1">
      <x:c r="A95" s="64" t="str">
        <x:v>T0094</x:v>
      </x:c>
      <x:c r="B95" s="28" t="str">
        <x:v>实验执行与具身自动化</x:v>
      </x:c>
      <x:c r="C95" s="28" t="str">
        <x:v>实验流程与机器可执行协议</x:v>
      </x:c>
      <x:c r="D95" s="28" t="str">
        <x:v>控制流与资源约束</x:v>
      </x:c>
      <x:c r="E95" s="28" t="str">
        <x:v>协议与知识表示</x:v>
      </x:c>
      <x:c r="F95" s="28" t="str">
        <x:v>循环</x:v>
      </x:c>
      <x:c r="G95" s="28" t="str">
        <x:v>将“循环”表示为机器可读、可验证、可版本化的协议元素，并与设备能力、数据与审计轨迹绑定。</x:v>
      </x:c>
      <x:c r="H95" s="28" t="str">
        <x:v>输入/输出、单位、前后置条件、异常与验收标准能否被机器检查？</x:v>
      </x:c>
      <x:c r="I95" s="28" t="str">
        <x:v>协议验证通过率；设备映射成功率；单位错误率；可重放率；版本可追溯率</x:v>
      </x:c>
      <x:c r="J95" s="64" t="str">
        <x:v>工程化关键</x:v>
      </x:c>
      <x:c r="K95" s="64" t="str">
        <x:v>P1</x:v>
      </x:c>
      <x:c r="L95" s="28" t="str">
        <x:v>S01; S05; S25; S26; S59</x:v>
      </x:c>
      <x:c r="M95" s="28" t="str">
        <x:v>https://sila-standard.com/standards/</x:v>
      </x:c>
    </x:row>
    <x:row r="96" ht="48" customHeight="1">
      <x:c r="A96" s="64" t="str">
        <x:v>T0095</x:v>
      </x:c>
      <x:c r="B96" s="28" t="str">
        <x:v>实验执行与具身自动化</x:v>
      </x:c>
      <x:c r="C96" s="28" t="str">
        <x:v>实验流程与机器可执行协议</x:v>
      </x:c>
      <x:c r="D96" s="28" t="str">
        <x:v>控制流与资源约束</x:v>
      </x:c>
      <x:c r="E96" s="28" t="str">
        <x:v>协议与知识表示</x:v>
      </x:c>
      <x:c r="F96" s="28" t="str">
        <x:v>并行步骤</x:v>
      </x:c>
      <x:c r="G96" s="28" t="str">
        <x:v>将“并行步骤”表示为机器可读、可验证、可版本化的协议元素，并与设备能力、数据与审计轨迹绑定。</x:v>
      </x:c>
      <x:c r="H96" s="28" t="str">
        <x:v>输入/输出、单位、前后置条件、异常与验收标准能否被机器检查？</x:v>
      </x:c>
      <x:c r="I96" s="28" t="str">
        <x:v>协议验证通过率；设备映射成功率；单位错误率；可重放率；版本可追溯率</x:v>
      </x:c>
      <x:c r="J96" s="64" t="str">
        <x:v>工程化关键</x:v>
      </x:c>
      <x:c r="K96" s="64" t="str">
        <x:v>P1</x:v>
      </x:c>
      <x:c r="L96" s="28" t="str">
        <x:v>S01; S05; S25; S26; S59</x:v>
      </x:c>
      <x:c r="M96" s="28" t="str">
        <x:v>https://arxiv.org/abs/2411.00444</x:v>
      </x:c>
    </x:row>
    <x:row r="97" ht="48" customHeight="1">
      <x:c r="A97" s="64" t="str">
        <x:v>T0096</x:v>
      </x:c>
      <x:c r="B97" s="28" t="str">
        <x:v>实验执行与具身自动化</x:v>
      </x:c>
      <x:c r="C97" s="28" t="str">
        <x:v>实验流程与机器可执行协议</x:v>
      </x:c>
      <x:c r="D97" s="28" t="str">
        <x:v>控制流与资源约束</x:v>
      </x:c>
      <x:c r="E97" s="28" t="str">
        <x:v>协议与知识表示</x:v>
      </x:c>
      <x:c r="F97" s="28" t="str">
        <x:v>同步屏障</x:v>
      </x:c>
      <x:c r="G97" s="28" t="str">
        <x:v>将“同步屏障”表示为机器可读、可验证、可版本化的协议元素，并与设备能力、数据与审计轨迹绑定。</x:v>
      </x:c>
      <x:c r="H97" s="28" t="str">
        <x:v>输入/输出、单位、前后置条件、异常与验收标准能否被机器检查？</x:v>
      </x:c>
      <x:c r="I97" s="28" t="str">
        <x:v>协议验证通过率；设备映射成功率；单位错误率；可重放率；版本可追溯率</x:v>
      </x:c>
      <x:c r="J97" s="64" t="str">
        <x:v>工程化关键</x:v>
      </x:c>
      <x:c r="K97" s="64" t="str">
        <x:v>P1</x:v>
      </x:c>
      <x:c r="L97" s="28" t="str">
        <x:v>S01; S05; S25; S26; S59</x:v>
      </x:c>
      <x:c r="M97" s="28" t="str">
        <x:v>https://pubs.acs.org/doi/10.1021/acs.chemrev.4c00055</x:v>
      </x:c>
    </x:row>
    <x:row r="98" ht="48" customHeight="1">
      <x:c r="A98" s="64" t="str">
        <x:v>T0097</x:v>
      </x:c>
      <x:c r="B98" s="28" t="str">
        <x:v>实验执行与具身自动化</x:v>
      </x:c>
      <x:c r="C98" s="28" t="str">
        <x:v>实验流程与机器可执行协议</x:v>
      </x:c>
      <x:c r="D98" s="28" t="str">
        <x:v>控制流与资源约束</x:v>
      </x:c>
      <x:c r="E98" s="28" t="str">
        <x:v>协议与知识表示</x:v>
      </x:c>
      <x:c r="F98" s="28" t="str">
        <x:v>时间约束</x:v>
      </x:c>
      <x:c r="G98" s="28" t="str">
        <x:v>将“时间约束”表示为机器可读、可验证、可版本化的协议元素，并与设备能力、数据与审计轨迹绑定。</x:v>
      </x:c>
      <x:c r="H98" s="28" t="str">
        <x:v>输入/输出、单位、前后置条件、异常与验收标准能否被机器检查？</x:v>
      </x:c>
      <x:c r="I98" s="28" t="str">
        <x:v>协议验证通过率；设备映射成功率；单位错误率；可重放率；版本可追溯率</x:v>
      </x:c>
      <x:c r="J98" s="64" t="str">
        <x:v>工程化关键</x:v>
      </x:c>
      <x:c r="K98" s="64" t="str">
        <x:v>P1</x:v>
      </x:c>
      <x:c r="L98" s="28" t="str">
        <x:v>S01; S05; S25; S26; S59</x:v>
      </x:c>
      <x:c r="M98" s="28" t="str">
        <x:v>https://www.science.org/doi/10.1126/scirobotics.aat5559</x:v>
      </x:c>
    </x:row>
    <x:row r="99" ht="48" customHeight="1">
      <x:c r="A99" s="64" t="str">
        <x:v>T0098</x:v>
      </x:c>
      <x:c r="B99" s="28" t="str">
        <x:v>实验执行与具身自动化</x:v>
      </x:c>
      <x:c r="C99" s="28" t="str">
        <x:v>实验流程与机器可执行协议</x:v>
      </x:c>
      <x:c r="D99" s="28" t="str">
        <x:v>控制流与资源约束</x:v>
      </x:c>
      <x:c r="E99" s="28" t="str">
        <x:v>协议与知识表示</x:v>
      </x:c>
      <x:c r="F99" s="28" t="str">
        <x:v>资源锁</x:v>
      </x:c>
      <x:c r="G99" s="28" t="str">
        <x:v>将“资源锁”表示为机器可读、可验证、可版本化的协议元素，并与设备能力、数据与审计轨迹绑定。</x:v>
      </x:c>
      <x:c r="H99" s="28" t="str">
        <x:v>输入/输出、单位、前后置条件、异常与验收标准能否被机器检查？</x:v>
      </x:c>
      <x:c r="I99" s="28" t="str">
        <x:v>协议验证通过率；设备映射成功率；单位错误率；可重放率；版本可追溯率</x:v>
      </x:c>
      <x:c r="J99" s="64" t="str">
        <x:v>工程化关键</x:v>
      </x:c>
      <x:c r="K99" s="64" t="str">
        <x:v>P1</x:v>
      </x:c>
      <x:c r="L99" s="28" t="str">
        <x:v>S01; S05; S25; S26; S59</x:v>
      </x:c>
      <x:c r="M99" s="28" t="str">
        <x:v>https://www.researchobject.org/ro-crate/specification/1.1/provenance.html</x:v>
      </x:c>
    </x:row>
    <x:row r="100" ht="48" customHeight="1">
      <x:c r="A100" s="64" t="str">
        <x:v>T0099</x:v>
      </x:c>
      <x:c r="B100" s="28" t="str">
        <x:v>实验执行与具身自动化</x:v>
      </x:c>
      <x:c r="C100" s="28" t="str">
        <x:v>实验流程与机器可执行协议</x:v>
      </x:c>
      <x:c r="D100" s="28" t="str">
        <x:v>控制流与资源约束</x:v>
      </x:c>
      <x:c r="E100" s="28" t="str">
        <x:v>协议与知识表示</x:v>
      </x:c>
      <x:c r="F100" s="28" t="str">
        <x:v>错误处理</x:v>
      </x:c>
      <x:c r="G100" s="28" t="str">
        <x:v>将“错误处理”表示为机器可读、可验证、可版本化的协议元素，并与设备能力、数据与审计轨迹绑定。</x:v>
      </x:c>
      <x:c r="H100" s="28" t="str">
        <x:v>输入/输出、单位、前后置条件、异常与验收标准能否被机器检查？</x:v>
      </x:c>
      <x:c r="I100" s="28" t="str">
        <x:v>协议验证通过率；设备映射成功率；单位错误率；可重放率；版本可追溯率</x:v>
      </x:c>
      <x:c r="J100" s="64" t="str">
        <x:v>工程化关键</x:v>
      </x:c>
      <x:c r="K100" s="64" t="str">
        <x:v>P1</x:v>
      </x:c>
      <x:c r="L100" s="28" t="str">
        <x:v>S01; S05; S25; S26; S59</x:v>
      </x:c>
      <x:c r="M100" s="28" t="str">
        <x:v>https://sila-standard.com/standards/</x:v>
      </x:c>
    </x:row>
    <x:row r="101" ht="48" customHeight="1">
      <x:c r="A101" s="64" t="str">
        <x:v>T0100</x:v>
      </x:c>
      <x:c r="B101" s="28" t="str">
        <x:v>实验执行与具身自动化</x:v>
      </x:c>
      <x:c r="C101" s="28" t="str">
        <x:v>实验流程与机器可执行协议</x:v>
      </x:c>
      <x:c r="D101" s="28" t="str">
        <x:v>控制流与资源约束</x:v>
      </x:c>
      <x:c r="E101" s="28" t="str">
        <x:v>协议与知识表示</x:v>
      </x:c>
      <x:c r="F101" s="28" t="str">
        <x:v>重试策略</x:v>
      </x:c>
      <x:c r="G101" s="28" t="str">
        <x:v>将“重试策略”表示为机器可读、可验证、可版本化的协议元素，并与设备能力、数据与审计轨迹绑定。</x:v>
      </x:c>
      <x:c r="H101" s="28" t="str">
        <x:v>输入/输出、单位、前后置条件、异常与验收标准能否被机器检查？</x:v>
      </x:c>
      <x:c r="I101" s="28" t="str">
        <x:v>协议验证通过率；设备映射成功率；单位错误率；可重放率；版本可追溯率</x:v>
      </x:c>
      <x:c r="J101" s="64" t="str">
        <x:v>工程化关键</x:v>
      </x:c>
      <x:c r="K101" s="64" t="str">
        <x:v>P1</x:v>
      </x:c>
      <x:c r="L101" s="28" t="str">
        <x:v>S01; S05; S25; S26; S59</x:v>
      </x:c>
      <x:c r="M101" s="28" t="str">
        <x:v>https://arxiv.org/abs/2411.00444</x:v>
      </x:c>
    </x:row>
    <x:row r="102" ht="48" customHeight="1">
      <x:c r="A102" s="64" t="str">
        <x:v>T0101</x:v>
      </x:c>
      <x:c r="B102" s="28" t="str">
        <x:v>实验执行与具身自动化</x:v>
      </x:c>
      <x:c r="C102" s="28" t="str">
        <x:v>实验流程与机器可执行协议</x:v>
      </x:c>
      <x:c r="D102" s="28" t="str">
        <x:v>验证、版本与复用</x:v>
      </x:c>
      <x:c r="E102" s="28" t="str">
        <x:v>协议与知识表示</x:v>
      </x:c>
      <x:c r="F102" s="28" t="str">
        <x:v>补偿事务</x:v>
      </x:c>
      <x:c r="G102" s="28" t="str">
        <x:v>将“补偿事务”表示为机器可读、可验证、可版本化的协议元素，并与设备能力、数据与审计轨迹绑定。</x:v>
      </x:c>
      <x:c r="H102" s="28" t="str">
        <x:v>输入/输出、单位、前后置条件、异常与验收标准能否被机器检查？</x:v>
      </x:c>
      <x:c r="I102" s="28" t="str">
        <x:v>协议验证通过率；设备映射成功率；单位错误率；可重放率；版本可追溯率</x:v>
      </x:c>
      <x:c r="J102" s="64" t="str">
        <x:v>工程化关键</x:v>
      </x:c>
      <x:c r="K102" s="64" t="str">
        <x:v>P1</x:v>
      </x:c>
      <x:c r="L102" s="28" t="str">
        <x:v>S01; S05; S25; S26; S59</x:v>
      </x:c>
      <x:c r="M102" s="28" t="str">
        <x:v>https://pubs.acs.org/doi/10.1021/acs.chemrev.4c00055</x:v>
      </x:c>
    </x:row>
    <x:row r="103" ht="48" customHeight="1">
      <x:c r="A103" s="64" t="str">
        <x:v>T0102</x:v>
      </x:c>
      <x:c r="B103" s="28" t="str">
        <x:v>实验执行与具身自动化</x:v>
      </x:c>
      <x:c r="C103" s="28" t="str">
        <x:v>实验流程与机器可执行协议</x:v>
      </x:c>
      <x:c r="D103" s="28" t="str">
        <x:v>验证、版本与复用</x:v>
      </x:c>
      <x:c r="E103" s="28" t="str">
        <x:v>协议与知识表示</x:v>
      </x:c>
      <x:c r="F103" s="28" t="str">
        <x:v>异常分类法</x:v>
      </x:c>
      <x:c r="G103" s="28" t="str">
        <x:v>将“异常分类法”表示为机器可读、可验证、可版本化的协议元素，并与设备能力、数据与审计轨迹绑定。</x:v>
      </x:c>
      <x:c r="H103" s="28" t="str">
        <x:v>输入/输出、单位、前后置条件、异常与验收标准能否被机器检查？</x:v>
      </x:c>
      <x:c r="I103" s="28" t="str">
        <x:v>协议验证通过率；设备映射成功率；单位错误率；可重放率；版本可追溯率</x:v>
      </x:c>
      <x:c r="J103" s="64" t="str">
        <x:v>工程化关键</x:v>
      </x:c>
      <x:c r="K103" s="64" t="str">
        <x:v>P1</x:v>
      </x:c>
      <x:c r="L103" s="28" t="str">
        <x:v>S01; S05; S25; S26; S59</x:v>
      </x:c>
      <x:c r="M103" s="28" t="str">
        <x:v>https://www.science.org/doi/10.1126/scirobotics.aat5559</x:v>
      </x:c>
    </x:row>
    <x:row r="104" ht="48" customHeight="1">
      <x:c r="A104" s="64" t="str">
        <x:v>T0103</x:v>
      </x:c>
      <x:c r="B104" s="28" t="str">
        <x:v>实验执行与具身自动化</x:v>
      </x:c>
      <x:c r="C104" s="28" t="str">
        <x:v>实验流程与机器可执行协议</x:v>
      </x:c>
      <x:c r="D104" s="28" t="str">
        <x:v>验证、版本与复用</x:v>
      </x:c>
      <x:c r="E104" s="28" t="str">
        <x:v>协议与知识表示</x:v>
      </x:c>
      <x:c r="F104" s="28" t="str">
        <x:v>协议验证</x:v>
      </x:c>
      <x:c r="G104" s="28" t="str">
        <x:v>将“协议验证”表示为机器可读、可验证、可版本化的协议元素，并与设备能力、数据与审计轨迹绑定。</x:v>
      </x:c>
      <x:c r="H104" s="28" t="str">
        <x:v>输入/输出、单位、前后置条件、异常与验收标准能否被机器检查？</x:v>
      </x:c>
      <x:c r="I104" s="28" t="str">
        <x:v>协议验证通过率；设备映射成功率；单位错误率；可重放率；版本可追溯率</x:v>
      </x:c>
      <x:c r="J104" s="64" t="str">
        <x:v>工程化关键</x:v>
      </x:c>
      <x:c r="K104" s="64" t="str">
        <x:v>P1</x:v>
      </x:c>
      <x:c r="L104" s="28" t="str">
        <x:v>S01; S05; S25; S26; S59</x:v>
      </x:c>
      <x:c r="M104" s="28" t="str">
        <x:v>https://www.researchobject.org/ro-crate/specification/1.1/provenance.html</x:v>
      </x:c>
    </x:row>
    <x:row r="105" ht="48" customHeight="1">
      <x:c r="A105" s="64" t="str">
        <x:v>T0104</x:v>
      </x:c>
      <x:c r="B105" s="28" t="str">
        <x:v>实验执行与具身自动化</x:v>
      </x:c>
      <x:c r="C105" s="28" t="str">
        <x:v>实验流程与机器可执行协议</x:v>
      </x:c>
      <x:c r="D105" s="28" t="str">
        <x:v>验证、版本与复用</x:v>
      </x:c>
      <x:c r="E105" s="28" t="str">
        <x:v>协议与知识表示</x:v>
      </x:c>
      <x:c r="F105" s="28" t="str">
        <x:v>静态分析</x:v>
      </x:c>
      <x:c r="G105" s="28" t="str">
        <x:v>将“静态分析”表示为机器可读、可验证、可版本化的协议元素，并与设备能力、数据与审计轨迹绑定。</x:v>
      </x:c>
      <x:c r="H105" s="28" t="str">
        <x:v>输入/输出、单位、前后置条件、异常与验收标准能否被机器检查？</x:v>
      </x:c>
      <x:c r="I105" s="28" t="str">
        <x:v>协议验证通过率；设备映射成功率；单位错误率；可重放率；版本可追溯率</x:v>
      </x:c>
      <x:c r="J105" s="64" t="str">
        <x:v>工程化关键</x:v>
      </x:c>
      <x:c r="K105" s="64" t="str">
        <x:v>P1</x:v>
      </x:c>
      <x:c r="L105" s="28" t="str">
        <x:v>S01; S05; S25; S26; S59</x:v>
      </x:c>
      <x:c r="M105" s="28" t="str">
        <x:v>https://sila-standard.com/standards/</x:v>
      </x:c>
    </x:row>
    <x:row r="106" ht="48" customHeight="1">
      <x:c r="A106" s="64" t="str">
        <x:v>T0105</x:v>
      </x:c>
      <x:c r="B106" s="28" t="str">
        <x:v>实验执行与具身自动化</x:v>
      </x:c>
      <x:c r="C106" s="28" t="str">
        <x:v>实验流程与机器可执行协议</x:v>
      </x:c>
      <x:c r="D106" s="28" t="str">
        <x:v>验证、版本与复用</x:v>
      </x:c>
      <x:c r="E106" s="28" t="str">
        <x:v>协议与知识表示</x:v>
      </x:c>
      <x:c r="F106" s="28" t="str">
        <x:v>协议仿真</x:v>
      </x:c>
      <x:c r="G106" s="28" t="str">
        <x:v>将“协议仿真”表示为机器可读、可验证、可版本化的协议元素，并与设备能力、数据与审计轨迹绑定。</x:v>
      </x:c>
      <x:c r="H106" s="28" t="str">
        <x:v>输入/输出、单位、前后置条件、异常与验收标准能否被机器检查？</x:v>
      </x:c>
      <x:c r="I106" s="28" t="str">
        <x:v>协议验证通过率；设备映射成功率；单位错误率；可重放率；版本可追溯率</x:v>
      </x:c>
      <x:c r="J106" s="64" t="str">
        <x:v>工程化关键</x:v>
      </x:c>
      <x:c r="K106" s="64" t="str">
        <x:v>P1</x:v>
      </x:c>
      <x:c r="L106" s="28" t="str">
        <x:v>S01; S05; S25; S26; S59</x:v>
      </x:c>
      <x:c r="M106" s="28" t="str">
        <x:v>https://arxiv.org/abs/2411.00444</x:v>
      </x:c>
    </x:row>
    <x:row r="107" ht="48" customHeight="1">
      <x:c r="A107" s="64" t="str">
        <x:v>T0106</x:v>
      </x:c>
      <x:c r="B107" s="28" t="str">
        <x:v>实验执行与具身自动化</x:v>
      </x:c>
      <x:c r="C107" s="28" t="str">
        <x:v>实验流程与机器可执行协议</x:v>
      </x:c>
      <x:c r="D107" s="28" t="str">
        <x:v>验证、版本与复用</x:v>
      </x:c>
      <x:c r="E107" s="28" t="str">
        <x:v>协议与知识表示</x:v>
      </x:c>
      <x:c r="F107" s="28" t="str">
        <x:v>版本控制</x:v>
      </x:c>
      <x:c r="G107" s="28" t="str">
        <x:v>将“版本控制”表示为机器可读、可验证、可版本化的协议元素，并与设备能力、数据与审计轨迹绑定。</x:v>
      </x:c>
      <x:c r="H107" s="28" t="str">
        <x:v>输入/输出、单位、前后置条件、异常与验收标准能否被机器检查？</x:v>
      </x:c>
      <x:c r="I107" s="28" t="str">
        <x:v>协议验证通过率；设备映射成功率；单位错误率；可重放率；版本可追溯率</x:v>
      </x:c>
      <x:c r="J107" s="64" t="str">
        <x:v>工程化关键</x:v>
      </x:c>
      <x:c r="K107" s="64" t="str">
        <x:v>P1</x:v>
      </x:c>
      <x:c r="L107" s="28" t="str">
        <x:v>S01; S05; S25; S26; S59</x:v>
      </x:c>
      <x:c r="M107" s="28" t="str">
        <x:v>https://pubs.acs.org/doi/10.1021/acs.chemrev.4c00055</x:v>
      </x:c>
    </x:row>
    <x:row r="108" ht="48" customHeight="1">
      <x:c r="A108" s="64" t="str">
        <x:v>T0107</x:v>
      </x:c>
      <x:c r="B108" s="28" t="str">
        <x:v>实验执行与具身自动化</x:v>
      </x:c>
      <x:c r="C108" s="28" t="str">
        <x:v>实验流程与机器可执行协议</x:v>
      </x:c>
      <x:c r="D108" s="28" t="str">
        <x:v>验证、版本与复用</x:v>
      </x:c>
      <x:c r="E108" s="28" t="str">
        <x:v>协议与知识表示</x:v>
      </x:c>
      <x:c r="F108" s="28" t="str">
        <x:v>参数化模板</x:v>
      </x:c>
      <x:c r="G108" s="28" t="str">
        <x:v>将“参数化模板”表示为机器可读、可验证、可版本化的协议元素，并与设备能力、数据与审计轨迹绑定。</x:v>
      </x:c>
      <x:c r="H108" s="28" t="str">
        <x:v>输入/输出、单位、前后置条件、异常与验收标准能否被机器检查？</x:v>
      </x:c>
      <x:c r="I108" s="28" t="str">
        <x:v>协议验证通过率；设备映射成功率；单位错误率；可重放率；版本可追溯率</x:v>
      </x:c>
      <x:c r="J108" s="64" t="str">
        <x:v>工程化关键</x:v>
      </x:c>
      <x:c r="K108" s="64" t="str">
        <x:v>P1</x:v>
      </x:c>
      <x:c r="L108" s="28" t="str">
        <x:v>S01; S05; S25; S26; S59</x:v>
      </x:c>
      <x:c r="M108" s="28" t="str">
        <x:v>https://www.science.org/doi/10.1126/scirobotics.aat5559</x:v>
      </x:c>
    </x:row>
    <x:row r="109" ht="48" customHeight="1">
      <x:c r="A109" s="64" t="str">
        <x:v>T0108</x:v>
      </x:c>
      <x:c r="B109" s="28" t="str">
        <x:v>实验执行与具身自动化</x:v>
      </x:c>
      <x:c r="C109" s="28" t="str">
        <x:v>实验流程与机器可执行协议</x:v>
      </x:c>
      <x:c r="D109" s="28" t="str">
        <x:v>验证、版本与复用</x:v>
      </x:c>
      <x:c r="E109" s="28" t="str">
        <x:v>协议与知识表示</x:v>
      </x:c>
      <x:c r="F109" s="28" t="str">
        <x:v>子协议模块化</x:v>
      </x:c>
      <x:c r="G109" s="28" t="str">
        <x:v>将“子协议模块化”表示为机器可读、可验证、可版本化的协议元素，并与设备能力、数据与审计轨迹绑定。</x:v>
      </x:c>
      <x:c r="H109" s="28" t="str">
        <x:v>输入/输出、单位、前后置条件、异常与验收标准能否被机器检查？</x:v>
      </x:c>
      <x:c r="I109" s="28" t="str">
        <x:v>协议验证通过率；设备映射成功率；单位错误率；可重放率；版本可追溯率</x:v>
      </x:c>
      <x:c r="J109" s="64" t="str">
        <x:v>工程化关键</x:v>
      </x:c>
      <x:c r="K109" s="64" t="str">
        <x:v>P1</x:v>
      </x:c>
      <x:c r="L109" s="28" t="str">
        <x:v>S01; S05; S25; S26; S59</x:v>
      </x:c>
      <x:c r="M109" s="28" t="str">
        <x:v>https://www.researchobject.org/ro-crate/specification/1.1/provenance.html</x:v>
      </x:c>
    </x:row>
    <x:row r="110" ht="48" customHeight="1">
      <x:c r="A110" s="64" t="str">
        <x:v>T0109</x:v>
      </x:c>
      <x:c r="B110" s="28" t="str">
        <x:v>实验执行与具身自动化</x:v>
      </x:c>
      <x:c r="C110" s="28" t="str">
        <x:v>实验流程与机器可执行协议</x:v>
      </x:c>
      <x:c r="D110" s="28" t="str">
        <x:v>验证、版本与复用</x:v>
      </x:c>
      <x:c r="E110" s="28" t="str">
        <x:v>协议与知识表示</x:v>
      </x:c>
      <x:c r="F110" s="28" t="str">
        <x:v>协议—数据溯源绑定</x:v>
      </x:c>
      <x:c r="G110" s="28" t="str">
        <x:v>将“协议—数据溯源绑定”表示为机器可读、可验证、可版本化的协议元素，并与设备能力、数据与审计轨迹绑定。</x:v>
      </x:c>
      <x:c r="H110" s="28" t="str">
        <x:v>输入/输出、单位、前后置条件、异常与验收标准能否被机器检查？</x:v>
      </x:c>
      <x:c r="I110" s="28" t="str">
        <x:v>协议验证通过率；设备映射成功率；单位错误率；可重放率；版本可追溯率</x:v>
      </x:c>
      <x:c r="J110" s="64" t="str">
        <x:v>进阶能力</x:v>
      </x:c>
      <x:c r="K110" s="64" t="str">
        <x:v>P2</x:v>
      </x:c>
      <x:c r="L110" s="28" t="str">
        <x:v>S01; S05; S25; S26; S59</x:v>
      </x:c>
      <x:c r="M110" s="28" t="str">
        <x:v>https://sila-standard.com/standards/</x:v>
      </x:c>
    </x:row>
    <x:row r="111" ht="48" customHeight="1">
      <x:c r="A111" s="64" t="str">
        <x:v>T0110</x:v>
      </x:c>
      <x:c r="B111" s="28" t="str">
        <x:v>实验执行与具身自动化</x:v>
      </x:c>
      <x:c r="C111" s="28" t="str">
        <x:v>实验流程与机器可执行协议</x:v>
      </x:c>
      <x:c r="D111" s="28" t="str">
        <x:v>验证、版本与复用</x:v>
      </x:c>
      <x:c r="E111" s="28" t="str">
        <x:v>协议与知识表示</x:v>
      </x:c>
      <x:c r="F111" s="28" t="str">
        <x:v>语义翻译</x:v>
      </x:c>
      <x:c r="G111" s="28" t="str">
        <x:v>将“语义翻译”表示为机器可读、可验证、可版本化的协议元素，并与设备能力、数据与审计轨迹绑定。</x:v>
      </x:c>
      <x:c r="H111" s="28" t="str">
        <x:v>输入/输出、单位、前后置条件、异常与验收标准能否被机器检查？</x:v>
      </x:c>
      <x:c r="I111" s="28" t="str">
        <x:v>协议验证通过率；设备映射成功率；单位错误率；可重放率；版本可追溯率</x:v>
      </x:c>
      <x:c r="J111" s="64" t="str">
        <x:v>进阶能力</x:v>
      </x:c>
      <x:c r="K111" s="64" t="str">
        <x:v>P2</x:v>
      </x:c>
      <x:c r="L111" s="28" t="str">
        <x:v>S01; S05; S25; S26; S59</x:v>
      </x:c>
      <x:c r="M111" s="28" t="str">
        <x:v>https://arxiv.org/abs/2411.00444</x:v>
      </x:c>
    </x:row>
    <x:row r="112" ht="48" customHeight="1">
      <x:c r="A112" s="64" t="str">
        <x:v>T0111</x:v>
      </x:c>
      <x:c r="B112" s="28" t="str">
        <x:v>实验执行与具身自动化</x:v>
      </x:c>
      <x:c r="C112" s="28" t="str">
        <x:v>实验流程与机器可执行协议</x:v>
      </x:c>
      <x:c r="D112" s="28" t="str">
        <x:v>自然语言、设备映射与合规</x:v>
      </x:c>
      <x:c r="E112" s="28" t="str">
        <x:v>协议与知识表示</x:v>
      </x:c>
      <x:c r="F112" s="28" t="str">
        <x:v>自然语言转协议</x:v>
      </x:c>
      <x:c r="G112" s="28" t="str">
        <x:v>将“自然语言转协议”表示为机器可读、可验证、可版本化的协议元素，并与设备能力、数据与审计轨迹绑定。</x:v>
      </x:c>
      <x:c r="H112" s="28" t="str">
        <x:v>输入/输出、单位、前后置条件、异常与验收标准能否被机器检查？</x:v>
      </x:c>
      <x:c r="I112" s="28" t="str">
        <x:v>协议验证通过率；设备映射成功率；单位错误率；可重放率；版本可追溯率</x:v>
      </x:c>
      <x:c r="J112" s="64" t="str">
        <x:v>进阶能力</x:v>
      </x:c>
      <x:c r="K112" s="64" t="str">
        <x:v>P2</x:v>
      </x:c>
      <x:c r="L112" s="28" t="str">
        <x:v>S01; S05; S25; S26; S59</x:v>
      </x:c>
      <x:c r="M112" s="28" t="str">
        <x:v>https://pubs.acs.org/doi/10.1021/acs.chemrev.4c00055</x:v>
      </x:c>
    </x:row>
    <x:row r="113" ht="48" customHeight="1">
      <x:c r="A113" s="64" t="str">
        <x:v>T0112</x:v>
      </x:c>
      <x:c r="B113" s="28" t="str">
        <x:v>实验执行与具身自动化</x:v>
      </x:c>
      <x:c r="C113" s="28" t="str">
        <x:v>实验流程与机器可执行协议</x:v>
      </x:c>
      <x:c r="D113" s="28" t="str">
        <x:v>自然语言、设备映射与合规</x:v>
      </x:c>
      <x:c r="E113" s="28" t="str">
        <x:v>协议与知识表示</x:v>
      </x:c>
      <x:c r="F113" s="28" t="str">
        <x:v>协议依赖图</x:v>
      </x:c>
      <x:c r="G113" s="28" t="str">
        <x:v>将“协议依赖图”表示为机器可读、可验证、可版本化的协议元素，并与设备能力、数据与审计轨迹绑定。</x:v>
      </x:c>
      <x:c r="H113" s="28" t="str">
        <x:v>输入/输出、单位、前后置条件、异常与验收标准能否被机器检查？</x:v>
      </x:c>
      <x:c r="I113" s="28" t="str">
        <x:v>协议验证通过率；设备映射成功率；单位错误率；可重放率；版本可追溯率</x:v>
      </x:c>
      <x:c r="J113" s="64" t="str">
        <x:v>进阶能力</x:v>
      </x:c>
      <x:c r="K113" s="64" t="str">
        <x:v>P2</x:v>
      </x:c>
      <x:c r="L113" s="28" t="str">
        <x:v>S01; S05; S25; S26; S59</x:v>
      </x:c>
      <x:c r="M113" s="28" t="str">
        <x:v>https://www.science.org/doi/10.1126/scirobotics.aat5559</x:v>
      </x:c>
    </x:row>
    <x:row r="114" ht="48" customHeight="1">
      <x:c r="A114" s="64" t="str">
        <x:v>T0113</x:v>
      </x:c>
      <x:c r="B114" s="28" t="str">
        <x:v>实验执行与具身自动化</x:v>
      </x:c>
      <x:c r="C114" s="28" t="str">
        <x:v>实验流程与机器可执行协议</x:v>
      </x:c>
      <x:c r="D114" s="28" t="str">
        <x:v>自然语言、设备映射与合规</x:v>
      </x:c>
      <x:c r="E114" s="28" t="str">
        <x:v>协议与知识表示</x:v>
      </x:c>
      <x:c r="F114" s="28" t="str">
        <x:v>自动配方合成</x:v>
      </x:c>
      <x:c r="G114" s="28" t="str">
        <x:v>将“自动配方合成”表示为机器可读、可验证、可版本化的协议元素，并与设备能力、数据与审计轨迹绑定。</x:v>
      </x:c>
      <x:c r="H114" s="28" t="str">
        <x:v>输入/输出、单位、前后置条件、异常与验收标准能否被机器检查？</x:v>
      </x:c>
      <x:c r="I114" s="28" t="str">
        <x:v>协议验证通过率；设备映射成功率；单位错误率；可重放率；版本可追溯率</x:v>
      </x:c>
      <x:c r="J114" s="64" t="str">
        <x:v>进阶能力</x:v>
      </x:c>
      <x:c r="K114" s="64" t="str">
        <x:v>P2</x:v>
      </x:c>
      <x:c r="L114" s="28" t="str">
        <x:v>S01; S05; S25; S26; S59</x:v>
      </x:c>
      <x:c r="M114" s="28" t="str">
        <x:v>https://www.researchobject.org/ro-crate/specification/1.1/provenance.html</x:v>
      </x:c>
    </x:row>
    <x:row r="115" ht="48" customHeight="1">
      <x:c r="A115" s="64" t="str">
        <x:v>T0114</x:v>
      </x:c>
      <x:c r="B115" s="28" t="str">
        <x:v>实验执行与具身自动化</x:v>
      </x:c>
      <x:c r="C115" s="28" t="str">
        <x:v>实验流程与机器可执行协议</x:v>
      </x:c>
      <x:c r="D115" s="28" t="str">
        <x:v>自然语言、设备映射与合规</x:v>
      </x:c>
      <x:c r="E115" s="28" t="str">
        <x:v>协议与知识表示</x:v>
      </x:c>
      <x:c r="F115" s="28" t="str">
        <x:v>协议参数优化</x:v>
      </x:c>
      <x:c r="G115" s="28" t="str">
        <x:v>将“协议参数优化”表示为机器可读、可验证、可版本化的协议元素，并与设备能力、数据与审计轨迹绑定。</x:v>
      </x:c>
      <x:c r="H115" s="28" t="str">
        <x:v>输入/输出、单位、前后置条件、异常与验收标准能否被机器检查？</x:v>
      </x:c>
      <x:c r="I115" s="28" t="str">
        <x:v>协议验证通过率；设备映射成功率；单位错误率；可重放率；版本可追溯率</x:v>
      </x:c>
      <x:c r="J115" s="64" t="str">
        <x:v>进阶能力</x:v>
      </x:c>
      <x:c r="K115" s="64" t="str">
        <x:v>P2</x:v>
      </x:c>
      <x:c r="L115" s="28" t="str">
        <x:v>S01; S05; S25; S26; S59</x:v>
      </x:c>
      <x:c r="M115" s="28" t="str">
        <x:v>https://sila-standard.com/standards/</x:v>
      </x:c>
    </x:row>
    <x:row r="116" ht="48" customHeight="1">
      <x:c r="A116" s="64" t="str">
        <x:v>T0115</x:v>
      </x:c>
      <x:c r="B116" s="28" t="str">
        <x:v>实验执行与具身自动化</x:v>
      </x:c>
      <x:c r="C116" s="28" t="str">
        <x:v>实验流程与机器可执行协议</x:v>
      </x:c>
      <x:c r="D116" s="28" t="str">
        <x:v>自然语言、设备映射与合规</x:v>
      </x:c>
      <x:c r="E116" s="28" t="str">
        <x:v>协议与知识表示</x:v>
      </x:c>
      <x:c r="F116" s="28" t="str">
        <x:v>协议Lint</x:v>
      </x:c>
      <x:c r="G116" s="28" t="str">
        <x:v>将“协议Lint”表示为机器可读、可验证、可版本化的协议元素，并与设备能力、数据与审计轨迹绑定。</x:v>
      </x:c>
      <x:c r="H116" s="28" t="str">
        <x:v>输入/输出、单位、前后置条件、异常与验收标准能否被机器检查？</x:v>
      </x:c>
      <x:c r="I116" s="28" t="str">
        <x:v>协议验证通过率；设备映射成功率；单位错误率；可重放率；版本可追溯率</x:v>
      </x:c>
      <x:c r="J116" s="64" t="str">
        <x:v>进阶能力</x:v>
      </x:c>
      <x:c r="K116" s="64" t="str">
        <x:v>P2</x:v>
      </x:c>
      <x:c r="L116" s="28" t="str">
        <x:v>S01; S05; S25; S26; S59</x:v>
      </x:c>
      <x:c r="M116" s="28" t="str">
        <x:v>https://arxiv.org/abs/2411.00444</x:v>
      </x:c>
    </x:row>
    <x:row r="117" ht="48" customHeight="1">
      <x:c r="A117" s="64" t="str">
        <x:v>T0116</x:v>
      </x:c>
      <x:c r="B117" s="28" t="str">
        <x:v>实验执行与具身自动化</x:v>
      </x:c>
      <x:c r="C117" s="28" t="str">
        <x:v>实验流程与机器可执行协议</x:v>
      </x:c>
      <x:c r="D117" s="28" t="str">
        <x:v>自然语言、设备映射与合规</x:v>
      </x:c>
      <x:c r="E117" s="28" t="str">
        <x:v>协议与知识表示</x:v>
      </x:c>
      <x:c r="F117" s="28" t="str">
        <x:v>协议—设备映射</x:v>
      </x:c>
      <x:c r="G117" s="28" t="str">
        <x:v>将“协议—设备映射”表示为机器可读、可验证、可版本化的协议元素，并与设备能力、数据与审计轨迹绑定。</x:v>
      </x:c>
      <x:c r="H117" s="28" t="str">
        <x:v>输入/输出、单位、前后置条件、异常与验收标准能否被机器检查？</x:v>
      </x:c>
      <x:c r="I117" s="28" t="str">
        <x:v>协议验证通过率；设备映射成功率；单位错误率；可重放率；版本可追溯率</x:v>
      </x:c>
      <x:c r="J117" s="64" t="str">
        <x:v>进阶能力</x:v>
      </x:c>
      <x:c r="K117" s="64" t="str">
        <x:v>P2</x:v>
      </x:c>
      <x:c r="L117" s="28" t="str">
        <x:v>S01; S05; S25; S26; S59</x:v>
      </x:c>
      <x:c r="M117" s="28" t="str">
        <x:v>https://pubs.acs.org/doi/10.1021/acs.chemrev.4c00055</x:v>
      </x:c>
    </x:row>
    <x:row r="118" ht="48" customHeight="1">
      <x:c r="A118" s="64" t="str">
        <x:v>T0117</x:v>
      </x:c>
      <x:c r="B118" s="28" t="str">
        <x:v>实验执行与具身自动化</x:v>
      </x:c>
      <x:c r="C118" s="28" t="str">
        <x:v>实验流程与机器可执行协议</x:v>
      </x:c>
      <x:c r="D118" s="28" t="str">
        <x:v>自然语言、设备映射与合规</x:v>
      </x:c>
      <x:c r="E118" s="28" t="str">
        <x:v>协议与知识表示</x:v>
      </x:c>
      <x:c r="F118" s="28" t="str">
        <x:v>校准要求声明</x:v>
      </x:c>
      <x:c r="G118" s="28" t="str">
        <x:v>将“校准要求声明”表示为机器可读、可验证、可版本化的协议元素，并与设备能力、数据与审计轨迹绑定。</x:v>
      </x:c>
      <x:c r="H118" s="28" t="str">
        <x:v>输入/输出、单位、前后置条件、异常与验收标准能否被机器检查？</x:v>
      </x:c>
      <x:c r="I118" s="28" t="str">
        <x:v>协议验证通过率；设备映射成功率；单位错误率；可重放率；版本可追溯率</x:v>
      </x:c>
      <x:c r="J118" s="64" t="str">
        <x:v>前沿能力</x:v>
      </x:c>
      <x:c r="K118" s="64" t="str">
        <x:v>P2</x:v>
      </x:c>
      <x:c r="L118" s="28" t="str">
        <x:v>S01; S05; S25; S26; S59</x:v>
      </x:c>
      <x:c r="M118" s="28" t="str">
        <x:v>https://www.science.org/doi/10.1126/scirobotics.aat5559</x:v>
      </x:c>
    </x:row>
    <x:row r="119" ht="48" customHeight="1">
      <x:c r="A119" s="64" t="str">
        <x:v>T0118</x:v>
      </x:c>
      <x:c r="B119" s="28" t="str">
        <x:v>实验执行与具身自动化</x:v>
      </x:c>
      <x:c r="C119" s="28" t="str">
        <x:v>实验流程与机器可执行协议</x:v>
      </x:c>
      <x:c r="D119" s="28" t="str">
        <x:v>自然语言、设备映射与合规</x:v>
      </x:c>
      <x:c r="E119" s="28" t="str">
        <x:v>协议与知识表示</x:v>
      </x:c>
      <x:c r="F119" s="28" t="str">
        <x:v>验收标准声明</x:v>
      </x:c>
      <x:c r="G119" s="28" t="str">
        <x:v>将“验收标准声明”表示为机器可读、可验证、可版本化的协议元素，并与设备能力、数据与审计轨迹绑定。</x:v>
      </x:c>
      <x:c r="H119" s="28" t="str">
        <x:v>输入/输出、单位、前后置条件、异常与验收标准能否被机器检查？</x:v>
      </x:c>
      <x:c r="I119" s="28" t="str">
        <x:v>协议验证通过率；设备映射成功率；单位错误率；可重放率；版本可追溯率</x:v>
      </x:c>
      <x:c r="J119" s="64" t="str">
        <x:v>前沿能力</x:v>
      </x:c>
      <x:c r="K119" s="64" t="str">
        <x:v>P2</x:v>
      </x:c>
      <x:c r="L119" s="28" t="str">
        <x:v>S01; S05; S25; S26; S59</x:v>
      </x:c>
      <x:c r="M119" s="28" t="str">
        <x:v>https://www.researchobject.org/ro-crate/specification/1.1/provenance.html</x:v>
      </x:c>
    </x:row>
    <x:row r="120" ht="48" customHeight="1">
      <x:c r="A120" s="64" t="str">
        <x:v>T0119</x:v>
      </x:c>
      <x:c r="B120" s="28" t="str">
        <x:v>实验执行与具身自动化</x:v>
      </x:c>
      <x:c r="C120" s="28" t="str">
        <x:v>实验流程与机器可执行协议</x:v>
      </x:c>
      <x:c r="D120" s="28" t="str">
        <x:v>自然语言、设备映射与合规</x:v>
      </x:c>
      <x:c r="E120" s="28" t="str">
        <x:v>协议与知识表示</x:v>
      </x:c>
      <x:c r="F120" s="28" t="str">
        <x:v>电子签名</x:v>
      </x:c>
      <x:c r="G120" s="28" t="str">
        <x:v>将“电子签名”表示为机器可读、可验证、可版本化的协议元素，并与设备能力、数据与审计轨迹绑定。</x:v>
      </x:c>
      <x:c r="H120" s="28" t="str">
        <x:v>输入/输出、单位、前后置条件、异常与验收标准能否被机器检查？</x:v>
      </x:c>
      <x:c r="I120" s="28" t="str">
        <x:v>协议验证通过率；设备映射成功率；单位错误率；可重放率；版本可追溯率</x:v>
      </x:c>
      <x:c r="J120" s="64" t="str">
        <x:v>前沿能力</x:v>
      </x:c>
      <x:c r="K120" s="64" t="str">
        <x:v>P2</x:v>
      </x:c>
      <x:c r="L120" s="28" t="str">
        <x:v>S01; S05; S25; S26; S59</x:v>
      </x:c>
      <x:c r="M120" s="28" t="str">
        <x:v>https://sila-standard.com/standards/</x:v>
      </x:c>
    </x:row>
    <x:row r="121" ht="48" customHeight="1">
      <x:c r="A121" s="64" t="str">
        <x:v>T0120</x:v>
      </x:c>
      <x:c r="B121" s="28" t="str">
        <x:v>实验执行与具身自动化</x:v>
      </x:c>
      <x:c r="C121" s="28" t="str">
        <x:v>实验流程与机器可执行协议</x:v>
      </x:c>
      <x:c r="D121" s="28" t="str">
        <x:v>自然语言、设备映射与合规</x:v>
      </x:c>
      <x:c r="E121" s="28" t="str">
        <x:v>协议与知识表示</x:v>
      </x:c>
      <x:c r="F121" s="28" t="str">
        <x:v>可执行研究对象</x:v>
      </x:c>
      <x:c r="G121" s="28" t="str">
        <x:v>将“可执行研究对象”表示为机器可读、可验证、可版本化的协议元素，并与设备能力、数据与审计轨迹绑定。</x:v>
      </x:c>
      <x:c r="H121" s="28" t="str">
        <x:v>输入/输出、单位、前后置条件、异常与验收标准能否被机器检查？</x:v>
      </x:c>
      <x:c r="I121" s="28" t="str">
        <x:v>协议验证通过率；设备映射成功率；单位错误率；可重放率；版本可追溯率</x:v>
      </x:c>
      <x:c r="J121" s="64" t="str">
        <x:v>前沿能力</x:v>
      </x:c>
      <x:c r="K121" s="64" t="str">
        <x:v>P2</x:v>
      </x:c>
      <x:c r="L121" s="28" t="str">
        <x:v>S01; S05; S25; S26; S59</x:v>
      </x:c>
      <x:c r="M121" s="28" t="str">
        <x:v>https://arxiv.org/abs/2411.00444</x:v>
      </x:c>
    </x:row>
    <x:row r="122" ht="48" customHeight="1">
      <x:c r="A122" s="64" t="str">
        <x:v>T0121</x:v>
      </x:c>
      <x:c r="B122" s="28" t="str">
        <x:v>实验执行与具身自动化</x:v>
      </x:c>
      <x:c r="C122" s="28" t="str">
        <x:v>机器人操作与具身技能</x:v>
      </x:c>
      <x:c r="D122" s="28" t="str">
        <x:v>机器人本体与工具</x:v>
      </x:c>
      <x:c r="E122" s="28" t="str">
        <x:v>机器人与控制</x:v>
      </x:c>
      <x:c r="F122" s="28" t="str">
        <x:v>机械臂选型</x:v>
      </x:c>
      <x:c r="G122" s="28" t="str">
        <x:v>在实验环境中实现“机械臂选型”，同时满足标定精度、接触安全、污染控制、异常检测与可恢复性。</x:v>
      </x:c>
      <x:c r="H122" s="28" t="str">
        <x:v>成功条件能否由传感器独立确认，失败后能否安全恢复？</x:v>
      </x:c>
      <x:c r="I122" s="28" t="str">
        <x:v>动作成功率；位姿/力误差；碰撞/污染率；恢复时间；未确认动作率</x:v>
      </x:c>
      <x:c r="J122" s="64" t="str">
        <x:v>基础能力</x:v>
      </x:c>
      <x:c r="K122" s="64" t="str">
        <x:v>P0</x:v>
      </x:c>
      <x:c r="L122" s="28" t="str">
        <x:v>S08; S09; S10; S17; S61</x:v>
      </x:c>
      <x:c r="M122" s="28" t="str">
        <x:v>https://www.nature.com/articles/s41586-020-2442-2</x:v>
      </x:c>
    </x:row>
    <x:row r="123" ht="48" customHeight="1">
      <x:c r="A123" s="64" t="str">
        <x:v>T0122</x:v>
      </x:c>
      <x:c r="B123" s="28" t="str">
        <x:v>实验执行与具身自动化</x:v>
      </x:c>
      <x:c r="C123" s="28" t="str">
        <x:v>机器人操作与具身技能</x:v>
      </x:c>
      <x:c r="D123" s="28" t="str">
        <x:v>机器人本体与工具</x:v>
      </x:c>
      <x:c r="E123" s="28" t="str">
        <x:v>机器人与控制</x:v>
      </x:c>
      <x:c r="F123" s="28" t="str">
        <x:v>自由度设计</x:v>
      </x:c>
      <x:c r="G123" s="28" t="str">
        <x:v>在实验环境中实现“自由度设计”，同时满足标定精度、接触安全、污染控制、异常检测与可恢复性。</x:v>
      </x:c>
      <x:c r="H123" s="28" t="str">
        <x:v>成功条件能否由传感器独立确认，失败后能否安全恢复？</x:v>
      </x:c>
      <x:c r="I123" s="28" t="str">
        <x:v>动作成功率；位姿/力误差；碰撞/污染率；恢复时间；未确认动作率</x:v>
      </x:c>
      <x:c r="J123" s="64" t="str">
        <x:v>基础能力</x:v>
      </x:c>
      <x:c r="K123" s="64" t="str">
        <x:v>P0</x:v>
      </x:c>
      <x:c r="L123" s="28" t="str">
        <x:v>S08; S09; S10; S17; S61</x:v>
      </x:c>
      <x:c r="M123" s="28" t="str">
        <x:v>https://www.nature.com/articles/s41586-024-08173-7</x:v>
      </x:c>
    </x:row>
    <x:row r="124" ht="48" customHeight="1">
      <x:c r="A124" s="64" t="str">
        <x:v>T0123</x:v>
      </x:c>
      <x:c r="B124" s="28" t="str">
        <x:v>实验执行与具身自动化</x:v>
      </x:c>
      <x:c r="C124" s="28" t="str">
        <x:v>机器人操作与具身技能</x:v>
      </x:c>
      <x:c r="D124" s="28" t="str">
        <x:v>机器人本体与工具</x:v>
      </x:c>
      <x:c r="E124" s="28" t="str">
        <x:v>机器人与控制</x:v>
      </x:c>
      <x:c r="F124" s="28" t="str">
        <x:v>末端执行器</x:v>
      </x:c>
      <x:c r="G124" s="28" t="str">
        <x:v>在实验环境中实现“末端执行器”，同时满足标定精度、接触安全、污染控制、异常检测与可恢复性。</x:v>
      </x:c>
      <x:c r="H124" s="28" t="str">
        <x:v>成功条件能否由传感器独立确认，失败后能否安全恢复？</x:v>
      </x:c>
      <x:c r="I124" s="28" t="str">
        <x:v>动作成功率；位姿/力误差；碰撞/污染率；恢复时间；未确认动作率</x:v>
      </x:c>
      <x:c r="J124" s="64" t="str">
        <x:v>基础能力</x:v>
      </x:c>
      <x:c r="K124" s="64" t="str">
        <x:v>P0</x:v>
      </x:c>
      <x:c r="L124" s="28" t="str">
        <x:v>S08; S09; S10; S17; S61</x:v>
      </x:c>
      <x:c r="M124" s="28" t="str">
        <x:v>https://pubs.rsc.org/en/content/articlehtml/2024/sc/d3sc06206f</x:v>
      </x:c>
    </x:row>
    <x:row r="125" ht="48" customHeight="1">
      <x:c r="A125" s="64" t="str">
        <x:v>T0124</x:v>
      </x:c>
      <x:c r="B125" s="28" t="str">
        <x:v>实验执行与具身自动化</x:v>
      </x:c>
      <x:c r="C125" s="28" t="str">
        <x:v>机器人操作与具身技能</x:v>
      </x:c>
      <x:c r="D125" s="28" t="str">
        <x:v>机器人本体与工具</x:v>
      </x:c>
      <x:c r="E125" s="28" t="str">
        <x:v>机器人与控制</x:v>
      </x:c>
      <x:c r="F125" s="28" t="str">
        <x:v>自适应夹爪</x:v>
      </x:c>
      <x:c r="G125" s="28" t="str">
        <x:v>在实验环境中实现“自适应夹爪”，同时满足标定精度、接触安全、污染控制、异常检测与可恢复性。</x:v>
      </x:c>
      <x:c r="H125" s="28" t="str">
        <x:v>成功条件能否由传感器独立确认，失败后能否安全恢复？</x:v>
      </x:c>
      <x:c r="I125" s="28" t="str">
        <x:v>动作成功率；位姿/力误差；碰撞/污染率；恢复时间；未确认动作率</x:v>
      </x:c>
      <x:c r="J125" s="64" t="str">
        <x:v>基础能力</x:v>
      </x:c>
      <x:c r="K125" s="64" t="str">
        <x:v>P0</x:v>
      </x:c>
      <x:c r="L125" s="28" t="str">
        <x:v>S08; S09; S10; S17; S61</x:v>
      </x:c>
      <x:c r="M125" s="28" t="str">
        <x:v>https://www.science.org/doi/10.1126/sciadv.adj0461</x:v>
      </x:c>
    </x:row>
    <x:row r="126" ht="48" customHeight="1">
      <x:c r="A126" s="64" t="str">
        <x:v>T0125</x:v>
      </x:c>
      <x:c r="B126" s="28" t="str">
        <x:v>实验执行与具身自动化</x:v>
      </x:c>
      <x:c r="C126" s="28" t="str">
        <x:v>机器人操作与具身技能</x:v>
      </x:c>
      <x:c r="D126" s="28" t="str">
        <x:v>机器人本体与工具</x:v>
      </x:c>
      <x:c r="E126" s="28" t="str">
        <x:v>机器人与控制</x:v>
      </x:c>
      <x:c r="F126" s="28" t="str">
        <x:v>移液工具适配</x:v>
      </x:c>
      <x:c r="G126" s="28" t="str">
        <x:v>在实验环境中实现“移液工具适配”，同时满足标定精度、接触安全、污染控制、异常检测与可恢复性。</x:v>
      </x:c>
      <x:c r="H126" s="28" t="str">
        <x:v>成功条件能否由传感器独立确认，失败后能否安全恢复？</x:v>
      </x:c>
      <x:c r="I126" s="28" t="str">
        <x:v>动作成功率；位姿/力误差；碰撞/污染率；恢复时间；未确认动作率</x:v>
      </x:c>
      <x:c r="J126" s="64" t="str">
        <x:v>基础能力</x:v>
      </x:c>
      <x:c r="K126" s="64" t="str">
        <x:v>P0</x:v>
      </x:c>
      <x:c r="L126" s="28" t="str">
        <x:v>S08; S09; S10; S17; S61</x:v>
      </x:c>
      <x:c r="M126" s="28" t="str">
        <x:v>https://www.nature.com/articles/s44160-026-01053-0</x:v>
      </x:c>
    </x:row>
    <x:row r="127" ht="48" customHeight="1">
      <x:c r="A127" s="64" t="str">
        <x:v>T0126</x:v>
      </x:c>
      <x:c r="B127" s="28" t="str">
        <x:v>实验执行与具身自动化</x:v>
      </x:c>
      <x:c r="C127" s="28" t="str">
        <x:v>机器人操作与具身技能</x:v>
      </x:c>
      <x:c r="D127" s="28" t="str">
        <x:v>机器人本体与工具</x:v>
      </x:c>
      <x:c r="E127" s="28" t="str">
        <x:v>机器人与控制</x:v>
      </x:c>
      <x:c r="F127" s="28" t="str">
        <x:v>自动换刀</x:v>
      </x:c>
      <x:c r="G127" s="28" t="str">
        <x:v>在实验环境中实现“自动换刀”，同时满足标定精度、接触安全、污染控制、异常检测与可恢复性。</x:v>
      </x:c>
      <x:c r="H127" s="28" t="str">
        <x:v>成功条件能否由传感器独立确认，失败后能否安全恢复？</x:v>
      </x:c>
      <x:c r="I127" s="28" t="str">
        <x:v>动作成功率；位姿/力误差；碰撞/污染率；恢复时间；未确认动作率</x:v>
      </x:c>
      <x:c r="J127" s="64" t="str">
        <x:v>基础能力</x:v>
      </x:c>
      <x:c r="K127" s="64" t="str">
        <x:v>P0</x:v>
      </x:c>
      <x:c r="L127" s="28" t="str">
        <x:v>S08; S09; S10; S17; S61</x:v>
      </x:c>
      <x:c r="M127" s="28" t="str">
        <x:v>https://www.nature.com/articles/s41586-020-2442-2</x:v>
      </x:c>
    </x:row>
    <x:row r="128" ht="48" customHeight="1">
      <x:c r="A128" s="64" t="str">
        <x:v>T0127</x:v>
      </x:c>
      <x:c r="B128" s="28" t="str">
        <x:v>实验执行与具身自动化</x:v>
      </x:c>
      <x:c r="C128" s="28" t="str">
        <x:v>机器人操作与具身技能</x:v>
      </x:c>
      <x:c r="D128" s="28" t="str">
        <x:v>机器人本体与工具</x:v>
      </x:c>
      <x:c r="E128" s="28" t="str">
        <x:v>机器人与控制</x:v>
      </x:c>
      <x:c r="F128" s="28" t="str">
        <x:v>六维力矩传感</x:v>
      </x:c>
      <x:c r="G128" s="28" t="str">
        <x:v>在实验环境中实现“六维力矩传感”，同时满足标定精度、接触安全、污染控制、异常检测与可恢复性。</x:v>
      </x:c>
      <x:c r="H128" s="28" t="str">
        <x:v>成功条件能否由传感器独立确认，失败后能否安全恢复？</x:v>
      </x:c>
      <x:c r="I128" s="28" t="str">
        <x:v>动作成功率；位姿/力误差；碰撞/污染率；恢复时间；未确认动作率</x:v>
      </x:c>
      <x:c r="J128" s="64" t="str">
        <x:v>基础能力</x:v>
      </x:c>
      <x:c r="K128" s="64" t="str">
        <x:v>P0</x:v>
      </x:c>
      <x:c r="L128" s="28" t="str">
        <x:v>S08; S09; S10; S17; S61</x:v>
      </x:c>
      <x:c r="M128" s="28" t="str">
        <x:v>https://www.nature.com/articles/s41586-024-08173-7</x:v>
      </x:c>
    </x:row>
    <x:row r="129" ht="48" customHeight="1">
      <x:c r="A129" s="64" t="str">
        <x:v>T0128</x:v>
      </x:c>
      <x:c r="B129" s="28" t="str">
        <x:v>实验执行与具身自动化</x:v>
      </x:c>
      <x:c r="C129" s="28" t="str">
        <x:v>机器人操作与具身技能</x:v>
      </x:c>
      <x:c r="D129" s="28" t="str">
        <x:v>机器人本体与工具</x:v>
      </x:c>
      <x:c r="E129" s="28" t="str">
        <x:v>机器人与控制</x:v>
      </x:c>
      <x:c r="F129" s="28" t="str">
        <x:v>触觉感知</x:v>
      </x:c>
      <x:c r="G129" s="28" t="str">
        <x:v>在实验环境中实现“触觉感知”，同时满足标定精度、接触安全、污染控制、异常检测与可恢复性。</x:v>
      </x:c>
      <x:c r="H129" s="28" t="str">
        <x:v>成功条件能否由传感器独立确认，失败后能否安全恢复？</x:v>
      </x:c>
      <x:c r="I129" s="28" t="str">
        <x:v>动作成功率；位姿/力误差；碰撞/污染率；恢复时间；未确认动作率</x:v>
      </x:c>
      <x:c r="J129" s="64" t="str">
        <x:v>基础能力</x:v>
      </x:c>
      <x:c r="K129" s="64" t="str">
        <x:v>P0</x:v>
      </x:c>
      <x:c r="L129" s="28" t="str">
        <x:v>S08; S09; S10; S17; S61</x:v>
      </x:c>
      <x:c r="M129" s="28" t="str">
        <x:v>https://pubs.rsc.org/en/content/articlehtml/2024/sc/d3sc06206f</x:v>
      </x:c>
    </x:row>
    <x:row r="130" ht="48" customHeight="1">
      <x:c r="A130" s="64" t="str">
        <x:v>T0129</x:v>
      </x:c>
      <x:c r="B130" s="28" t="str">
        <x:v>实验执行与具身自动化</x:v>
      </x:c>
      <x:c r="C130" s="28" t="str">
        <x:v>机器人操作与具身技能</x:v>
      </x:c>
      <x:c r="D130" s="28" t="str">
        <x:v>机器人本体与工具</x:v>
      </x:c>
      <x:c r="E130" s="28" t="str">
        <x:v>机器人与控制</x:v>
      </x:c>
      <x:c r="F130" s="28" t="str">
        <x:v>视觉伺服</x:v>
      </x:c>
      <x:c r="G130" s="28" t="str">
        <x:v>在实验环境中实现“视觉伺服”，同时满足标定精度、接触安全、污染控制、异常检测与可恢复性。</x:v>
      </x:c>
      <x:c r="H130" s="28" t="str">
        <x:v>成功条件能否由传感器独立确认，失败后能否安全恢复？</x:v>
      </x:c>
      <x:c r="I130" s="28" t="str">
        <x:v>动作成功率；位姿/力误差；碰撞/污染率；恢复时间；未确认动作率</x:v>
      </x:c>
      <x:c r="J130" s="64" t="str">
        <x:v>基础能力</x:v>
      </x:c>
      <x:c r="K130" s="64" t="str">
        <x:v>P0</x:v>
      </x:c>
      <x:c r="L130" s="28" t="str">
        <x:v>S08; S09; S10; S17; S61</x:v>
      </x:c>
      <x:c r="M130" s="28" t="str">
        <x:v>https://www.science.org/doi/10.1126/sciadv.adj0461</x:v>
      </x:c>
    </x:row>
    <x:row r="131" ht="48" customHeight="1">
      <x:c r="A131" s="64" t="str">
        <x:v>T0130</x:v>
      </x:c>
      <x:c r="B131" s="28" t="str">
        <x:v>实验执行与具身自动化</x:v>
      </x:c>
      <x:c r="C131" s="28" t="str">
        <x:v>机器人操作与具身技能</x:v>
      </x:c>
      <x:c r="D131" s="28" t="str">
        <x:v>机器人本体与工具</x:v>
      </x:c>
      <x:c r="E131" s="28" t="str">
        <x:v>机器人与控制</x:v>
      </x:c>
      <x:c r="F131" s="28" t="str">
        <x:v>手眼标定</x:v>
      </x:c>
      <x:c r="G131" s="28" t="str">
        <x:v>在实验环境中实现“手眼标定”，同时满足标定精度、接触安全、污染控制、异常检测与可恢复性。</x:v>
      </x:c>
      <x:c r="H131" s="28" t="str">
        <x:v>成功条件能否由传感器独立确认，失败后能否安全恢复？</x:v>
      </x:c>
      <x:c r="I131" s="28" t="str">
        <x:v>动作成功率；位姿/力误差；碰撞/污染率；恢复时间；未确认动作率</x:v>
      </x:c>
      <x:c r="J131" s="64" t="str">
        <x:v>基础能力</x:v>
      </x:c>
      <x:c r="K131" s="64" t="str">
        <x:v>P0</x:v>
      </x:c>
      <x:c r="L131" s="28" t="str">
        <x:v>S08; S09; S10; S17; S61</x:v>
      </x:c>
      <x:c r="M131" s="28" t="str">
        <x:v>https://www.nature.com/articles/s44160-026-01053-0</x:v>
      </x:c>
    </x:row>
    <x:row r="132" ht="48" customHeight="1">
      <x:c r="A132" s="64" t="str">
        <x:v>T0131</x:v>
      </x:c>
      <x:c r="B132" s="28" t="str">
        <x:v>实验执行与具身自动化</x:v>
      </x:c>
      <x:c r="C132" s="28" t="str">
        <x:v>机器人操作与具身技能</x:v>
      </x:c>
      <x:c r="D132" s="28" t="str">
        <x:v>标定、规划与控制</x:v>
      </x:c>
      <x:c r="E132" s="28" t="str">
        <x:v>机器人与控制</x:v>
      </x:c>
      <x:c r="F132" s="28" t="str">
        <x:v>运动学标定</x:v>
      </x:c>
      <x:c r="G132" s="28" t="str">
        <x:v>在实验环境中实现“运动学标定”，同时满足标定精度、接触安全、污染控制、异常检测与可恢复性。</x:v>
      </x:c>
      <x:c r="H132" s="28" t="str">
        <x:v>成功条件能否由传感器独立确认，失败后能否安全恢复？</x:v>
      </x:c>
      <x:c r="I132" s="28" t="str">
        <x:v>动作成功率；位姿/力误差；碰撞/污染率；恢复时间；未确认动作率</x:v>
      </x:c>
      <x:c r="J132" s="64" t="str">
        <x:v>基础能力</x:v>
      </x:c>
      <x:c r="K132" s="64" t="str">
        <x:v>P1</x:v>
      </x:c>
      <x:c r="L132" s="28" t="str">
        <x:v>S08; S09; S10; S17; S61</x:v>
      </x:c>
      <x:c r="M132" s="28" t="str">
        <x:v>https://www.nature.com/articles/s41586-020-2442-2</x:v>
      </x:c>
    </x:row>
    <x:row r="133" ht="48" customHeight="1">
      <x:c r="A133" s="64" t="str">
        <x:v>T0132</x:v>
      </x:c>
      <x:c r="B133" s="28" t="str">
        <x:v>实验执行与具身自动化</x:v>
      </x:c>
      <x:c r="C133" s="28" t="str">
        <x:v>机器人操作与具身技能</x:v>
      </x:c>
      <x:c r="D133" s="28" t="str">
        <x:v>标定、规划与控制</x:v>
      </x:c>
      <x:c r="E133" s="28" t="str">
        <x:v>机器人与控制</x:v>
      </x:c>
      <x:c r="F133" s="28" t="str">
        <x:v>动力学建模</x:v>
      </x:c>
      <x:c r="G133" s="28" t="str">
        <x:v>在实验环境中实现“动力学建模”，同时满足标定精度、接触安全、污染控制、异常检测与可恢复性。</x:v>
      </x:c>
      <x:c r="H133" s="28" t="str">
        <x:v>成功条件能否由传感器独立确认，失败后能否安全恢复？</x:v>
      </x:c>
      <x:c r="I133" s="28" t="str">
        <x:v>动作成功率；位姿/力误差；碰撞/污染率；恢复时间；未确认动作率</x:v>
      </x:c>
      <x:c r="J133" s="64" t="str">
        <x:v>基础能力</x:v>
      </x:c>
      <x:c r="K133" s="64" t="str">
        <x:v>P1</x:v>
      </x:c>
      <x:c r="L133" s="28" t="str">
        <x:v>S08; S09; S10; S17; S61</x:v>
      </x:c>
      <x:c r="M133" s="28" t="str">
        <x:v>https://www.nature.com/articles/s41586-024-08173-7</x:v>
      </x:c>
    </x:row>
    <x:row r="134" ht="48" customHeight="1">
      <x:c r="A134" s="64" t="str">
        <x:v>T0133</x:v>
      </x:c>
      <x:c r="B134" s="28" t="str">
        <x:v>实验执行与具身自动化</x:v>
      </x:c>
      <x:c r="C134" s="28" t="str">
        <x:v>机器人操作与具身技能</x:v>
      </x:c>
      <x:c r="D134" s="28" t="str">
        <x:v>标定、规划与控制</x:v>
      </x:c>
      <x:c r="E134" s="28" t="str">
        <x:v>机器人与控制</x:v>
      </x:c>
      <x:c r="F134" s="28" t="str">
        <x:v>轨迹规划</x:v>
      </x:c>
      <x:c r="G134" s="28" t="str">
        <x:v>在实验环境中实现“轨迹规划”，同时满足标定精度、接触安全、污染控制、异常检测与可恢复性。</x:v>
      </x:c>
      <x:c r="H134" s="28" t="str">
        <x:v>成功条件能否由传感器独立确认，失败后能否安全恢复？</x:v>
      </x:c>
      <x:c r="I134" s="28" t="str">
        <x:v>动作成功率；位姿/力误差；碰撞/污染率；恢复时间；未确认动作率</x:v>
      </x:c>
      <x:c r="J134" s="64" t="str">
        <x:v>工程化关键</x:v>
      </x:c>
      <x:c r="K134" s="64" t="str">
        <x:v>P1</x:v>
      </x:c>
      <x:c r="L134" s="28" t="str">
        <x:v>S08; S09; S10; S17; S61</x:v>
      </x:c>
      <x:c r="M134" s="28" t="str">
        <x:v>https://pubs.rsc.org/en/content/articlehtml/2024/sc/d3sc06206f</x:v>
      </x:c>
    </x:row>
    <x:row r="135" ht="48" customHeight="1">
      <x:c r="A135" s="64" t="str">
        <x:v>T0134</x:v>
      </x:c>
      <x:c r="B135" s="28" t="str">
        <x:v>实验执行与具身自动化</x:v>
      </x:c>
      <x:c r="C135" s="28" t="str">
        <x:v>机器人操作与具身技能</x:v>
      </x:c>
      <x:c r="D135" s="28" t="str">
        <x:v>标定、规划与控制</x:v>
      </x:c>
      <x:c r="E135" s="28" t="str">
        <x:v>机器人与控制</x:v>
      </x:c>
      <x:c r="F135" s="28" t="str">
        <x:v>碰撞检测</x:v>
      </x:c>
      <x:c r="G135" s="28" t="str">
        <x:v>在实验环境中实现“碰撞检测”，同时满足标定精度、接触安全、污染控制、异常检测与可恢复性。</x:v>
      </x:c>
      <x:c r="H135" s="28" t="str">
        <x:v>成功条件能否由传感器独立确认，失败后能否安全恢复？</x:v>
      </x:c>
      <x:c r="I135" s="28" t="str">
        <x:v>动作成功率；位姿/力误差；碰撞/污染率；恢复时间；未确认动作率</x:v>
      </x:c>
      <x:c r="J135" s="64" t="str">
        <x:v>工程化关键</x:v>
      </x:c>
      <x:c r="K135" s="64" t="str">
        <x:v>P1</x:v>
      </x:c>
      <x:c r="L135" s="28" t="str">
        <x:v>S08; S09; S10; S17; S61</x:v>
      </x:c>
      <x:c r="M135" s="28" t="str">
        <x:v>https://www.science.org/doi/10.1126/sciadv.adj0461</x:v>
      </x:c>
    </x:row>
    <x:row r="136" ht="48" customHeight="1">
      <x:c r="A136" s="64" t="str">
        <x:v>T0135</x:v>
      </x:c>
      <x:c r="B136" s="28" t="str">
        <x:v>实验执行与具身自动化</x:v>
      </x:c>
      <x:c r="C136" s="28" t="str">
        <x:v>机器人操作与具身技能</x:v>
      </x:c>
      <x:c r="D136" s="28" t="str">
        <x:v>标定、规划与控制</x:v>
      </x:c>
      <x:c r="E136" s="28" t="str">
        <x:v>机器人与控制</x:v>
      </x:c>
      <x:c r="F136" s="28" t="str">
        <x:v>避障规划</x:v>
      </x:c>
      <x:c r="G136" s="28" t="str">
        <x:v>在实验环境中实现“避障规划”，同时满足标定精度、接触安全、污染控制、异常检测与可恢复性。</x:v>
      </x:c>
      <x:c r="H136" s="28" t="str">
        <x:v>成功条件能否由传感器独立确认，失败后能否安全恢复？</x:v>
      </x:c>
      <x:c r="I136" s="28" t="str">
        <x:v>动作成功率；位姿/力误差；碰撞/污染率；恢复时间；未确认动作率</x:v>
      </x:c>
      <x:c r="J136" s="64" t="str">
        <x:v>工程化关键</x:v>
      </x:c>
      <x:c r="K136" s="64" t="str">
        <x:v>P1</x:v>
      </x:c>
      <x:c r="L136" s="28" t="str">
        <x:v>S08; S09; S10; S17; S61</x:v>
      </x:c>
      <x:c r="M136" s="28" t="str">
        <x:v>https://www.nature.com/articles/s44160-026-01053-0</x:v>
      </x:c>
    </x:row>
    <x:row r="137" ht="48" customHeight="1">
      <x:c r="A137" s="64" t="str">
        <x:v>T0136</x:v>
      </x:c>
      <x:c r="B137" s="28" t="str">
        <x:v>实验执行与具身自动化</x:v>
      </x:c>
      <x:c r="C137" s="28" t="str">
        <x:v>机器人操作与具身技能</x:v>
      </x:c>
      <x:c r="D137" s="28" t="str">
        <x:v>标定、规划与控制</x:v>
      </x:c>
      <x:c r="E137" s="28" t="str">
        <x:v>机器人与控制</x:v>
      </x:c>
      <x:c r="F137" s="28" t="str">
        <x:v>约束运动</x:v>
      </x:c>
      <x:c r="G137" s="28" t="str">
        <x:v>在实验环境中实现“约束运动”，同时满足标定精度、接触安全、污染控制、异常检测与可恢复性。</x:v>
      </x:c>
      <x:c r="H137" s="28" t="str">
        <x:v>成功条件能否由传感器独立确认，失败后能否安全恢复？</x:v>
      </x:c>
      <x:c r="I137" s="28" t="str">
        <x:v>动作成功率；位姿/力误差；碰撞/污染率；恢复时间；未确认动作率</x:v>
      </x:c>
      <x:c r="J137" s="64" t="str">
        <x:v>工程化关键</x:v>
      </x:c>
      <x:c r="K137" s="64" t="str">
        <x:v>P1</x:v>
      </x:c>
      <x:c r="L137" s="28" t="str">
        <x:v>S08; S09; S10; S17; S61</x:v>
      </x:c>
      <x:c r="M137" s="28" t="str">
        <x:v>https://www.nature.com/articles/s41586-020-2442-2</x:v>
      </x:c>
    </x:row>
    <x:row r="138" ht="48" customHeight="1">
      <x:c r="A138" s="64" t="str">
        <x:v>T0137</x:v>
      </x:c>
      <x:c r="B138" s="28" t="str">
        <x:v>实验执行与具身自动化</x:v>
      </x:c>
      <x:c r="C138" s="28" t="str">
        <x:v>机器人操作与具身技能</x:v>
      </x:c>
      <x:c r="D138" s="28" t="str">
        <x:v>标定、规划与控制</x:v>
      </x:c>
      <x:c r="E138" s="28" t="str">
        <x:v>机器人与控制</x:v>
      </x:c>
      <x:c r="F138" s="28" t="str">
        <x:v>柔顺控制</x:v>
      </x:c>
      <x:c r="G138" s="28" t="str">
        <x:v>在实验环境中实现“柔顺控制”，同时满足标定精度、接触安全、污染控制、异常检测与可恢复性。</x:v>
      </x:c>
      <x:c r="H138" s="28" t="str">
        <x:v>成功条件能否由传感器独立确认，失败后能否安全恢复？</x:v>
      </x:c>
      <x:c r="I138" s="28" t="str">
        <x:v>动作成功率；位姿/力误差；碰撞/污染率；恢复时间；未确认动作率</x:v>
      </x:c>
      <x:c r="J138" s="64" t="str">
        <x:v>工程化关键</x:v>
      </x:c>
      <x:c r="K138" s="64" t="str">
        <x:v>P1</x:v>
      </x:c>
      <x:c r="L138" s="28" t="str">
        <x:v>S08; S09; S10; S17; S61</x:v>
      </x:c>
      <x:c r="M138" s="28" t="str">
        <x:v>https://www.nature.com/articles/s41586-024-08173-7</x:v>
      </x:c>
    </x:row>
    <x:row r="139" ht="48" customHeight="1">
      <x:c r="A139" s="64" t="str">
        <x:v>T0138</x:v>
      </x:c>
      <x:c r="B139" s="28" t="str">
        <x:v>实验执行与具身自动化</x:v>
      </x:c>
      <x:c r="C139" s="28" t="str">
        <x:v>机器人操作与具身技能</x:v>
      </x:c>
      <x:c r="D139" s="28" t="str">
        <x:v>标定、规划与控制</x:v>
      </x:c>
      <x:c r="E139" s="28" t="str">
        <x:v>机器人与控制</x:v>
      </x:c>
      <x:c r="F139" s="28" t="str">
        <x:v>阻抗控制</x:v>
      </x:c>
      <x:c r="G139" s="28" t="str">
        <x:v>在实验环境中实现“阻抗控制”，同时满足标定精度、接触安全、污染控制、异常检测与可恢复性。</x:v>
      </x:c>
      <x:c r="H139" s="28" t="str">
        <x:v>成功条件能否由传感器独立确认，失败后能否安全恢复？</x:v>
      </x:c>
      <x:c r="I139" s="28" t="str">
        <x:v>动作成功率；位姿/力误差；碰撞/污染率；恢复时间；未确认动作率</x:v>
      </x:c>
      <x:c r="J139" s="64" t="str">
        <x:v>工程化关键</x:v>
      </x:c>
      <x:c r="K139" s="64" t="str">
        <x:v>P1</x:v>
      </x:c>
      <x:c r="L139" s="28" t="str">
        <x:v>S08; S09; S10; S17; S61</x:v>
      </x:c>
      <x:c r="M139" s="28" t="str">
        <x:v>https://pubs.rsc.org/en/content/articlehtml/2024/sc/d3sc06206f</x:v>
      </x:c>
    </x:row>
    <x:row r="140" ht="48" customHeight="1">
      <x:c r="A140" s="64" t="str">
        <x:v>T0139</x:v>
      </x:c>
      <x:c r="B140" s="28" t="str">
        <x:v>实验执行与具身自动化</x:v>
      </x:c>
      <x:c r="C140" s="28" t="str">
        <x:v>机器人操作与具身技能</x:v>
      </x:c>
      <x:c r="D140" s="28" t="str">
        <x:v>标定、规划与控制</x:v>
      </x:c>
      <x:c r="E140" s="28" t="str">
        <x:v>机器人与控制</x:v>
      </x:c>
      <x:c r="F140" s="28" t="str">
        <x:v>导纳控制</x:v>
      </x:c>
      <x:c r="G140" s="28" t="str">
        <x:v>在实验环境中实现“导纳控制”，同时满足标定精度、接触安全、污染控制、异常检测与可恢复性。</x:v>
      </x:c>
      <x:c r="H140" s="28" t="str">
        <x:v>成功条件能否由传感器独立确认，失败后能否安全恢复？</x:v>
      </x:c>
      <x:c r="I140" s="28" t="str">
        <x:v>动作成功率；位姿/力误差；碰撞/污染率；恢复时间；未确认动作率</x:v>
      </x:c>
      <x:c r="J140" s="64" t="str">
        <x:v>工程化关键</x:v>
      </x:c>
      <x:c r="K140" s="64" t="str">
        <x:v>P1</x:v>
      </x:c>
      <x:c r="L140" s="28" t="str">
        <x:v>S08; S09; S10; S17; S61</x:v>
      </x:c>
      <x:c r="M140" s="28" t="str">
        <x:v>https://www.science.org/doi/10.1126/sciadv.adj0461</x:v>
      </x:c>
    </x:row>
    <x:row r="141" ht="48" customHeight="1">
      <x:c r="A141" s="64" t="str">
        <x:v>T0140</x:v>
      </x:c>
      <x:c r="B141" s="28" t="str">
        <x:v>实验执行与具身自动化</x:v>
      </x:c>
      <x:c r="C141" s="28" t="str">
        <x:v>机器人操作与具身技能</x:v>
      </x:c>
      <x:c r="D141" s="28" t="str">
        <x:v>标定、规划与控制</x:v>
      </x:c>
      <x:c r="E141" s="28" t="str">
        <x:v>机器人与控制</x:v>
      </x:c>
      <x:c r="F141" s="28" t="str">
        <x:v>接触丰富操作</x:v>
      </x:c>
      <x:c r="G141" s="28" t="str">
        <x:v>在实验环境中实现“接触丰富操作”，同时满足标定精度、接触安全、污染控制、异常检测与可恢复性。</x:v>
      </x:c>
      <x:c r="H141" s="28" t="str">
        <x:v>成功条件能否由传感器独立确认，失败后能否安全恢复？</x:v>
      </x:c>
      <x:c r="I141" s="28" t="str">
        <x:v>动作成功率；位姿/力误差；碰撞/污染率；恢复时间；未确认动作率</x:v>
      </x:c>
      <x:c r="J141" s="64" t="str">
        <x:v>工程化关键</x:v>
      </x:c>
      <x:c r="K141" s="64" t="str">
        <x:v>P1</x:v>
      </x:c>
      <x:c r="L141" s="28" t="str">
        <x:v>S08; S09; S10; S17; S61</x:v>
      </x:c>
      <x:c r="M141" s="28" t="str">
        <x:v>https://www.nature.com/articles/s44160-026-01053-0</x:v>
      </x:c>
    </x:row>
    <x:row r="142" ht="48" customHeight="1">
      <x:c r="A142" s="64" t="str">
        <x:v>T0141</x:v>
      </x:c>
      <x:c r="B142" s="28" t="str">
        <x:v>实验执行与具身自动化</x:v>
      </x:c>
      <x:c r="C142" s="28" t="str">
        <x:v>机器人操作与具身技能</x:v>
      </x:c>
      <x:c r="D142" s="28" t="str">
        <x:v>典型实验操作</x:v>
      </x:c>
      <x:c r="E142" s="28" t="str">
        <x:v>机器人与控制</x:v>
      </x:c>
      <x:c r="F142" s="28" t="str">
        <x:v>自动开盖</x:v>
      </x:c>
      <x:c r="G142" s="28" t="str">
        <x:v>在实验环境中实现“自动开盖”，同时满足标定精度、接触安全、污染控制、异常检测与可恢复性。</x:v>
      </x:c>
      <x:c r="H142" s="28" t="str">
        <x:v>成功条件能否由传感器独立确认，失败后能否安全恢复？</x:v>
      </x:c>
      <x:c r="I142" s="28" t="str">
        <x:v>动作成功率；位姿/力误差；碰撞/污染率；恢复时间；未确认动作率</x:v>
      </x:c>
      <x:c r="J142" s="64" t="str">
        <x:v>工程化关键</x:v>
      </x:c>
      <x:c r="K142" s="64" t="str">
        <x:v>P1</x:v>
      </x:c>
      <x:c r="L142" s="28" t="str">
        <x:v>S08; S09; S10; S17; S61</x:v>
      </x:c>
      <x:c r="M142" s="28" t="str">
        <x:v>https://www.nature.com/articles/s41586-020-2442-2</x:v>
      </x:c>
    </x:row>
    <x:row r="143" ht="48" customHeight="1">
      <x:c r="A143" s="64" t="str">
        <x:v>T0142</x:v>
      </x:c>
      <x:c r="B143" s="28" t="str">
        <x:v>实验执行与具身自动化</x:v>
      </x:c>
      <x:c r="C143" s="28" t="str">
        <x:v>机器人操作与具身技能</x:v>
      </x:c>
      <x:c r="D143" s="28" t="str">
        <x:v>典型实验操作</x:v>
      </x:c>
      <x:c r="E143" s="28" t="str">
        <x:v>机器人与控制</x:v>
      </x:c>
      <x:c r="F143" s="28" t="str">
        <x:v>西林瓶操作</x:v>
      </x:c>
      <x:c r="G143" s="28" t="str">
        <x:v>在实验环境中实现“西林瓶操作”，同时满足标定精度、接触安全、污染控制、异常检测与可恢复性。</x:v>
      </x:c>
      <x:c r="H143" s="28" t="str">
        <x:v>成功条件能否由传感器独立确认，失败后能否安全恢复？</x:v>
      </x:c>
      <x:c r="I143" s="28" t="str">
        <x:v>动作成功率；位姿/力误差；碰撞/污染率；恢复时间；未确认动作率</x:v>
      </x:c>
      <x:c r="J143" s="64" t="str">
        <x:v>工程化关键</x:v>
      </x:c>
      <x:c r="K143" s="64" t="str">
        <x:v>P1</x:v>
      </x:c>
      <x:c r="L143" s="28" t="str">
        <x:v>S08; S09; S10; S17; S61</x:v>
      </x:c>
      <x:c r="M143" s="28" t="str">
        <x:v>https://www.nature.com/articles/s41586-024-08173-7</x:v>
      </x:c>
    </x:row>
    <x:row r="144" ht="48" customHeight="1">
      <x:c r="A144" s="64" t="str">
        <x:v>T0143</x:v>
      </x:c>
      <x:c r="B144" s="28" t="str">
        <x:v>实验执行与具身自动化</x:v>
      </x:c>
      <x:c r="C144" s="28" t="str">
        <x:v>机器人操作与具身技能</x:v>
      </x:c>
      <x:c r="D144" s="28" t="str">
        <x:v>典型实验操作</x:v>
      </x:c>
      <x:c r="E144" s="28" t="str">
        <x:v>机器人与控制</x:v>
      </x:c>
      <x:c r="F144" s="28" t="str">
        <x:v>微孔板操作</x:v>
      </x:c>
      <x:c r="G144" s="28" t="str">
        <x:v>在实验环境中实现“微孔板操作”，同时满足标定精度、接触安全、污染控制、异常检测与可恢复性。</x:v>
      </x:c>
      <x:c r="H144" s="28" t="str">
        <x:v>成功条件能否由传感器独立确认，失败后能否安全恢复？</x:v>
      </x:c>
      <x:c r="I144" s="28" t="str">
        <x:v>动作成功率；位姿/力误差；碰撞/污染率；恢复时间；未确认动作率</x:v>
      </x:c>
      <x:c r="J144" s="64" t="str">
        <x:v>工程化关键</x:v>
      </x:c>
      <x:c r="K144" s="64" t="str">
        <x:v>P1</x:v>
      </x:c>
      <x:c r="L144" s="28" t="str">
        <x:v>S08; S09; S10; S17; S61</x:v>
      </x:c>
      <x:c r="M144" s="28" t="str">
        <x:v>https://pubs.rsc.org/en/content/articlehtml/2024/sc/d3sc06206f</x:v>
      </x:c>
    </x:row>
    <x:row r="145" ht="48" customHeight="1">
      <x:c r="A145" s="64" t="str">
        <x:v>T0144</x:v>
      </x:c>
      <x:c r="B145" s="28" t="str">
        <x:v>实验执行与具身自动化</x:v>
      </x:c>
      <x:c r="C145" s="28" t="str">
        <x:v>机器人操作与具身技能</x:v>
      </x:c>
      <x:c r="D145" s="28" t="str">
        <x:v>典型实验操作</x:v>
      </x:c>
      <x:c r="E145" s="28" t="str">
        <x:v>机器人与控制</x:v>
      </x:c>
      <x:c r="F145" s="28" t="str">
        <x:v>试管架操作</x:v>
      </x:c>
      <x:c r="G145" s="28" t="str">
        <x:v>在实验环境中实现“试管架操作”，同时满足标定精度、接触安全、污染控制、异常检测与可恢复性。</x:v>
      </x:c>
      <x:c r="H145" s="28" t="str">
        <x:v>成功条件能否由传感器独立确认，失败后能否安全恢复？</x:v>
      </x:c>
      <x:c r="I145" s="28" t="str">
        <x:v>动作成功率；位姿/力误差；碰撞/污染率；恢复时间；未确认动作率</x:v>
      </x:c>
      <x:c r="J145" s="64" t="str">
        <x:v>工程化关键</x:v>
      </x:c>
      <x:c r="K145" s="64" t="str">
        <x:v>P1</x:v>
      </x:c>
      <x:c r="L145" s="28" t="str">
        <x:v>S08; S09; S10; S17; S61</x:v>
      </x:c>
      <x:c r="M145" s="28" t="str">
        <x:v>https://www.science.org/doi/10.1126/sciadv.adj0461</x:v>
      </x:c>
    </x:row>
    <x:row r="146" ht="48" customHeight="1">
      <x:c r="A146" s="64" t="str">
        <x:v>T0145</x:v>
      </x:c>
      <x:c r="B146" s="28" t="str">
        <x:v>实验执行与具身自动化</x:v>
      </x:c>
      <x:c r="C146" s="28" t="str">
        <x:v>机器人操作与具身技能</x:v>
      </x:c>
      <x:c r="D146" s="28" t="str">
        <x:v>典型实验操作</x:v>
      </x:c>
      <x:c r="E146" s="28" t="str">
        <x:v>机器人与控制</x:v>
      </x:c>
      <x:c r="F146" s="28" t="str">
        <x:v>自动称量</x:v>
      </x:c>
      <x:c r="G146" s="28" t="str">
        <x:v>在实验环境中实现“自动称量”，同时满足标定精度、接触安全、污染控制、异常检测与可恢复性。</x:v>
      </x:c>
      <x:c r="H146" s="28" t="str">
        <x:v>成功条件能否由传感器独立确认，失败后能否安全恢复？</x:v>
      </x:c>
      <x:c r="I146" s="28" t="str">
        <x:v>动作成功率；位姿/力误差；碰撞/污染率；恢复时间；未确认动作率</x:v>
      </x:c>
      <x:c r="J146" s="64" t="str">
        <x:v>工程化关键</x:v>
      </x:c>
      <x:c r="K146" s="64" t="str">
        <x:v>P1</x:v>
      </x:c>
      <x:c r="L146" s="28" t="str">
        <x:v>S08; S09; S10; S17; S61</x:v>
      </x:c>
      <x:c r="M146" s="28" t="str">
        <x:v>https://www.nature.com/articles/s44160-026-01053-0</x:v>
      </x:c>
    </x:row>
    <x:row r="147" ht="48" customHeight="1">
      <x:c r="A147" s="64" t="str">
        <x:v>T0146</x:v>
      </x:c>
      <x:c r="B147" s="28" t="str">
        <x:v>实验执行与具身自动化</x:v>
      </x:c>
      <x:c r="C147" s="28" t="str">
        <x:v>机器人操作与具身技能</x:v>
      </x:c>
      <x:c r="D147" s="28" t="str">
        <x:v>典型实验操作</x:v>
      </x:c>
      <x:c r="E147" s="28" t="str">
        <x:v>机器人与控制</x:v>
      </x:c>
      <x:c r="F147" s="28" t="str">
        <x:v>粉末舀取</x:v>
      </x:c>
      <x:c r="G147" s="28" t="str">
        <x:v>在实验环境中实现“粉末舀取”，同时满足标定精度、接触安全、污染控制、异常检测与可恢复性。</x:v>
      </x:c>
      <x:c r="H147" s="28" t="str">
        <x:v>成功条件能否由传感器独立确认，失败后能否安全恢复？</x:v>
      </x:c>
      <x:c r="I147" s="28" t="str">
        <x:v>动作成功率；位姿/力误差；碰撞/污染率；恢复时间；未确认动作率</x:v>
      </x:c>
      <x:c r="J147" s="64" t="str">
        <x:v>工程化关键</x:v>
      </x:c>
      <x:c r="K147" s="64" t="str">
        <x:v>P1</x:v>
      </x:c>
      <x:c r="L147" s="28" t="str">
        <x:v>S08; S09; S10; S17; S61</x:v>
      </x:c>
      <x:c r="M147" s="28" t="str">
        <x:v>https://www.nature.com/articles/s41586-020-2442-2</x:v>
      </x:c>
    </x:row>
    <x:row r="148" ht="48" customHeight="1">
      <x:c r="A148" s="64" t="str">
        <x:v>T0147</x:v>
      </x:c>
      <x:c r="B148" s="28" t="str">
        <x:v>实验执行与具身自动化</x:v>
      </x:c>
      <x:c r="C148" s="28" t="str">
        <x:v>机器人操作与具身技能</x:v>
      </x:c>
      <x:c r="D148" s="28" t="str">
        <x:v>典型实验操作</x:v>
      </x:c>
      <x:c r="E148" s="28" t="str">
        <x:v>机器人与控制</x:v>
      </x:c>
      <x:c r="F148" s="28" t="str">
        <x:v>刮刀操作</x:v>
      </x:c>
      <x:c r="G148" s="28" t="str">
        <x:v>在实验环境中实现“刮刀操作”，同时满足标定精度、接触安全、污染控制、异常检测与可恢复性。</x:v>
      </x:c>
      <x:c r="H148" s="28" t="str">
        <x:v>成功条件能否由传感器独立确认，失败后能否安全恢复？</x:v>
      </x:c>
      <x:c r="I148" s="28" t="str">
        <x:v>动作成功率；位姿/力误差；碰撞/污染率；恢复时间；未确认动作率</x:v>
      </x:c>
      <x:c r="J148" s="64" t="str">
        <x:v>工程化关键</x:v>
      </x:c>
      <x:c r="K148" s="64" t="str">
        <x:v>P1</x:v>
      </x:c>
      <x:c r="L148" s="28" t="str">
        <x:v>S08; S09; S10; S17; S61</x:v>
      </x:c>
      <x:c r="M148" s="28" t="str">
        <x:v>https://www.nature.com/articles/s41586-024-08173-7</x:v>
      </x:c>
    </x:row>
    <x:row r="149" ht="48" customHeight="1">
      <x:c r="A149" s="64" t="str">
        <x:v>T0148</x:v>
      </x:c>
      <x:c r="B149" s="28" t="str">
        <x:v>实验执行与具身自动化</x:v>
      </x:c>
      <x:c r="C149" s="28" t="str">
        <x:v>机器人操作与具身技能</x:v>
      </x:c>
      <x:c r="D149" s="28" t="str">
        <x:v>典型实验操作</x:v>
      </x:c>
      <x:c r="E149" s="28" t="str">
        <x:v>机器人与控制</x:v>
      </x:c>
      <x:c r="F149" s="28" t="str">
        <x:v>注射器操作</x:v>
      </x:c>
      <x:c r="G149" s="28" t="str">
        <x:v>在实验环境中实现“注射器操作”，同时满足标定精度、接触安全、污染控制、异常检测与可恢复性。</x:v>
      </x:c>
      <x:c r="H149" s="28" t="str">
        <x:v>成功条件能否由传感器独立确认，失败后能否安全恢复？</x:v>
      </x:c>
      <x:c r="I149" s="28" t="str">
        <x:v>动作成功率；位姿/力误差；碰撞/污染率；恢复时间；未确认动作率</x:v>
      </x:c>
      <x:c r="J149" s="64" t="str">
        <x:v>工程化关键</x:v>
      </x:c>
      <x:c r="K149" s="64" t="str">
        <x:v>P1</x:v>
      </x:c>
      <x:c r="L149" s="28" t="str">
        <x:v>S08; S09; S10; S17; S61</x:v>
      </x:c>
      <x:c r="M149" s="28" t="str">
        <x:v>https://pubs.rsc.org/en/content/articlehtml/2024/sc/d3sc06206f</x:v>
      </x:c>
    </x:row>
    <x:row r="150" ht="48" customHeight="1">
      <x:c r="A150" s="64" t="str">
        <x:v>T0149</x:v>
      </x:c>
      <x:c r="B150" s="28" t="str">
        <x:v>实验执行与具身自动化</x:v>
      </x:c>
      <x:c r="C150" s="28" t="str">
        <x:v>机器人操作与具身技能</x:v>
      </x:c>
      <x:c r="D150" s="28" t="str">
        <x:v>典型实验操作</x:v>
      </x:c>
      <x:c r="E150" s="28" t="str">
        <x:v>机器人与控制</x:v>
      </x:c>
      <x:c r="F150" s="28" t="str">
        <x:v>穿刺操作</x:v>
      </x:c>
      <x:c r="G150" s="28" t="str">
        <x:v>在实验环境中实现“穿刺操作”，同时满足标定精度、接触安全、污染控制、异常检测与可恢复性。</x:v>
      </x:c>
      <x:c r="H150" s="28" t="str">
        <x:v>成功条件能否由传感器独立确认，失败后能否安全恢复？</x:v>
      </x:c>
      <x:c r="I150" s="28" t="str">
        <x:v>动作成功率；位姿/力误差；碰撞/污染率；恢复时间；未确认动作率</x:v>
      </x:c>
      <x:c r="J150" s="64" t="str">
        <x:v>进阶能力</x:v>
      </x:c>
      <x:c r="K150" s="64" t="str">
        <x:v>P2</x:v>
      </x:c>
      <x:c r="L150" s="28" t="str">
        <x:v>S08; S09; S10; S17; S61</x:v>
      </x:c>
      <x:c r="M150" s="28" t="str">
        <x:v>https://www.science.org/doi/10.1126/sciadv.adj0461</x:v>
      </x:c>
    </x:row>
    <x:row r="151" ht="48" customHeight="1">
      <x:c r="A151" s="64" t="str">
        <x:v>T0150</x:v>
      </x:c>
      <x:c r="B151" s="28" t="str">
        <x:v>实验执行与具身自动化</x:v>
      </x:c>
      <x:c r="C151" s="28" t="str">
        <x:v>机器人操作与具身技能</x:v>
      </x:c>
      <x:c r="D151" s="28" t="str">
        <x:v>典型实验操作</x:v>
      </x:c>
      <x:c r="E151" s="28" t="str">
        <x:v>机器人与控制</x:v>
      </x:c>
      <x:c r="F151" s="28" t="str">
        <x:v>透明物体抓取</x:v>
      </x:c>
      <x:c r="G151" s="28" t="str">
        <x:v>在实验环境中实现“透明物体抓取”，同时满足标定精度、接触安全、污染控制、异常检测与可恢复性。</x:v>
      </x:c>
      <x:c r="H151" s="28" t="str">
        <x:v>成功条件能否由传感器独立确认，失败后能否安全恢复？</x:v>
      </x:c>
      <x:c r="I151" s="28" t="str">
        <x:v>动作成功率；位姿/力误差；碰撞/污染率；恢复时间；未确认动作率</x:v>
      </x:c>
      <x:c r="J151" s="64" t="str">
        <x:v>进阶能力</x:v>
      </x:c>
      <x:c r="K151" s="64" t="str">
        <x:v>P2</x:v>
      </x:c>
      <x:c r="L151" s="28" t="str">
        <x:v>S08; S09; S10; S17; S61</x:v>
      </x:c>
      <x:c r="M151" s="28" t="str">
        <x:v>https://www.nature.com/articles/s44160-026-01053-0</x:v>
      </x:c>
    </x:row>
    <x:row r="152" ht="48" customHeight="1">
      <x:c r="A152" s="64" t="str">
        <x:v>T0151</x:v>
      </x:c>
      <x:c r="B152" s="28" t="str">
        <x:v>实验执行与具身自动化</x:v>
      </x:c>
      <x:c r="C152" s="28" t="str">
        <x:v>机器人操作与具身技能</x:v>
      </x:c>
      <x:c r="D152" s="28" t="str">
        <x:v>复杂环境与自恢复</x:v>
      </x:c>
      <x:c r="E152" s="28" t="str">
        <x:v>机器人与控制</x:v>
      </x:c>
      <x:c r="F152" s="28" t="str">
        <x:v>反光物体抓取</x:v>
      </x:c>
      <x:c r="G152" s="28" t="str">
        <x:v>在实验环境中实现“反光物体抓取”，同时满足标定精度、接触安全、污染控制、异常检测与可恢复性。</x:v>
      </x:c>
      <x:c r="H152" s="28" t="str">
        <x:v>成功条件能否由传感器独立确认，失败后能否安全恢复？</x:v>
      </x:c>
      <x:c r="I152" s="28" t="str">
        <x:v>动作成功率；位姿/力误差；碰撞/污染率；恢复时间；未确认动作率</x:v>
      </x:c>
      <x:c r="J152" s="64" t="str">
        <x:v>进阶能力</x:v>
      </x:c>
      <x:c r="K152" s="64" t="str">
        <x:v>P2</x:v>
      </x:c>
      <x:c r="L152" s="28" t="str">
        <x:v>S08; S09; S10; S17; S61</x:v>
      </x:c>
      <x:c r="M152" s="28" t="str">
        <x:v>https://www.nature.com/articles/s41586-020-2442-2</x:v>
      </x:c>
    </x:row>
    <x:row r="153" ht="48" customHeight="1">
      <x:c r="A153" s="64" t="str">
        <x:v>T0152</x:v>
      </x:c>
      <x:c r="B153" s="28" t="str">
        <x:v>实验执行与具身自动化</x:v>
      </x:c>
      <x:c r="C153" s="28" t="str">
        <x:v>机器人操作与具身技能</x:v>
      </x:c>
      <x:c r="D153" s="28" t="str">
        <x:v>复杂环境与自恢复</x:v>
      </x:c>
      <x:c r="E153" s="28" t="str">
        <x:v>机器人与控制</x:v>
      </x:c>
      <x:c r="F153" s="28" t="str">
        <x:v>柔性物体处理</x:v>
      </x:c>
      <x:c r="G153" s="28" t="str">
        <x:v>在实验环境中实现“柔性物体处理”，同时满足标定精度、接触安全、污染控制、异常检测与可恢复性。</x:v>
      </x:c>
      <x:c r="H153" s="28" t="str">
        <x:v>成功条件能否由传感器独立确认，失败后能否安全恢复？</x:v>
      </x:c>
      <x:c r="I153" s="28" t="str">
        <x:v>动作成功率；位姿/力误差；碰撞/污染率；恢复时间；未确认动作率</x:v>
      </x:c>
      <x:c r="J153" s="64" t="str">
        <x:v>进阶能力</x:v>
      </x:c>
      <x:c r="K153" s="64" t="str">
        <x:v>P2</x:v>
      </x:c>
      <x:c r="L153" s="28" t="str">
        <x:v>S08; S09; S10; S17; S61</x:v>
      </x:c>
      <x:c r="M153" s="28" t="str">
        <x:v>https://www.nature.com/articles/s41586-024-08173-7</x:v>
      </x:c>
    </x:row>
    <x:row r="154" ht="48" customHeight="1">
      <x:c r="A154" s="64" t="str">
        <x:v>T0153</x:v>
      </x:c>
      <x:c r="B154" s="28" t="str">
        <x:v>实验执行与具身自动化</x:v>
      </x:c>
      <x:c r="C154" s="28" t="str">
        <x:v>机器人操作与具身技能</x:v>
      </x:c>
      <x:c r="D154" s="28" t="str">
        <x:v>复杂环境与自恢复</x:v>
      </x:c>
      <x:c r="E154" s="28" t="str">
        <x:v>机器人与控制</x:v>
      </x:c>
      <x:c r="F154" s="28" t="str">
        <x:v>易碎样品处理</x:v>
      </x:c>
      <x:c r="G154" s="28" t="str">
        <x:v>在实验环境中实现“易碎样品处理”，同时满足标定精度、接触安全、污染控制、异常检测与可恢复性。</x:v>
      </x:c>
      <x:c r="H154" s="28" t="str">
        <x:v>成功条件能否由传感器独立确认，失败后能否安全恢复？</x:v>
      </x:c>
      <x:c r="I154" s="28" t="str">
        <x:v>动作成功率；位姿/力误差；碰撞/污染率；恢复时间；未确认动作率</x:v>
      </x:c>
      <x:c r="J154" s="64" t="str">
        <x:v>进阶能力</x:v>
      </x:c>
      <x:c r="K154" s="64" t="str">
        <x:v>P2</x:v>
      </x:c>
      <x:c r="L154" s="28" t="str">
        <x:v>S08; S09; S10; S17; S61</x:v>
      </x:c>
      <x:c r="M154" s="28" t="str">
        <x:v>https://pubs.rsc.org/en/content/articlehtml/2024/sc/d3sc06206f</x:v>
      </x:c>
    </x:row>
    <x:row r="155" ht="48" customHeight="1">
      <x:c r="A155" s="64" t="str">
        <x:v>T0154</x:v>
      </x:c>
      <x:c r="B155" s="28" t="str">
        <x:v>实验执行与具身自动化</x:v>
      </x:c>
      <x:c r="C155" s="28" t="str">
        <x:v>机器人操作与具身技能</x:v>
      </x:c>
      <x:c r="D155" s="28" t="str">
        <x:v>复杂环境与自恢复</x:v>
      </x:c>
      <x:c r="E155" s="28" t="str">
        <x:v>机器人与控制</x:v>
      </x:c>
      <x:c r="F155" s="28" t="str">
        <x:v>防交叉污染</x:v>
      </x:c>
      <x:c r="G155" s="28" t="str">
        <x:v>在实验环境中实现“防交叉污染”，同时满足标定精度、接触安全、污染控制、异常检测与可恢复性。</x:v>
      </x:c>
      <x:c r="H155" s="28" t="str">
        <x:v>成功条件能否由传感器独立确认，失败后能否安全恢复？</x:v>
      </x:c>
      <x:c r="I155" s="28" t="str">
        <x:v>动作成功率；位姿/力误差；碰撞/污染率；恢复时间；未确认动作率</x:v>
      </x:c>
      <x:c r="J155" s="64" t="str">
        <x:v>进阶能力</x:v>
      </x:c>
      <x:c r="K155" s="64" t="str">
        <x:v>P2</x:v>
      </x:c>
      <x:c r="L155" s="28" t="str">
        <x:v>S08; S09; S10; S17; S61</x:v>
      </x:c>
      <x:c r="M155" s="28" t="str">
        <x:v>https://www.science.org/doi/10.1126/sciadv.adj0461</x:v>
      </x:c>
    </x:row>
    <x:row r="156" ht="48" customHeight="1">
      <x:c r="A156" s="64" t="str">
        <x:v>T0155</x:v>
      </x:c>
      <x:c r="B156" s="28" t="str">
        <x:v>实验执行与具身自动化</x:v>
      </x:c>
      <x:c r="C156" s="28" t="str">
        <x:v>机器人操作与具身技能</x:v>
      </x:c>
      <x:c r="D156" s="28" t="str">
        <x:v>复杂环境与自恢复</x:v>
      </x:c>
      <x:c r="E156" s="28" t="str">
        <x:v>机器人与控制</x:v>
      </x:c>
      <x:c r="F156" s="28" t="str">
        <x:v>洁净室兼容</x:v>
      </x:c>
      <x:c r="G156" s="28" t="str">
        <x:v>在实验环境中实现“洁净室兼容”，同时满足标定精度、接触安全、污染控制、异常检测与可恢复性。</x:v>
      </x:c>
      <x:c r="H156" s="28" t="str">
        <x:v>成功条件能否由传感器独立确认，失败后能否安全恢复？</x:v>
      </x:c>
      <x:c r="I156" s="28" t="str">
        <x:v>动作成功率；位姿/力误差；碰撞/污染率；恢复时间；未确认动作率</x:v>
      </x:c>
      <x:c r="J156" s="64" t="str">
        <x:v>进阶能力</x:v>
      </x:c>
      <x:c r="K156" s="64" t="str">
        <x:v>P2</x:v>
      </x:c>
      <x:c r="L156" s="28" t="str">
        <x:v>S08; S09; S10; S17; S61</x:v>
      </x:c>
      <x:c r="M156" s="28" t="str">
        <x:v>https://www.nature.com/articles/s44160-026-01053-0</x:v>
      </x:c>
    </x:row>
    <x:row r="157" ht="48" customHeight="1">
      <x:c r="A157" s="64" t="str">
        <x:v>T0156</x:v>
      </x:c>
      <x:c r="B157" s="28" t="str">
        <x:v>实验执行与具身自动化</x:v>
      </x:c>
      <x:c r="C157" s="28" t="str">
        <x:v>机器人操作与具身技能</x:v>
      </x:c>
      <x:c r="D157" s="28" t="str">
        <x:v>复杂环境与自恢复</x:v>
      </x:c>
      <x:c r="E157" s="28" t="str">
        <x:v>机器人与控制</x:v>
      </x:c>
      <x:c r="F157" s="28" t="str">
        <x:v>防爆机器人</x:v>
      </x:c>
      <x:c r="G157" s="28" t="str">
        <x:v>在实验环境中实现“防爆机器人”，同时满足标定精度、接触安全、污染控制、异常检测与可恢复性。</x:v>
      </x:c>
      <x:c r="H157" s="28" t="str">
        <x:v>成功条件能否由传感器独立确认，失败后能否安全恢复？</x:v>
      </x:c>
      <x:c r="I157" s="28" t="str">
        <x:v>动作成功率；位姿/力误差；碰撞/污染率；恢复时间；未确认动作率</x:v>
      </x:c>
      <x:c r="J157" s="64" t="str">
        <x:v>进阶能力</x:v>
      </x:c>
      <x:c r="K157" s="64" t="str">
        <x:v>P2</x:v>
      </x:c>
      <x:c r="L157" s="28" t="str">
        <x:v>S08; S09; S10; S17; S61</x:v>
      </x:c>
      <x:c r="M157" s="28" t="str">
        <x:v>https://www.nature.com/articles/s41586-020-2442-2</x:v>
      </x:c>
    </x:row>
    <x:row r="158" ht="48" customHeight="1">
      <x:c r="A158" s="64" t="str">
        <x:v>T0157</x:v>
      </x:c>
      <x:c r="B158" s="28" t="str">
        <x:v>实验执行与具身自动化</x:v>
      </x:c>
      <x:c r="C158" s="28" t="str">
        <x:v>机器人操作与具身技能</x:v>
      </x:c>
      <x:c r="D158" s="28" t="str">
        <x:v>复杂环境与自恢复</x:v>
      </x:c>
      <x:c r="E158" s="28" t="str">
        <x:v>机器人与控制</x:v>
      </x:c>
      <x:c r="F158" s="28" t="str">
        <x:v>手套箱集成</x:v>
      </x:c>
      <x:c r="G158" s="28" t="str">
        <x:v>在实验环境中实现“手套箱集成”，同时满足标定精度、接触安全、污染控制、异常检测与可恢复性。</x:v>
      </x:c>
      <x:c r="H158" s="28" t="str">
        <x:v>成功条件能否由传感器独立确认，失败后能否安全恢复？</x:v>
      </x:c>
      <x:c r="I158" s="28" t="str">
        <x:v>动作成功率；位姿/力误差；碰撞/污染率；恢复时间；未确认动作率</x:v>
      </x:c>
      <x:c r="J158" s="64" t="str">
        <x:v>前沿能力</x:v>
      </x:c>
      <x:c r="K158" s="64" t="str">
        <x:v>P2</x:v>
      </x:c>
      <x:c r="L158" s="28" t="str">
        <x:v>S08; S09; S10; S17; S61</x:v>
      </x:c>
      <x:c r="M158" s="28" t="str">
        <x:v>https://www.nature.com/articles/s41586-024-08173-7</x:v>
      </x:c>
    </x:row>
    <x:row r="159" ht="48" customHeight="1">
      <x:c r="A159" s="64" t="str">
        <x:v>T0158</x:v>
      </x:c>
      <x:c r="B159" s="28" t="str">
        <x:v>实验执行与具身自动化</x:v>
      </x:c>
      <x:c r="C159" s="28" t="str">
        <x:v>机器人操作与具身技能</x:v>
      </x:c>
      <x:c r="D159" s="28" t="str">
        <x:v>复杂环境与自恢复</x:v>
      </x:c>
      <x:c r="E159" s="28" t="str">
        <x:v>机器人与控制</x:v>
      </x:c>
      <x:c r="F159" s="28" t="str">
        <x:v>远程故障恢复</x:v>
      </x:c>
      <x:c r="G159" s="28" t="str">
        <x:v>在实验环境中实现“远程故障恢复”，同时满足标定精度、接触安全、污染控制、异常检测与可恢复性。</x:v>
      </x:c>
      <x:c r="H159" s="28" t="str">
        <x:v>成功条件能否由传感器独立确认，失败后能否安全恢复？</x:v>
      </x:c>
      <x:c r="I159" s="28" t="str">
        <x:v>动作成功率；位姿/力误差；碰撞/污染率；恢复时间；未确认动作率</x:v>
      </x:c>
      <x:c r="J159" s="64" t="str">
        <x:v>前沿能力</x:v>
      </x:c>
      <x:c r="K159" s="64" t="str">
        <x:v>P2</x:v>
      </x:c>
      <x:c r="L159" s="28" t="str">
        <x:v>S08; S09; S10; S17; S61</x:v>
      </x:c>
      <x:c r="M159" s="28" t="str">
        <x:v>https://pubs.rsc.org/en/content/articlehtml/2024/sc/d3sc06206f</x:v>
      </x:c>
    </x:row>
    <x:row r="160" ht="48" customHeight="1">
      <x:c r="A160" s="64" t="str">
        <x:v>T0159</x:v>
      </x:c>
      <x:c r="B160" s="28" t="str">
        <x:v>实验执行与具身自动化</x:v>
      </x:c>
      <x:c r="C160" s="28" t="str">
        <x:v>机器人操作与具身技能</x:v>
      </x:c>
      <x:c r="D160" s="28" t="str">
        <x:v>复杂环境与自恢复</x:v>
      </x:c>
      <x:c r="E160" s="28" t="str">
        <x:v>机器人与控制</x:v>
      </x:c>
      <x:c r="F160" s="28" t="str">
        <x:v>自标定</x:v>
      </x:c>
      <x:c r="G160" s="28" t="str">
        <x:v>在实验环境中实现“自标定”，同时满足标定精度、接触安全、污染控制、异常检测与可恢复性。</x:v>
      </x:c>
      <x:c r="H160" s="28" t="str">
        <x:v>成功条件能否由传感器独立确认，失败后能否安全恢复？</x:v>
      </x:c>
      <x:c r="I160" s="28" t="str">
        <x:v>动作成功率；位姿/力误差；碰撞/污染率；恢复时间；未确认动作率</x:v>
      </x:c>
      <x:c r="J160" s="64" t="str">
        <x:v>前沿能力</x:v>
      </x:c>
      <x:c r="K160" s="64" t="str">
        <x:v>P2</x:v>
      </x:c>
      <x:c r="L160" s="28" t="str">
        <x:v>S08; S09; S10; S17; S61</x:v>
      </x:c>
      <x:c r="M160" s="28" t="str">
        <x:v>https://www.science.org/doi/10.1126/sciadv.adj0461</x:v>
      </x:c>
    </x:row>
    <x:row r="161" ht="48" customHeight="1">
      <x:c r="A161" s="64" t="str">
        <x:v>T0160</x:v>
      </x:c>
      <x:c r="B161" s="28" t="str">
        <x:v>实验执行与具身自动化</x:v>
      </x:c>
      <x:c r="C161" s="28" t="str">
        <x:v>机器人操作与具身技能</x:v>
      </x:c>
      <x:c r="D161" s="28" t="str">
        <x:v>复杂环境与自恢复</x:v>
      </x:c>
      <x:c r="E161" s="28" t="str">
        <x:v>机器人与控制</x:v>
      </x:c>
      <x:c r="F161" s="28" t="str">
        <x:v>示教学习</x:v>
      </x:c>
      <x:c r="G161" s="28" t="str">
        <x:v>在实验环境中实现“示教学习”，同时满足标定精度、接触安全、污染控制、异常检测与可恢复性。</x:v>
      </x:c>
      <x:c r="H161" s="28" t="str">
        <x:v>成功条件能否由传感器独立确认，失败后能否安全恢复？</x:v>
      </x:c>
      <x:c r="I161" s="28" t="str">
        <x:v>动作成功率；位姿/力误差；碰撞/污染率；恢复时间；未确认动作率</x:v>
      </x:c>
      <x:c r="J161" s="64" t="str">
        <x:v>前沿能力</x:v>
      </x:c>
      <x:c r="K161" s="64" t="str">
        <x:v>P2</x:v>
      </x:c>
      <x:c r="L161" s="28" t="str">
        <x:v>S08; S09; S10; S17; S61</x:v>
      </x:c>
      <x:c r="M161" s="28" t="str">
        <x:v>https://www.nature.com/articles/s44160-026-01053-0</x:v>
      </x:c>
    </x:row>
    <x:row r="162" ht="48" customHeight="1">
      <x:c r="A162" s="64" t="str">
        <x:v>T0161</x:v>
      </x:c>
      <x:c r="B162" s="28" t="str">
        <x:v>实验执行与具身自动化</x:v>
      </x:c>
      <x:c r="C162" s="28" t="str">
        <x:v>移动机器人、物流与多机器人</x:v>
      </x:c>
      <x:c r="D162" s="28" t="str">
        <x:v>导航定位与设施</x:v>
      </x:c>
      <x:c r="E162" s="28" t="str">
        <x:v>移动机器人与物流</x:v>
      </x:c>
      <x:c r="F162" s="28" t="str">
        <x:v>AGV/AMR选型</x:v>
      </x:c>
      <x:c r="G162" s="28" t="str">
        <x:v>用“AGV/AMR选型”连接分散设备与工位，保证样品身份、时间窗、危险品边界和多机器人协同的一致性。</x:v>
      </x:c>
      <x:c r="H162" s="28" t="str">
        <x:v>样品身份、位置、时限与危险等级在交接链上是否始终一致？</x:v>
      </x:c>
      <x:c r="I162" s="28" t="str">
        <x:v>准时交付率；定位/对接误差；交接成功率；样品追踪完整率；死锁次数</x:v>
      </x:c>
      <x:c r="J162" s="64" t="str">
        <x:v>基础能力</x:v>
      </x:c>
      <x:c r="K162" s="64" t="str">
        <x:v>P0</x:v>
      </x:c>
      <x:c r="L162" s="28" t="str">
        <x:v>S08; S09; S10; S12</x:v>
      </x:c>
      <x:c r="M162" s="28" t="str">
        <x:v>https://www.nature.com/articles/s41586-020-2442-2</x:v>
      </x:c>
    </x:row>
    <x:row r="163" ht="48" customHeight="1">
      <x:c r="A163" s="64" t="str">
        <x:v>T0162</x:v>
      </x:c>
      <x:c r="B163" s="28" t="str">
        <x:v>实验执行与具身自动化</x:v>
      </x:c>
      <x:c r="C163" s="28" t="str">
        <x:v>移动机器人、物流与多机器人</x:v>
      </x:c>
      <x:c r="D163" s="28" t="str">
        <x:v>导航定位与设施</x:v>
      </x:c>
      <x:c r="E163" s="28" t="str">
        <x:v>移动机器人与物流</x:v>
      </x:c>
      <x:c r="F163" s="28" t="str">
        <x:v>自主导航</x:v>
      </x:c>
      <x:c r="G163" s="28" t="str">
        <x:v>用“自主导航”连接分散设备与工位，保证样品身份、时间窗、危险品边界和多机器人协同的一致性。</x:v>
      </x:c>
      <x:c r="H163" s="28" t="str">
        <x:v>样品身份、位置、时限与危险等级在交接链上是否始终一致？</x:v>
      </x:c>
      <x:c r="I163" s="28" t="str">
        <x:v>准时交付率；定位/对接误差；交接成功率；样品追踪完整率；死锁次数</x:v>
      </x:c>
      <x:c r="J163" s="64" t="str">
        <x:v>基础能力</x:v>
      </x:c>
      <x:c r="K163" s="64" t="str">
        <x:v>P0</x:v>
      </x:c>
      <x:c r="L163" s="28" t="str">
        <x:v>S08; S09; S10; S12</x:v>
      </x:c>
      <x:c r="M163" s="28" t="str">
        <x:v>https://www.nature.com/articles/s41586-024-08173-7</x:v>
      </x:c>
    </x:row>
    <x:row r="164" ht="48" customHeight="1">
      <x:c r="A164" s="64" t="str">
        <x:v>T0163</x:v>
      </x:c>
      <x:c r="B164" s="28" t="str">
        <x:v>实验执行与具身自动化</x:v>
      </x:c>
      <x:c r="C164" s="28" t="str">
        <x:v>移动机器人、物流与多机器人</x:v>
      </x:c>
      <x:c r="D164" s="28" t="str">
        <x:v>导航定位与设施</x:v>
      </x:c>
      <x:c r="E164" s="28" t="str">
        <x:v>移动机器人与物流</x:v>
      </x:c>
      <x:c r="F164" s="28" t="str">
        <x:v>室内定位</x:v>
      </x:c>
      <x:c r="G164" s="28" t="str">
        <x:v>用“室内定位”连接分散设备与工位，保证样品身份、时间窗、危险品边界和多机器人协同的一致性。</x:v>
      </x:c>
      <x:c r="H164" s="28" t="str">
        <x:v>样品身份、位置、时限与危险等级在交接链上是否始终一致？</x:v>
      </x:c>
      <x:c r="I164" s="28" t="str">
        <x:v>准时交付率；定位/对接误差；交接成功率；样品追踪完整率；死锁次数</x:v>
      </x:c>
      <x:c r="J164" s="64" t="str">
        <x:v>基础能力</x:v>
      </x:c>
      <x:c r="K164" s="64" t="str">
        <x:v>P0</x:v>
      </x:c>
      <x:c r="L164" s="28" t="str">
        <x:v>S08; S09; S10; S12</x:v>
      </x:c>
      <x:c r="M164" s="28" t="str">
        <x:v>https://pubs.rsc.org/en/content/articlehtml/2024/sc/d3sc06206f</x:v>
      </x:c>
    </x:row>
    <x:row r="165" ht="48" customHeight="1">
      <x:c r="A165" s="64" t="str">
        <x:v>T0164</x:v>
      </x:c>
      <x:c r="B165" s="28" t="str">
        <x:v>实验执行与具身自动化</x:v>
      </x:c>
      <x:c r="C165" s="28" t="str">
        <x:v>移动机器人、物流与多机器人</x:v>
      </x:c>
      <x:c r="D165" s="28" t="str">
        <x:v>导航定位与设施</x:v>
      </x:c>
      <x:c r="E165" s="28" t="str">
        <x:v>移动机器人与物流</x:v>
      </x:c>
      <x:c r="F165" s="28" t="str">
        <x:v>SLAM</x:v>
      </x:c>
      <x:c r="G165" s="28" t="str">
        <x:v>用“SLAM”连接分散设备与工位，保证样品身份、时间窗、危险品边界和多机器人协同的一致性。</x:v>
      </x:c>
      <x:c r="H165" s="28" t="str">
        <x:v>样品身份、位置、时限与危险等级在交接链上是否始终一致？</x:v>
      </x:c>
      <x:c r="I165" s="28" t="str">
        <x:v>准时交付率；定位/对接误差；交接成功率；样品追踪完整率；死锁次数</x:v>
      </x:c>
      <x:c r="J165" s="64" t="str">
        <x:v>基础能力</x:v>
      </x:c>
      <x:c r="K165" s="64" t="str">
        <x:v>P0</x:v>
      </x:c>
      <x:c r="L165" s="28" t="str">
        <x:v>S08; S09; S10; S12</x:v>
      </x:c>
      <x:c r="M165" s="28" t="str">
        <x:v>https://www.science.org/doi/10.1126/science.adk9227</x:v>
      </x:c>
    </x:row>
    <x:row r="166" ht="48" customHeight="1">
      <x:c r="A166" s="64" t="str">
        <x:v>T0165</x:v>
      </x:c>
      <x:c r="B166" s="28" t="str">
        <x:v>实验执行与具身自动化</x:v>
      </x:c>
      <x:c r="C166" s="28" t="str">
        <x:v>移动机器人、物流与多机器人</x:v>
      </x:c>
      <x:c r="D166" s="28" t="str">
        <x:v>导航定位与设施</x:v>
      </x:c>
      <x:c r="E166" s="28" t="str">
        <x:v>移动机器人与物流</x:v>
      </x:c>
      <x:c r="F166" s="28" t="str">
        <x:v>语义地图</x:v>
      </x:c>
      <x:c r="G166" s="28" t="str">
        <x:v>用“语义地图”连接分散设备与工位，保证样品身份、时间窗、危险品边界和多机器人协同的一致性。</x:v>
      </x:c>
      <x:c r="H166" s="28" t="str">
        <x:v>样品身份、位置、时限与危险等级在交接链上是否始终一致？</x:v>
      </x:c>
      <x:c r="I166" s="28" t="str">
        <x:v>准时交付率；定位/对接误差；交接成功率；样品追踪完整率；死锁次数</x:v>
      </x:c>
      <x:c r="J166" s="64" t="str">
        <x:v>基础能力</x:v>
      </x:c>
      <x:c r="K166" s="64" t="str">
        <x:v>P0</x:v>
      </x:c>
      <x:c r="L166" s="28" t="str">
        <x:v>S08; S09; S10; S12</x:v>
      </x:c>
      <x:c r="M166" s="28" t="str">
        <x:v>https://www.nature.com/articles/s41586-020-2442-2</x:v>
      </x:c>
    </x:row>
    <x:row r="167" ht="48" customHeight="1">
      <x:c r="A167" s="64" t="str">
        <x:v>T0166</x:v>
      </x:c>
      <x:c r="B167" s="28" t="str">
        <x:v>实验执行与具身自动化</x:v>
      </x:c>
      <x:c r="C167" s="28" t="str">
        <x:v>移动机器人、物流与多机器人</x:v>
      </x:c>
      <x:c r="D167" s="28" t="str">
        <x:v>导航定位与设施</x:v>
      </x:c>
      <x:c r="E167" s="28" t="str">
        <x:v>移动机器人与物流</x:v>
      </x:c>
      <x:c r="F167" s="28" t="str">
        <x:v>精确对接</x:v>
      </x:c>
      <x:c r="G167" s="28" t="str">
        <x:v>用“精确对接”连接分散设备与工位，保证样品身份、时间窗、危险品边界和多机器人协同的一致性。</x:v>
      </x:c>
      <x:c r="H167" s="28" t="str">
        <x:v>样品身份、位置、时限与危险等级在交接链上是否始终一致？</x:v>
      </x:c>
      <x:c r="I167" s="28" t="str">
        <x:v>准时交付率；定位/对接误差；交接成功率；样品追踪完整率；死锁次数</x:v>
      </x:c>
      <x:c r="J167" s="64" t="str">
        <x:v>基础能力</x:v>
      </x:c>
      <x:c r="K167" s="64" t="str">
        <x:v>P0</x:v>
      </x:c>
      <x:c r="L167" s="28" t="str">
        <x:v>S08; S09; S10; S12</x:v>
      </x:c>
      <x:c r="M167" s="28" t="str">
        <x:v>https://www.nature.com/articles/s41586-024-08173-7</x:v>
      </x:c>
    </x:row>
    <x:row r="168" ht="48" customHeight="1">
      <x:c r="A168" s="64" t="str">
        <x:v>T0167</x:v>
      </x:c>
      <x:c r="B168" s="28" t="str">
        <x:v>实验执行与具身自动化</x:v>
      </x:c>
      <x:c r="C168" s="28" t="str">
        <x:v>移动机器人、物流与多机器人</x:v>
      </x:c>
      <x:c r="D168" s="28" t="str">
        <x:v>导航定位与设施</x:v>
      </x:c>
      <x:c r="E168" s="28" t="str">
        <x:v>移动机器人与物流</x:v>
      </x:c>
      <x:c r="F168" s="28" t="str">
        <x:v>门/电梯通行</x:v>
      </x:c>
      <x:c r="G168" s="28" t="str">
        <x:v>用“门/电梯通行”连接分散设备与工位，保证样品身份、时间窗、危险品边界和多机器人协同的一致性。</x:v>
      </x:c>
      <x:c r="H168" s="28" t="str">
        <x:v>样品身份、位置、时限与危险等级在交接链上是否始终一致？</x:v>
      </x:c>
      <x:c r="I168" s="28" t="str">
        <x:v>准时交付率；定位/对接误差；交接成功率；样品追踪完整率；死锁次数</x:v>
      </x:c>
      <x:c r="J168" s="64" t="str">
        <x:v>基础能力</x:v>
      </x:c>
      <x:c r="K168" s="64" t="str">
        <x:v>P0</x:v>
      </x:c>
      <x:c r="L168" s="28" t="str">
        <x:v>S08; S09; S10; S12</x:v>
      </x:c>
      <x:c r="M168" s="28" t="str">
        <x:v>https://pubs.rsc.org/en/content/articlehtml/2024/sc/d3sc06206f</x:v>
      </x:c>
    </x:row>
    <x:row r="169" ht="48" customHeight="1">
      <x:c r="A169" s="64" t="str">
        <x:v>T0168</x:v>
      </x:c>
      <x:c r="B169" s="28" t="str">
        <x:v>实验执行与具身自动化</x:v>
      </x:c>
      <x:c r="C169" s="28" t="str">
        <x:v>移动机器人、物流与多机器人</x:v>
      </x:c>
      <x:c r="D169" s="28" t="str">
        <x:v>导航定位与设施</x:v>
      </x:c>
      <x:c r="E169" s="28" t="str">
        <x:v>移动机器人与物流</x:v>
      </x:c>
      <x:c r="F169" s="28" t="str">
        <x:v>实验室布局优化</x:v>
      </x:c>
      <x:c r="G169" s="28" t="str">
        <x:v>用“实验室布局优化”连接分散设备与工位，保证样品身份、时间窗、危险品边界和多机器人协同的一致性。</x:v>
      </x:c>
      <x:c r="H169" s="28" t="str">
        <x:v>样品身份、位置、时限与危险等级在交接链上是否始终一致？</x:v>
      </x:c>
      <x:c r="I169" s="28" t="str">
        <x:v>准时交付率；定位/对接误差；交接成功率；样品追踪完整率；死锁次数</x:v>
      </x:c>
      <x:c r="J169" s="64" t="str">
        <x:v>基础能力</x:v>
      </x:c>
      <x:c r="K169" s="64" t="str">
        <x:v>P0</x:v>
      </x:c>
      <x:c r="L169" s="28" t="str">
        <x:v>S08; S09; S10; S12</x:v>
      </x:c>
      <x:c r="M169" s="28" t="str">
        <x:v>https://www.science.org/doi/10.1126/science.adk9227</x:v>
      </x:c>
    </x:row>
    <x:row r="170" ht="48" customHeight="1">
      <x:c r="A170" s="64" t="str">
        <x:v>T0169</x:v>
      </x:c>
      <x:c r="B170" s="28" t="str">
        <x:v>实验执行与具身自动化</x:v>
      </x:c>
      <x:c r="C170" s="28" t="str">
        <x:v>移动机器人、物流与多机器人</x:v>
      </x:c>
      <x:c r="D170" s="28" t="str">
        <x:v>导航定位与设施</x:v>
      </x:c>
      <x:c r="E170" s="28" t="str">
        <x:v>移动机器人与物流</x:v>
      </x:c>
      <x:c r="F170" s="28" t="str">
        <x:v>动态避障</x:v>
      </x:c>
      <x:c r="G170" s="28" t="str">
        <x:v>用“动态避障”连接分散设备与工位，保证样品身份、时间窗、危险品边界和多机器人协同的一致性。</x:v>
      </x:c>
      <x:c r="H170" s="28" t="str">
        <x:v>样品身份、位置、时限与危险等级在交接链上是否始终一致？</x:v>
      </x:c>
      <x:c r="I170" s="28" t="str">
        <x:v>准时交付率；定位/对接误差；交接成功率；样品追踪完整率；死锁次数</x:v>
      </x:c>
      <x:c r="J170" s="64" t="str">
        <x:v>基础能力</x:v>
      </x:c>
      <x:c r="K170" s="64" t="str">
        <x:v>P0</x:v>
      </x:c>
      <x:c r="L170" s="28" t="str">
        <x:v>S08; S09; S10; S12</x:v>
      </x:c>
      <x:c r="M170" s="28" t="str">
        <x:v>https://www.nature.com/articles/s41586-020-2442-2</x:v>
      </x:c>
    </x:row>
    <x:row r="171" ht="48" customHeight="1">
      <x:c r="A171" s="64" t="str">
        <x:v>T0170</x:v>
      </x:c>
      <x:c r="B171" s="28" t="str">
        <x:v>实验执行与具身自动化</x:v>
      </x:c>
      <x:c r="C171" s="28" t="str">
        <x:v>移动机器人、物流与多机器人</x:v>
      </x:c>
      <x:c r="D171" s="28" t="str">
        <x:v>导航定位与设施</x:v>
      </x:c>
      <x:c r="E171" s="28" t="str">
        <x:v>移动机器人与物流</x:v>
      </x:c>
      <x:c r="F171" s="28" t="str">
        <x:v>交通管制</x:v>
      </x:c>
      <x:c r="G171" s="28" t="str">
        <x:v>用“交通管制”连接分散设备与工位，保证样品身份、时间窗、危险品边界和多机器人协同的一致性。</x:v>
      </x:c>
      <x:c r="H171" s="28" t="str">
        <x:v>样品身份、位置、时限与危险等级在交接链上是否始终一致？</x:v>
      </x:c>
      <x:c r="I171" s="28" t="str">
        <x:v>准时交付率；定位/对接误差；交接成功率；样品追踪完整率；死锁次数</x:v>
      </x:c>
      <x:c r="J171" s="64" t="str">
        <x:v>基础能力</x:v>
      </x:c>
      <x:c r="K171" s="64" t="str">
        <x:v>P0</x:v>
      </x:c>
      <x:c r="L171" s="28" t="str">
        <x:v>S08; S09; S10; S12</x:v>
      </x:c>
      <x:c r="M171" s="28" t="str">
        <x:v>https://www.nature.com/articles/s41586-024-08173-7</x:v>
      </x:c>
    </x:row>
    <x:row r="172" ht="48" customHeight="1">
      <x:c r="A172" s="64" t="str">
        <x:v>T0171</x:v>
      </x:c>
      <x:c r="B172" s="28" t="str">
        <x:v>实验执行与具身自动化</x:v>
      </x:c>
      <x:c r="C172" s="28" t="str">
        <x:v>移动机器人、物流与多机器人</x:v>
      </x:c>
      <x:c r="D172" s="28" t="str">
        <x:v>车队与多机器人协调</x:v>
      </x:c>
      <x:c r="E172" s="28" t="str">
        <x:v>移动机器人与物流</x:v>
      </x:c>
      <x:c r="F172" s="28" t="str">
        <x:v>车队调度</x:v>
      </x:c>
      <x:c r="G172" s="28" t="str">
        <x:v>用“车队调度”连接分散设备与工位，保证样品身份、时间窗、危险品边界和多机器人协同的一致性。</x:v>
      </x:c>
      <x:c r="H172" s="28" t="str">
        <x:v>样品身份、位置、时限与危险等级在交接链上是否始终一致？</x:v>
      </x:c>
      <x:c r="I172" s="28" t="str">
        <x:v>准时交付率；定位/对接误差；交接成功率；样品追踪完整率；死锁次数</x:v>
      </x:c>
      <x:c r="J172" s="64" t="str">
        <x:v>基础能力</x:v>
      </x:c>
      <x:c r="K172" s="64" t="str">
        <x:v>P1</x:v>
      </x:c>
      <x:c r="L172" s="28" t="str">
        <x:v>S08; S09; S10; S12</x:v>
      </x:c>
      <x:c r="M172" s="28" t="str">
        <x:v>https://pubs.rsc.org/en/content/articlehtml/2024/sc/d3sc06206f</x:v>
      </x:c>
    </x:row>
    <x:row r="173" ht="48" customHeight="1">
      <x:c r="A173" s="64" t="str">
        <x:v>T0172</x:v>
      </x:c>
      <x:c r="B173" s="28" t="str">
        <x:v>实验执行与具身自动化</x:v>
      </x:c>
      <x:c r="C173" s="28" t="str">
        <x:v>移动机器人、物流与多机器人</x:v>
      </x:c>
      <x:c r="D173" s="28" t="str">
        <x:v>车队与多机器人协调</x:v>
      </x:c>
      <x:c r="E173" s="28" t="str">
        <x:v>移动机器人与物流</x:v>
      </x:c>
      <x:c r="F173" s="28" t="str">
        <x:v>多机器人任务分配</x:v>
      </x:c>
      <x:c r="G173" s="28" t="str">
        <x:v>用“多机器人任务分配”连接分散设备与工位，保证样品身份、时间窗、危险品边界和多机器人协同的一致性。</x:v>
      </x:c>
      <x:c r="H173" s="28" t="str">
        <x:v>样品身份、位置、时限与危险等级在交接链上是否始终一致？</x:v>
      </x:c>
      <x:c r="I173" s="28" t="str">
        <x:v>准时交付率；定位/对接误差；交接成功率；样品追踪完整率；死锁次数</x:v>
      </x:c>
      <x:c r="J173" s="64" t="str">
        <x:v>基础能力</x:v>
      </x:c>
      <x:c r="K173" s="64" t="str">
        <x:v>P1</x:v>
      </x:c>
      <x:c r="L173" s="28" t="str">
        <x:v>S08; S09; S10; S12</x:v>
      </x:c>
      <x:c r="M173" s="28" t="str">
        <x:v>https://www.science.org/doi/10.1126/science.adk9227</x:v>
      </x:c>
    </x:row>
    <x:row r="174" ht="48" customHeight="1">
      <x:c r="A174" s="64" t="str">
        <x:v>T0173</x:v>
      </x:c>
      <x:c r="B174" s="28" t="str">
        <x:v>实验执行与具身自动化</x:v>
      </x:c>
      <x:c r="C174" s="28" t="str">
        <x:v>移动机器人、物流与多机器人</x:v>
      </x:c>
      <x:c r="D174" s="28" t="str">
        <x:v>车队与多机器人协调</x:v>
      </x:c>
      <x:c r="E174" s="28" t="str">
        <x:v>移动机器人与物流</x:v>
      </x:c>
      <x:c r="F174" s="28" t="str">
        <x:v>市场式分配</x:v>
      </x:c>
      <x:c r="G174" s="28" t="str">
        <x:v>用“市场式分配”连接分散设备与工位，保证样品身份、时间窗、危险品边界和多机器人协同的一致性。</x:v>
      </x:c>
      <x:c r="H174" s="28" t="str">
        <x:v>样品身份、位置、时限与危险等级在交接链上是否始终一致？</x:v>
      </x:c>
      <x:c r="I174" s="28" t="str">
        <x:v>准时交付率；定位/对接误差；交接成功率；样品追踪完整率；死锁次数</x:v>
      </x:c>
      <x:c r="J174" s="64" t="str">
        <x:v>工程化关键</x:v>
      </x:c>
      <x:c r="K174" s="64" t="str">
        <x:v>P1</x:v>
      </x:c>
      <x:c r="L174" s="28" t="str">
        <x:v>S08; S09; S10; S12</x:v>
      </x:c>
      <x:c r="M174" s="28" t="str">
        <x:v>https://www.nature.com/articles/s41586-020-2442-2</x:v>
      </x:c>
    </x:row>
    <x:row r="175" ht="48" customHeight="1">
      <x:c r="A175" s="64" t="str">
        <x:v>T0174</x:v>
      </x:c>
      <x:c r="B175" s="28" t="str">
        <x:v>实验执行与具身自动化</x:v>
      </x:c>
      <x:c r="C175" s="28" t="str">
        <x:v>移动机器人、物流与多机器人</x:v>
      </x:c>
      <x:c r="D175" s="28" t="str">
        <x:v>车队与多机器人协调</x:v>
      </x:c>
      <x:c r="E175" s="28" t="str">
        <x:v>移动机器人与物流</x:v>
      </x:c>
      <x:c r="F175" s="28" t="str">
        <x:v>中央式协调</x:v>
      </x:c>
      <x:c r="G175" s="28" t="str">
        <x:v>用“中央式协调”连接分散设备与工位，保证样品身份、时间窗、危险品边界和多机器人协同的一致性。</x:v>
      </x:c>
      <x:c r="H175" s="28" t="str">
        <x:v>样品身份、位置、时限与危险等级在交接链上是否始终一致？</x:v>
      </x:c>
      <x:c r="I175" s="28" t="str">
        <x:v>准时交付率；定位/对接误差；交接成功率；样品追踪完整率；死锁次数</x:v>
      </x:c>
      <x:c r="J175" s="64" t="str">
        <x:v>工程化关键</x:v>
      </x:c>
      <x:c r="K175" s="64" t="str">
        <x:v>P1</x:v>
      </x:c>
      <x:c r="L175" s="28" t="str">
        <x:v>S08; S09; S10; S12</x:v>
      </x:c>
      <x:c r="M175" s="28" t="str">
        <x:v>https://www.nature.com/articles/s41586-024-08173-7</x:v>
      </x:c>
    </x:row>
    <x:row r="176" ht="48" customHeight="1">
      <x:c r="A176" s="64" t="str">
        <x:v>T0175</x:v>
      </x:c>
      <x:c r="B176" s="28" t="str">
        <x:v>实验执行与具身自动化</x:v>
      </x:c>
      <x:c r="C176" s="28" t="str">
        <x:v>移动机器人、物流与多机器人</x:v>
      </x:c>
      <x:c r="D176" s="28" t="str">
        <x:v>车队与多机器人协调</x:v>
      </x:c>
      <x:c r="E176" s="28" t="str">
        <x:v>移动机器人与物流</x:v>
      </x:c>
      <x:c r="F176" s="28" t="str">
        <x:v>分布式协调</x:v>
      </x:c>
      <x:c r="G176" s="28" t="str">
        <x:v>用“分布式协调”连接分散设备与工位，保证样品身份、时间窗、危险品边界和多机器人协同的一致性。</x:v>
      </x:c>
      <x:c r="H176" s="28" t="str">
        <x:v>样品身份、位置、时限与危险等级在交接链上是否始终一致？</x:v>
      </x:c>
      <x:c r="I176" s="28" t="str">
        <x:v>准时交付率；定位/对接误差；交接成功率；样品追踪完整率；死锁次数</x:v>
      </x:c>
      <x:c r="J176" s="64" t="str">
        <x:v>工程化关键</x:v>
      </x:c>
      <x:c r="K176" s="64" t="str">
        <x:v>P1</x:v>
      </x:c>
      <x:c r="L176" s="28" t="str">
        <x:v>S08; S09; S10; S12</x:v>
      </x:c>
      <x:c r="M176" s="28" t="str">
        <x:v>https://pubs.rsc.org/en/content/articlehtml/2024/sc/d3sc06206f</x:v>
      </x:c>
    </x:row>
    <x:row r="177" ht="48" customHeight="1">
      <x:c r="A177" s="64" t="str">
        <x:v>T0176</x:v>
      </x:c>
      <x:c r="B177" s="28" t="str">
        <x:v>实验执行与具身自动化</x:v>
      </x:c>
      <x:c r="C177" s="28" t="str">
        <x:v>移动机器人、物流与多机器人</x:v>
      </x:c>
      <x:c r="D177" s="28" t="str">
        <x:v>车队与多机器人协调</x:v>
      </x:c>
      <x:c r="E177" s="28" t="str">
        <x:v>移动机器人与物流</x:v>
      </x:c>
      <x:c r="F177" s="28" t="str">
        <x:v>死锁预防</x:v>
      </x:c>
      <x:c r="G177" s="28" t="str">
        <x:v>用“死锁预防”连接分散设备与工位，保证样品身份、时间窗、危险品边界和多机器人协同的一致性。</x:v>
      </x:c>
      <x:c r="H177" s="28" t="str">
        <x:v>样品身份、位置、时限与危险等级在交接链上是否始终一致？</x:v>
      </x:c>
      <x:c r="I177" s="28" t="str">
        <x:v>准时交付率；定位/对接误差；交接成功率；样品追踪完整率；死锁次数</x:v>
      </x:c>
      <x:c r="J177" s="64" t="str">
        <x:v>工程化关键</x:v>
      </x:c>
      <x:c r="K177" s="64" t="str">
        <x:v>P1</x:v>
      </x:c>
      <x:c r="L177" s="28" t="str">
        <x:v>S08; S09; S10; S12</x:v>
      </x:c>
      <x:c r="M177" s="28" t="str">
        <x:v>https://www.science.org/doi/10.1126/science.adk9227</x:v>
      </x:c>
    </x:row>
    <x:row r="178" ht="48" customHeight="1">
      <x:c r="A178" s="64" t="str">
        <x:v>T0177</x:v>
      </x:c>
      <x:c r="B178" s="28" t="str">
        <x:v>实验执行与具身自动化</x:v>
      </x:c>
      <x:c r="C178" s="28" t="str">
        <x:v>移动机器人、物流与多机器人</x:v>
      </x:c>
      <x:c r="D178" s="28" t="str">
        <x:v>车队与多机器人协调</x:v>
      </x:c>
      <x:c r="E178" s="28" t="str">
        <x:v>移动机器人与物流</x:v>
      </x:c>
      <x:c r="F178" s="28" t="str">
        <x:v>优先级反转处理</x:v>
      </x:c>
      <x:c r="G178" s="28" t="str">
        <x:v>用“优先级反转处理”连接分散设备与工位，保证样品身份、时间窗、危险品边界和多机器人协同的一致性。</x:v>
      </x:c>
      <x:c r="H178" s="28" t="str">
        <x:v>样品身份、位置、时限与危险等级在交接链上是否始终一致？</x:v>
      </x:c>
      <x:c r="I178" s="28" t="str">
        <x:v>准时交付率；定位/对接误差；交接成功率；样品追踪完整率；死锁次数</x:v>
      </x:c>
      <x:c r="J178" s="64" t="str">
        <x:v>工程化关键</x:v>
      </x:c>
      <x:c r="K178" s="64" t="str">
        <x:v>P1</x:v>
      </x:c>
      <x:c r="L178" s="28" t="str">
        <x:v>S08; S09; S10; S12</x:v>
      </x:c>
      <x:c r="M178" s="28" t="str">
        <x:v>https://www.nature.com/articles/s41586-020-2442-2</x:v>
      </x:c>
    </x:row>
    <x:row r="179" ht="48" customHeight="1">
      <x:c r="A179" s="64" t="str">
        <x:v>T0178</x:v>
      </x:c>
      <x:c r="B179" s="28" t="str">
        <x:v>实验执行与具身自动化</x:v>
      </x:c>
      <x:c r="C179" s="28" t="str">
        <x:v>移动机器人、物流与多机器人</x:v>
      </x:c>
      <x:c r="D179" s="28" t="str">
        <x:v>车队与多机器人协调</x:v>
      </x:c>
      <x:c r="E179" s="28" t="str">
        <x:v>移动机器人与物流</x:v>
      </x:c>
      <x:c r="F179" s="28" t="str">
        <x:v>电池管理</x:v>
      </x:c>
      <x:c r="G179" s="28" t="str">
        <x:v>用“电池管理”连接分散设备与工位，保证样品身份、时间窗、危险品边界和多机器人协同的一致性。</x:v>
      </x:c>
      <x:c r="H179" s="28" t="str">
        <x:v>样品身份、位置、时限与危险等级在交接链上是否始终一致？</x:v>
      </x:c>
      <x:c r="I179" s="28" t="str">
        <x:v>准时交付率；定位/对接误差；交接成功率；样品追踪完整率；死锁次数</x:v>
      </x:c>
      <x:c r="J179" s="64" t="str">
        <x:v>工程化关键</x:v>
      </x:c>
      <x:c r="K179" s="64" t="str">
        <x:v>P1</x:v>
      </x:c>
      <x:c r="L179" s="28" t="str">
        <x:v>S08; S09; S10; S12</x:v>
      </x:c>
      <x:c r="M179" s="28" t="str">
        <x:v>https://www.nature.com/articles/s41586-024-08173-7</x:v>
      </x:c>
    </x:row>
    <x:row r="180" ht="48" customHeight="1">
      <x:c r="A180" s="64" t="str">
        <x:v>T0179</x:v>
      </x:c>
      <x:c r="B180" s="28" t="str">
        <x:v>实验执行与具身自动化</x:v>
      </x:c>
      <x:c r="C180" s="28" t="str">
        <x:v>移动机器人、物流与多机器人</x:v>
      </x:c>
      <x:c r="D180" s="28" t="str">
        <x:v>车队与多机器人协调</x:v>
      </x:c>
      <x:c r="E180" s="28" t="str">
        <x:v>移动机器人与物流</x:v>
      </x:c>
      <x:c r="F180" s="28" t="str">
        <x:v>自动充电</x:v>
      </x:c>
      <x:c r="G180" s="28" t="str">
        <x:v>用“自动充电”连接分散设备与工位，保证样品身份、时间窗、危险品边界和多机器人协同的一致性。</x:v>
      </x:c>
      <x:c r="H180" s="28" t="str">
        <x:v>样品身份、位置、时限与危险等级在交接链上是否始终一致？</x:v>
      </x:c>
      <x:c r="I180" s="28" t="str">
        <x:v>准时交付率；定位/对接误差；交接成功率；样品追踪完整率；死锁次数</x:v>
      </x:c>
      <x:c r="J180" s="64" t="str">
        <x:v>工程化关键</x:v>
      </x:c>
      <x:c r="K180" s="64" t="str">
        <x:v>P1</x:v>
      </x:c>
      <x:c r="L180" s="28" t="str">
        <x:v>S08; S09; S10; S12</x:v>
      </x:c>
      <x:c r="M180" s="28" t="str">
        <x:v>https://pubs.rsc.org/en/content/articlehtml/2024/sc/d3sc06206f</x:v>
      </x:c>
    </x:row>
    <x:row r="181" ht="48" customHeight="1">
      <x:c r="A181" s="64" t="str">
        <x:v>T0180</x:v>
      </x:c>
      <x:c r="B181" s="28" t="str">
        <x:v>实验执行与具身自动化</x:v>
      </x:c>
      <x:c r="C181" s="28" t="str">
        <x:v>移动机器人、物流与多机器人</x:v>
      </x:c>
      <x:c r="D181" s="28" t="str">
        <x:v>车队与多机器人协调</x:v>
      </x:c>
      <x:c r="E181" s="28" t="str">
        <x:v>移动机器人与物流</x:v>
      </x:c>
      <x:c r="F181" s="28" t="str">
        <x:v>样品监管链</x:v>
      </x:c>
      <x:c r="G181" s="28" t="str">
        <x:v>用“样品监管链”连接分散设备与工位，保证样品身份、时间窗、危险品边界和多机器人协同的一致性。</x:v>
      </x:c>
      <x:c r="H181" s="28" t="str">
        <x:v>样品身份、位置、时限与危险等级在交接链上是否始终一致？</x:v>
      </x:c>
      <x:c r="I181" s="28" t="str">
        <x:v>准时交付率；定位/对接误差；交接成功率；样品追踪完整率；死锁次数</x:v>
      </x:c>
      <x:c r="J181" s="64" t="str">
        <x:v>工程化关键</x:v>
      </x:c>
      <x:c r="K181" s="64" t="str">
        <x:v>P1</x:v>
      </x:c>
      <x:c r="L181" s="28" t="str">
        <x:v>S08; S09; S10; S12</x:v>
      </x:c>
      <x:c r="M181" s="28" t="str">
        <x:v>https://www.science.org/doi/10.1126/science.adk9227</x:v>
      </x:c>
    </x:row>
    <x:row r="182" ht="48" customHeight="1">
      <x:c r="A182" s="64" t="str">
        <x:v>T0181</x:v>
      </x:c>
      <x:c r="B182" s="28" t="str">
        <x:v>实验执行与具身自动化</x:v>
      </x:c>
      <x:c r="C182" s="28" t="str">
        <x:v>移动机器人、物流与多机器人</x:v>
      </x:c>
      <x:c r="D182" s="28" t="str">
        <x:v>样品物流与交接</x:v>
      </x:c>
      <x:c r="E182" s="28" t="str">
        <x:v>移动机器人与物流</x:v>
      </x:c>
      <x:c r="F182" s="28" t="str">
        <x:v>条码/RFID追踪</x:v>
      </x:c>
      <x:c r="G182" s="28" t="str">
        <x:v>用“条码/RFID追踪”连接分散设备与工位，保证样品身份、时间窗、危险品边界和多机器人协同的一致性。</x:v>
      </x:c>
      <x:c r="H182" s="28" t="str">
        <x:v>样品身份、位置、时限与危险等级在交接链上是否始终一致？</x:v>
      </x:c>
      <x:c r="I182" s="28" t="str">
        <x:v>准时交付率；定位/对接误差；交接成功率；样品追踪完整率；死锁次数</x:v>
      </x:c>
      <x:c r="J182" s="64" t="str">
        <x:v>工程化关键</x:v>
      </x:c>
      <x:c r="K182" s="64" t="str">
        <x:v>P1</x:v>
      </x:c>
      <x:c r="L182" s="28" t="str">
        <x:v>S08; S09; S10; S12</x:v>
      </x:c>
      <x:c r="M182" s="28" t="str">
        <x:v>https://www.nature.com/articles/s41586-020-2442-2</x:v>
      </x:c>
    </x:row>
    <x:row r="183" ht="48" customHeight="1">
      <x:c r="A183" s="64" t="str">
        <x:v>T0182</x:v>
      </x:c>
      <x:c r="B183" s="28" t="str">
        <x:v>实验执行与具身自动化</x:v>
      </x:c>
      <x:c r="C183" s="28" t="str">
        <x:v>移动机器人、物流与多机器人</x:v>
      </x:c>
      <x:c r="D183" s="28" t="str">
        <x:v>样品物流与交接</x:v>
      </x:c>
      <x:c r="E183" s="28" t="str">
        <x:v>移动机器人与物流</x:v>
      </x:c>
      <x:c r="F183" s="28" t="str">
        <x:v>机器可读库位</x:v>
      </x:c>
      <x:c r="G183" s="28" t="str">
        <x:v>用“机器可读库位”连接分散设备与工位，保证样品身份、时间窗、危险品边界和多机器人协同的一致性。</x:v>
      </x:c>
      <x:c r="H183" s="28" t="str">
        <x:v>样品身份、位置、时限与危险等级在交接链上是否始终一致？</x:v>
      </x:c>
      <x:c r="I183" s="28" t="str">
        <x:v>准时交付率；定位/对接误差；交接成功率；样品追踪完整率；死锁次数</x:v>
      </x:c>
      <x:c r="J183" s="64" t="str">
        <x:v>工程化关键</x:v>
      </x:c>
      <x:c r="K183" s="64" t="str">
        <x:v>P1</x:v>
      </x:c>
      <x:c r="L183" s="28" t="str">
        <x:v>S08; S09; S10; S12</x:v>
      </x:c>
      <x:c r="M183" s="28" t="str">
        <x:v>https://www.nature.com/articles/s41586-024-08173-7</x:v>
      </x:c>
    </x:row>
    <x:row r="184" ht="48" customHeight="1">
      <x:c r="A184" s="64" t="str">
        <x:v>T0183</x:v>
      </x:c>
      <x:c r="B184" s="28" t="str">
        <x:v>实验执行与具身自动化</x:v>
      </x:c>
      <x:c r="C184" s="28" t="str">
        <x:v>移动机器人、物流与多机器人</x:v>
      </x:c>
      <x:c r="D184" s="28" t="str">
        <x:v>样品物流与交接</x:v>
      </x:c>
      <x:c r="E184" s="28" t="str">
        <x:v>移动机器人与物流</x:v>
      </x:c>
      <x:c r="F184" s="28" t="str">
        <x:v>移动操作一体化</x:v>
      </x:c>
      <x:c r="G184" s="28" t="str">
        <x:v>用“移动操作一体化”连接分散设备与工位，保证样品身份、时间窗、危险品边界和多机器人协同的一致性。</x:v>
      </x:c>
      <x:c r="H184" s="28" t="str">
        <x:v>样品身份、位置、时限与危险等级在交接链上是否始终一致？</x:v>
      </x:c>
      <x:c r="I184" s="28" t="str">
        <x:v>准时交付率；定位/对接误差；交接成功率；样品追踪完整率；死锁次数</x:v>
      </x:c>
      <x:c r="J184" s="64" t="str">
        <x:v>工程化关键</x:v>
      </x:c>
      <x:c r="K184" s="64" t="str">
        <x:v>P1</x:v>
      </x:c>
      <x:c r="L184" s="28" t="str">
        <x:v>S08; S09; S10; S12</x:v>
      </x:c>
      <x:c r="M184" s="28" t="str">
        <x:v>https://pubs.rsc.org/en/content/articlehtml/2024/sc/d3sc06206f</x:v>
      </x:c>
    </x:row>
    <x:row r="185" ht="48" customHeight="1">
      <x:c r="A185" s="64" t="str">
        <x:v>T0184</x:v>
      </x:c>
      <x:c r="B185" s="28" t="str">
        <x:v>实验执行与具身自动化</x:v>
      </x:c>
      <x:c r="C185" s="28" t="str">
        <x:v>移动机器人、物流与多机器人</x:v>
      </x:c>
      <x:c r="D185" s="28" t="str">
        <x:v>样品物流与交接</x:v>
      </x:c>
      <x:c r="E185" s="28" t="str">
        <x:v>移动机器人与物流</x:v>
      </x:c>
      <x:c r="F185" s="28" t="str">
        <x:v>机器人交接协议</x:v>
      </x:c>
      <x:c r="G185" s="28" t="str">
        <x:v>用“机器人交接协议”连接分散设备与工位，保证样品身份、时间窗、危险品边界和多机器人协同的一致性。</x:v>
      </x:c>
      <x:c r="H185" s="28" t="str">
        <x:v>样品身份、位置、时限与危险等级在交接链上是否始终一致？</x:v>
      </x:c>
      <x:c r="I185" s="28" t="str">
        <x:v>准时交付率；定位/对接误差；交接成功率；样品追踪完整率；死锁次数</x:v>
      </x:c>
      <x:c r="J185" s="64" t="str">
        <x:v>工程化关键</x:v>
      </x:c>
      <x:c r="K185" s="64" t="str">
        <x:v>P1</x:v>
      </x:c>
      <x:c r="L185" s="28" t="str">
        <x:v>S08; S09; S10; S12</x:v>
      </x:c>
      <x:c r="M185" s="28" t="str">
        <x:v>https://www.science.org/doi/10.1126/science.adk9227</x:v>
      </x:c>
    </x:row>
    <x:row r="186" ht="48" customHeight="1">
      <x:c r="A186" s="64" t="str">
        <x:v>T0185</x:v>
      </x:c>
      <x:c r="B186" s="28" t="str">
        <x:v>实验执行与具身自动化</x:v>
      </x:c>
      <x:c r="C186" s="28" t="str">
        <x:v>移动机器人、物流与多机器人</x:v>
      </x:c>
      <x:c r="D186" s="28" t="str">
        <x:v>样品物流与交接</x:v>
      </x:c>
      <x:c r="E186" s="28" t="str">
        <x:v>移动机器人与物流</x:v>
      </x:c>
      <x:c r="F186" s="28" t="str">
        <x:v>传送带集成</x:v>
      </x:c>
      <x:c r="G186" s="28" t="str">
        <x:v>用“传送带集成”连接分散设备与工位，保证样品身份、时间窗、危险品边界和多机器人协同的一致性。</x:v>
      </x:c>
      <x:c r="H186" s="28" t="str">
        <x:v>样品身份、位置、时限与危险等级在交接链上是否始终一致？</x:v>
      </x:c>
      <x:c r="I186" s="28" t="str">
        <x:v>准时交付率；定位/对接误差；交接成功率；样品追踪完整率；死锁次数</x:v>
      </x:c>
      <x:c r="J186" s="64" t="str">
        <x:v>工程化关键</x:v>
      </x:c>
      <x:c r="K186" s="64" t="str">
        <x:v>P1</x:v>
      </x:c>
      <x:c r="L186" s="28" t="str">
        <x:v>S08; S09; S10; S12</x:v>
      </x:c>
      <x:c r="M186" s="28" t="str">
        <x:v>https://www.nature.com/articles/s41586-020-2442-2</x:v>
      </x:c>
    </x:row>
    <x:row r="187" ht="48" customHeight="1">
      <x:c r="A187" s="64" t="str">
        <x:v>T0186</x:v>
      </x:c>
      <x:c r="B187" s="28" t="str">
        <x:v>实验执行与具身自动化</x:v>
      </x:c>
      <x:c r="C187" s="28" t="str">
        <x:v>移动机器人、物流与多机器人</x:v>
      </x:c>
      <x:c r="D187" s="28" t="str">
        <x:v>样品物流与交接</x:v>
      </x:c>
      <x:c r="E187" s="28" t="str">
        <x:v>移动机器人与物流</x:v>
      </x:c>
      <x:c r="F187" s="28" t="str">
        <x:v>气动传输</x:v>
      </x:c>
      <x:c r="G187" s="28" t="str">
        <x:v>用“气动传输”连接分散设备与工位，保证样品身份、时间窗、危险品边界和多机器人协同的一致性。</x:v>
      </x:c>
      <x:c r="H187" s="28" t="str">
        <x:v>样品身份、位置、时限与危险等级在交接链上是否始终一致？</x:v>
      </x:c>
      <x:c r="I187" s="28" t="str">
        <x:v>准时交付率；定位/对接误差；交接成功率；样品追踪完整率；死锁次数</x:v>
      </x:c>
      <x:c r="J187" s="64" t="str">
        <x:v>工程化关键</x:v>
      </x:c>
      <x:c r="K187" s="64" t="str">
        <x:v>P1</x:v>
      </x:c>
      <x:c r="L187" s="28" t="str">
        <x:v>S08; S09; S10; S12</x:v>
      </x:c>
      <x:c r="M187" s="28" t="str">
        <x:v>https://www.nature.com/articles/s41586-024-08173-7</x:v>
      </x:c>
    </x:row>
    <x:row r="188" ht="48" customHeight="1">
      <x:c r="A188" s="64" t="str">
        <x:v>T0187</x:v>
      </x:c>
      <x:c r="B188" s="28" t="str">
        <x:v>实验执行与具身自动化</x:v>
      </x:c>
      <x:c r="C188" s="28" t="str">
        <x:v>移动机器人、物流与多机器人</x:v>
      </x:c>
      <x:c r="D188" s="28" t="str">
        <x:v>样品物流与交接</x:v>
      </x:c>
      <x:c r="E188" s="28" t="str">
        <x:v>移动机器人与物流</x:v>
      </x:c>
      <x:c r="F188" s="28" t="str">
        <x:v>冷链物流</x:v>
      </x:c>
      <x:c r="G188" s="28" t="str">
        <x:v>用“冷链物流”连接分散设备与工位，保证样品身份、时间窗、危险品边界和多机器人协同的一致性。</x:v>
      </x:c>
      <x:c r="H188" s="28" t="str">
        <x:v>样品身份、位置、时限与危险等级在交接链上是否始终一致？</x:v>
      </x:c>
      <x:c r="I188" s="28" t="str">
        <x:v>准时交付率；定位/对接误差；交接成功率；样品追踪完整率；死锁次数</x:v>
      </x:c>
      <x:c r="J188" s="64" t="str">
        <x:v>工程化关键</x:v>
      </x:c>
      <x:c r="K188" s="64" t="str">
        <x:v>P1</x:v>
      </x:c>
      <x:c r="L188" s="28" t="str">
        <x:v>S08; S09; S10; S12</x:v>
      </x:c>
      <x:c r="M188" s="28" t="str">
        <x:v>https://pubs.rsc.org/en/content/articlehtml/2024/sc/d3sc06206f</x:v>
      </x:c>
    </x:row>
    <x:row r="189" ht="48" customHeight="1">
      <x:c r="A189" s="64" t="str">
        <x:v>T0188</x:v>
      </x:c>
      <x:c r="B189" s="28" t="str">
        <x:v>实验执行与具身自动化</x:v>
      </x:c>
      <x:c r="C189" s="28" t="str">
        <x:v>移动机器人、物流与多机器人</x:v>
      </x:c>
      <x:c r="D189" s="28" t="str">
        <x:v>样品物流与交接</x:v>
      </x:c>
      <x:c r="E189" s="28" t="str">
        <x:v>移动机器人与物流</x:v>
      </x:c>
      <x:c r="F189" s="28" t="str">
        <x:v>危险品运输</x:v>
      </x:c>
      <x:c r="G189" s="28" t="str">
        <x:v>用“危险品运输”连接分散设备与工位，保证样品身份、时间窗、危险品边界和多机器人协同的一致性。</x:v>
      </x:c>
      <x:c r="H189" s="28" t="str">
        <x:v>样品身份、位置、时限与危险等级在交接链上是否始终一致？</x:v>
      </x:c>
      <x:c r="I189" s="28" t="str">
        <x:v>准时交付率；定位/对接误差；交接成功率；样品追踪完整率；死锁次数</x:v>
      </x:c>
      <x:c r="J189" s="64" t="str">
        <x:v>工程化关键</x:v>
      </x:c>
      <x:c r="K189" s="64" t="str">
        <x:v>P1</x:v>
      </x:c>
      <x:c r="L189" s="28" t="str">
        <x:v>S08; S09; S10; S12</x:v>
      </x:c>
      <x:c r="M189" s="28" t="str">
        <x:v>https://www.science.org/doi/10.1126/science.adk9227</x:v>
      </x:c>
    </x:row>
    <x:row r="190" ht="48" customHeight="1">
      <x:c r="A190" s="64" t="str">
        <x:v>T0189</x:v>
      </x:c>
      <x:c r="B190" s="28" t="str">
        <x:v>实验执行与具身自动化</x:v>
      </x:c>
      <x:c r="C190" s="28" t="str">
        <x:v>移动机器人、物流与多机器人</x:v>
      </x:c>
      <x:c r="D190" s="28" t="str">
        <x:v>样品物流与交接</x:v>
      </x:c>
      <x:c r="E190" s="28" t="str">
        <x:v>移动机器人与物流</x:v>
      </x:c>
      <x:c r="F190" s="28" t="str">
        <x:v>泄漏二次围护</x:v>
      </x:c>
      <x:c r="G190" s="28" t="str">
        <x:v>用“泄漏二次围护”连接分散设备与工位，保证样品身份、时间窗、危险品边界和多机器人协同的一致性。</x:v>
      </x:c>
      <x:c r="H190" s="28" t="str">
        <x:v>样品身份、位置、时限与危险等级在交接链上是否始终一致？</x:v>
      </x:c>
      <x:c r="I190" s="28" t="str">
        <x:v>准时交付率；定位/对接误差；交接成功率；样品追踪完整率；死锁次数</x:v>
      </x:c>
      <x:c r="J190" s="64" t="str">
        <x:v>进阶能力</x:v>
      </x:c>
      <x:c r="K190" s="64" t="str">
        <x:v>P2</x:v>
      </x:c>
      <x:c r="L190" s="28" t="str">
        <x:v>S08; S09; S10; S12</x:v>
      </x:c>
      <x:c r="M190" s="28" t="str">
        <x:v>https://www.nature.com/articles/s41586-020-2442-2</x:v>
      </x:c>
    </x:row>
    <x:row r="191" ht="48" customHeight="1">
      <x:c r="A191" s="64" t="str">
        <x:v>T0190</x:v>
      </x:c>
      <x:c r="B191" s="28" t="str">
        <x:v>实验执行与具身自动化</x:v>
      </x:c>
      <x:c r="C191" s="28" t="str">
        <x:v>移动机器人、物流与多机器人</x:v>
      </x:c>
      <x:c r="D191" s="28" t="str">
        <x:v>样品物流与交接</x:v>
      </x:c>
      <x:c r="E191" s="28" t="str">
        <x:v>移动机器人与物流</x:v>
      </x:c>
      <x:c r="F191" s="28" t="str">
        <x:v>负载稳定性</x:v>
      </x:c>
      <x:c r="G191" s="28" t="str">
        <x:v>用“负载稳定性”连接分散设备与工位，保证样品身份、时间窗、危险品边界和多机器人协同的一致性。</x:v>
      </x:c>
      <x:c r="H191" s="28" t="str">
        <x:v>样品身份、位置、时限与危险等级在交接链上是否始终一致？</x:v>
      </x:c>
      <x:c r="I191" s="28" t="str">
        <x:v>准时交付率；定位/对接误差；交接成功率；样品追踪完整率；死锁次数</x:v>
      </x:c>
      <x:c r="J191" s="64" t="str">
        <x:v>进阶能力</x:v>
      </x:c>
      <x:c r="K191" s="64" t="str">
        <x:v>P2</x:v>
      </x:c>
      <x:c r="L191" s="28" t="str">
        <x:v>S08; S09; S10; S12</x:v>
      </x:c>
      <x:c r="M191" s="28" t="str">
        <x:v>https://www.nature.com/articles/s41586-024-08173-7</x:v>
      </x:c>
    </x:row>
    <x:row r="192" ht="48" customHeight="1">
      <x:c r="A192" s="64" t="str">
        <x:v>T0191</x:v>
      </x:c>
      <x:c r="B192" s="28" t="str">
        <x:v>实验执行与具身自动化</x:v>
      </x:c>
      <x:c r="C192" s="28" t="str">
        <x:v>移动机器人、物流与多机器人</x:v>
      </x:c>
      <x:c r="D192" s="28" t="str">
        <x:v>风险、共域与韧性</x:v>
      </x:c>
      <x:c r="E192" s="28" t="str">
        <x:v>移动机器人与物流</x:v>
      </x:c>
      <x:c r="F192" s="28" t="str">
        <x:v>振动限值</x:v>
      </x:c>
      <x:c r="G192" s="28" t="str">
        <x:v>用“振动限值”连接分散设备与工位，保证样品身份、时间窗、危险品边界和多机器人协同的一致性。</x:v>
      </x:c>
      <x:c r="H192" s="28" t="str">
        <x:v>样品身份、位置、时限与危险等级在交接链上是否始终一致？</x:v>
      </x:c>
      <x:c r="I192" s="28" t="str">
        <x:v>准时交付率；定位/对接误差；交接成功率；样品追踪完整率；死锁次数</x:v>
      </x:c>
      <x:c r="J192" s="64" t="str">
        <x:v>进阶能力</x:v>
      </x:c>
      <x:c r="K192" s="64" t="str">
        <x:v>P2</x:v>
      </x:c>
      <x:c r="L192" s="28" t="str">
        <x:v>S08; S09; S10; S12</x:v>
      </x:c>
      <x:c r="M192" s="28" t="str">
        <x:v>https://pubs.rsc.org/en/content/articlehtml/2024/sc/d3sc06206f</x:v>
      </x:c>
    </x:row>
    <x:row r="193" ht="48" customHeight="1">
      <x:c r="A193" s="64" t="str">
        <x:v>T0192</x:v>
      </x:c>
      <x:c r="B193" s="28" t="str">
        <x:v>实验执行与具身自动化</x:v>
      </x:c>
      <x:c r="C193" s="28" t="str">
        <x:v>移动机器人、物流与多机器人</x:v>
      </x:c>
      <x:c r="D193" s="28" t="str">
        <x:v>风险、共域与韧性</x:v>
      </x:c>
      <x:c r="E193" s="28" t="str">
        <x:v>移动机器人与物流</x:v>
      </x:c>
      <x:c r="F193" s="28" t="str">
        <x:v>路线风险评分</x:v>
      </x:c>
      <x:c r="G193" s="28" t="str">
        <x:v>用“路线风险评分”连接分散设备与工位，保证样品身份、时间窗、危险品边界和多机器人协同的一致性。</x:v>
      </x:c>
      <x:c r="H193" s="28" t="str">
        <x:v>样品身份、位置、时限与危险等级在交接链上是否始终一致？</x:v>
      </x:c>
      <x:c r="I193" s="28" t="str">
        <x:v>准时交付率；定位/对接误差；交接成功率；样品追踪完整率；死锁次数</x:v>
      </x:c>
      <x:c r="J193" s="64" t="str">
        <x:v>进阶能力</x:v>
      </x:c>
      <x:c r="K193" s="64" t="str">
        <x:v>P2</x:v>
      </x:c>
      <x:c r="L193" s="28" t="str">
        <x:v>S08; S09; S10; S12</x:v>
      </x:c>
      <x:c r="M193" s="28" t="str">
        <x:v>https://www.science.org/doi/10.1126/science.adk9227</x:v>
      </x:c>
    </x:row>
    <x:row r="194" ht="48" customHeight="1">
      <x:c r="A194" s="64" t="str">
        <x:v>T0193</x:v>
      </x:c>
      <x:c r="B194" s="28" t="str">
        <x:v>实验执行与具身自动化</x:v>
      </x:c>
      <x:c r="C194" s="28" t="str">
        <x:v>移动机器人、物流与多机器人</x:v>
      </x:c>
      <x:c r="D194" s="28" t="str">
        <x:v>风险、共域与韧性</x:v>
      </x:c>
      <x:c r="E194" s="28" t="str">
        <x:v>移动机器人与物流</x:v>
      </x:c>
      <x:c r="F194" s="28" t="str">
        <x:v>时间窗调度</x:v>
      </x:c>
      <x:c r="G194" s="28" t="str">
        <x:v>用“时间窗调度”连接分散设备与工位，保证样品身份、时间窗、危险品边界和多机器人协同的一致性。</x:v>
      </x:c>
      <x:c r="H194" s="28" t="str">
        <x:v>样品身份、位置、时限与危险等级在交接链上是否始终一致？</x:v>
      </x:c>
      <x:c r="I194" s="28" t="str">
        <x:v>准时交付率；定位/对接误差；交接成功率；样品追踪完整率；死锁次数</x:v>
      </x:c>
      <x:c r="J194" s="64" t="str">
        <x:v>进阶能力</x:v>
      </x:c>
      <x:c r="K194" s="64" t="str">
        <x:v>P2</x:v>
      </x:c>
      <x:c r="L194" s="28" t="str">
        <x:v>S08; S09; S10; S12</x:v>
      </x:c>
      <x:c r="M194" s="28" t="str">
        <x:v>https://www.nature.com/articles/s41586-020-2442-2</x:v>
      </x:c>
    </x:row>
    <x:row r="195" ht="48" customHeight="1">
      <x:c r="A195" s="64" t="str">
        <x:v>T0194</x:v>
      </x:c>
      <x:c r="B195" s="28" t="str">
        <x:v>实验执行与具身自动化</x:v>
      </x:c>
      <x:c r="C195" s="28" t="str">
        <x:v>移动机器人、物流与多机器人</x:v>
      </x:c>
      <x:c r="D195" s="28" t="str">
        <x:v>风险、共域与韧性</x:v>
      </x:c>
      <x:c r="E195" s="28" t="str">
        <x:v>移动机器人与物流</x:v>
      </x:c>
      <x:c r="F195" s="28" t="str">
        <x:v>人机共域</x:v>
      </x:c>
      <x:c r="G195" s="28" t="str">
        <x:v>用“人机共域”连接分散设备与工位，保证样品身份、时间窗、危险品边界和多机器人协同的一致性。</x:v>
      </x:c>
      <x:c r="H195" s="28" t="str">
        <x:v>样品身份、位置、时限与危险等级在交接链上是否始终一致？</x:v>
      </x:c>
      <x:c r="I195" s="28" t="str">
        <x:v>准时交付率；定位/对接误差；交接成功率；样品追踪完整率；死锁次数</x:v>
      </x:c>
      <x:c r="J195" s="64" t="str">
        <x:v>进阶能力</x:v>
      </x:c>
      <x:c r="K195" s="64" t="str">
        <x:v>P2</x:v>
      </x:c>
      <x:c r="L195" s="28" t="str">
        <x:v>S08; S09; S10; S12</x:v>
      </x:c>
      <x:c r="M195" s="28" t="str">
        <x:v>https://www.nature.com/articles/s41586-024-08173-7</x:v>
      </x:c>
    </x:row>
    <x:row r="196" ht="48" customHeight="1">
      <x:c r="A196" s="64" t="str">
        <x:v>T0195</x:v>
      </x:c>
      <x:c r="B196" s="28" t="str">
        <x:v>实验执行与具身自动化</x:v>
      </x:c>
      <x:c r="C196" s="28" t="str">
        <x:v>移动机器人、物流与多机器人</x:v>
      </x:c>
      <x:c r="D196" s="28" t="str">
        <x:v>风险、共域与韧性</x:v>
      </x:c>
      <x:c r="E196" s="28" t="str">
        <x:v>移动机器人与物流</x:v>
      </x:c>
      <x:c r="F196" s="28" t="str">
        <x:v>地理围栏</x:v>
      </x:c>
      <x:c r="G196" s="28" t="str">
        <x:v>用“地理围栏”连接分散设备与工位，保证样品身份、时间窗、危险品边界和多机器人协同的一致性。</x:v>
      </x:c>
      <x:c r="H196" s="28" t="str">
        <x:v>样品身份、位置、时限与危险等级在交接链上是否始终一致？</x:v>
      </x:c>
      <x:c r="I196" s="28" t="str">
        <x:v>准时交付率；定位/对接误差；交接成功率；样品追踪完整率；死锁次数</x:v>
      </x:c>
      <x:c r="J196" s="64" t="str">
        <x:v>进阶能力</x:v>
      </x:c>
      <x:c r="K196" s="64" t="str">
        <x:v>P2</x:v>
      </x:c>
      <x:c r="L196" s="28" t="str">
        <x:v>S08; S09; S10; S12</x:v>
      </x:c>
      <x:c r="M196" s="28" t="str">
        <x:v>https://pubs.rsc.org/en/content/articlehtml/2024/sc/d3sc06206f</x:v>
      </x:c>
    </x:row>
    <x:row r="197" ht="48" customHeight="1">
      <x:c r="A197" s="64" t="str">
        <x:v>T0196</x:v>
      </x:c>
      <x:c r="B197" s="28" t="str">
        <x:v>实验执行与具身自动化</x:v>
      </x:c>
      <x:c r="C197" s="28" t="str">
        <x:v>移动机器人、物流与多机器人</x:v>
      </x:c>
      <x:c r="D197" s="28" t="str">
        <x:v>风险、共域与韧性</x:v>
      </x:c>
      <x:c r="E197" s="28" t="str">
        <x:v>移动机器人与物流</x:v>
      </x:c>
      <x:c r="F197" s="28" t="str">
        <x:v>区域访问控制</x:v>
      </x:c>
      <x:c r="G197" s="28" t="str">
        <x:v>用“区域访问控制”连接分散设备与工位，保证样品身份、时间窗、危险品边界和多机器人协同的一致性。</x:v>
      </x:c>
      <x:c r="H197" s="28" t="str">
        <x:v>样品身份、位置、时限与危险等级在交接链上是否始终一致？</x:v>
      </x:c>
      <x:c r="I197" s="28" t="str">
        <x:v>准时交付率；定位/对接误差；交接成功率；样品追踪完整率；死锁次数</x:v>
      </x:c>
      <x:c r="J197" s="64" t="str">
        <x:v>进阶能力</x:v>
      </x:c>
      <x:c r="K197" s="64" t="str">
        <x:v>P2</x:v>
      </x:c>
      <x:c r="L197" s="28" t="str">
        <x:v>S08; S09; S10; S12</x:v>
      </x:c>
      <x:c r="M197" s="28" t="str">
        <x:v>https://www.science.org/doi/10.1126/science.adk9227</x:v>
      </x:c>
    </x:row>
    <x:row r="198" ht="48" customHeight="1">
      <x:c r="A198" s="64" t="str">
        <x:v>T0197</x:v>
      </x:c>
      <x:c r="B198" s="28" t="str">
        <x:v>实验执行与具身自动化</x:v>
      </x:c>
      <x:c r="C198" s="28" t="str">
        <x:v>移动机器人、物流与多机器人</x:v>
      </x:c>
      <x:c r="D198" s="28" t="str">
        <x:v>风险、共域与韧性</x:v>
      </x:c>
      <x:c r="E198" s="28" t="str">
        <x:v>移动机器人与物流</x:v>
      </x:c>
      <x:c r="F198" s="28" t="str">
        <x:v>远程遥操作</x:v>
      </x:c>
      <x:c r="G198" s="28" t="str">
        <x:v>用“远程遥操作”连接分散设备与工位，保证样品身份、时间窗、危险品边界和多机器人协同的一致性。</x:v>
      </x:c>
      <x:c r="H198" s="28" t="str">
        <x:v>样品身份、位置、时限与危险等级在交接链上是否始终一致？</x:v>
      </x:c>
      <x:c r="I198" s="28" t="str">
        <x:v>准时交付率；定位/对接误差；交接成功率；样品追踪完整率；死锁次数</x:v>
      </x:c>
      <x:c r="J198" s="64" t="str">
        <x:v>前沿能力</x:v>
      </x:c>
      <x:c r="K198" s="64" t="str">
        <x:v>P2</x:v>
      </x:c>
      <x:c r="L198" s="28" t="str">
        <x:v>S08; S09; S10; S12</x:v>
      </x:c>
      <x:c r="M198" s="28" t="str">
        <x:v>https://www.nature.com/articles/s41586-020-2442-2</x:v>
      </x:c>
    </x:row>
    <x:row r="199" ht="48" customHeight="1">
      <x:c r="A199" s="64" t="str">
        <x:v>T0198</x:v>
      </x:c>
      <x:c r="B199" s="28" t="str">
        <x:v>实验执行与具身自动化</x:v>
      </x:c>
      <x:c r="C199" s="28" t="str">
        <x:v>移动机器人、物流与多机器人</x:v>
      </x:c>
      <x:c r="D199" s="28" t="str">
        <x:v>风险、共域与韧性</x:v>
      </x:c>
      <x:c r="E199" s="28" t="str">
        <x:v>移动机器人与物流</x:v>
      </x:c>
      <x:c r="F199" s="28" t="str">
        <x:v>救援机器人</x:v>
      </x:c>
      <x:c r="G199" s="28" t="str">
        <x:v>用“救援机器人”连接分散设备与工位，保证样品身份、时间窗、危险品边界和多机器人协同的一致性。</x:v>
      </x:c>
      <x:c r="H199" s="28" t="str">
        <x:v>样品身份、位置、时限与危险等级在交接链上是否始终一致？</x:v>
      </x:c>
      <x:c r="I199" s="28" t="str">
        <x:v>准时交付率；定位/对接误差；交接成功率；样品追踪完整率；死锁次数</x:v>
      </x:c>
      <x:c r="J199" s="64" t="str">
        <x:v>前沿能力</x:v>
      </x:c>
      <x:c r="K199" s="64" t="str">
        <x:v>P2</x:v>
      </x:c>
      <x:c r="L199" s="28" t="str">
        <x:v>S08; S09; S10; S12</x:v>
      </x:c>
      <x:c r="M199" s="28" t="str">
        <x:v>https://www.nature.com/articles/s41586-024-08173-7</x:v>
      </x:c>
    </x:row>
    <x:row r="200" ht="48" customHeight="1">
      <x:c r="A200" s="64" t="str">
        <x:v>T0199</x:v>
      </x:c>
      <x:c r="B200" s="28" t="str">
        <x:v>实验执行与具身自动化</x:v>
      </x:c>
      <x:c r="C200" s="28" t="str">
        <x:v>移动机器人、物流与多机器人</x:v>
      </x:c>
      <x:c r="D200" s="28" t="str">
        <x:v>风险、共域与韧性</x:v>
      </x:c>
      <x:c r="E200" s="28" t="str">
        <x:v>移动机器人与物流</x:v>
      </x:c>
      <x:c r="F200" s="28" t="str">
        <x:v>群体冗余</x:v>
      </x:c>
      <x:c r="G200" s="28" t="str">
        <x:v>用“群体冗余”连接分散设备与工位，保证样品身份、时间窗、危险品边界和多机器人协同的一致性。</x:v>
      </x:c>
      <x:c r="H200" s="28" t="str">
        <x:v>样品身份、位置、时限与危险等级在交接链上是否始终一致？</x:v>
      </x:c>
      <x:c r="I200" s="28" t="str">
        <x:v>准时交付率；定位/对接误差；交接成功率；样品追踪完整率；死锁次数</x:v>
      </x:c>
      <x:c r="J200" s="64" t="str">
        <x:v>前沿能力</x:v>
      </x:c>
      <x:c r="K200" s="64" t="str">
        <x:v>P2</x:v>
      </x:c>
      <x:c r="L200" s="28" t="str">
        <x:v>S08; S09; S10; S12</x:v>
      </x:c>
      <x:c r="M200" s="28" t="str">
        <x:v>https://pubs.rsc.org/en/content/articlehtml/2024/sc/d3sc06206f</x:v>
      </x:c>
    </x:row>
    <x:row r="201" ht="48" customHeight="1">
      <x:c r="A201" s="64" t="str">
        <x:v>T0200</x:v>
      </x:c>
      <x:c r="B201" s="28" t="str">
        <x:v>实验执行与具身自动化</x:v>
      </x:c>
      <x:c r="C201" s="28" t="str">
        <x:v>移动机器人、物流与多机器人</x:v>
      </x:c>
      <x:c r="D201" s="28" t="str">
        <x:v>风险、共域与韧性</x:v>
      </x:c>
      <x:c r="E201" s="28" t="str">
        <x:v>移动机器人与物流</x:v>
      </x:c>
      <x:c r="F201" s="28" t="str">
        <x:v>分布式实验物流</x:v>
      </x:c>
      <x:c r="G201" s="28" t="str">
        <x:v>用“分布式实验物流”连接分散设备与工位，保证样品身份、时间窗、危险品边界和多机器人协同的一致性。</x:v>
      </x:c>
      <x:c r="H201" s="28" t="str">
        <x:v>样品身份、位置、时限与危险等级在交接链上是否始终一致？</x:v>
      </x:c>
      <x:c r="I201" s="28" t="str">
        <x:v>准时交付率；定位/对接误差；交接成功率；样品追踪完整率；死锁次数</x:v>
      </x:c>
      <x:c r="J201" s="64" t="str">
        <x:v>前沿能力</x:v>
      </x:c>
      <x:c r="K201" s="64" t="str">
        <x:v>P2</x:v>
      </x:c>
      <x:c r="L201" s="28" t="str">
        <x:v>S08; S09; S10; S12</x:v>
      </x:c>
      <x:c r="M201" s="28" t="str">
        <x:v>https://www.science.org/doi/10.1126/science.adk9227</x:v>
      </x:c>
    </x:row>
    <x:row r="202" ht="48" customHeight="1">
      <x:c r="A202" s="64" t="str">
        <x:v>T0201</x:v>
      </x:c>
      <x:c r="B202" s="28" t="str">
        <x:v>实验执行与具身自动化</x:v>
      </x:c>
      <x:c r="C202" s="28" t="str">
        <x:v>液体处理与微流控</x:v>
      </x:c>
      <x:c r="D202" s="28" t="str">
        <x:v>计量与液体物性</x:v>
      </x:c>
      <x:c r="E202" s="28" t="str">
        <x:v>实验自动化</x:v>
      </x:c>
      <x:c r="F202" s="28" t="str">
        <x:v>移液精密度</x:v>
      </x:c>
      <x:c r="G202" s="28" t="str">
        <x:v>围绕“移液精密度”建立液体物性—耗材—动作—传感闭环，控制偏差、变异、死体积和交叉污染。</x:v>
      </x:c>
      <x:c r="H202" s="28" t="str">
        <x:v>对不同液体、体积和环境，准确度、精密度与污染是否已验证？</x:v>
      </x:c>
      <x:c r="I202" s="28" t="str">
        <x:v>偏差；CV；携带污染；死体积；液面/堵塞检测召回率</x:v>
      </x:c>
      <x:c r="J202" s="64" t="str">
        <x:v>基础能力</x:v>
      </x:c>
      <x:c r="K202" s="64" t="str">
        <x:v>P0</x:v>
      </x:c>
      <x:c r="L202" s="28" t="str">
        <x:v>S01; S02; S17; S18</x:v>
      </x:c>
      <x:c r="M202" s="28" t="str">
        <x:v>https://pubs.acs.org/doi/10.1021/acs.chemrev.4c00055</x:v>
      </x:c>
    </x:row>
    <x:row r="203" ht="48" customHeight="1">
      <x:c r="A203" s="64" t="str">
        <x:v>T0202</x:v>
      </x:c>
      <x:c r="B203" s="28" t="str">
        <x:v>实验执行与具身自动化</x:v>
      </x:c>
      <x:c r="C203" s="28" t="str">
        <x:v>液体处理与微流控</x:v>
      </x:c>
      <x:c r="D203" s="28" t="str">
        <x:v>计量与液体物性</x:v>
      </x:c>
      <x:c r="E203" s="28" t="str">
        <x:v>实验自动化</x:v>
      </x:c>
      <x:c r="F203" s="28" t="str">
        <x:v>移液准确度</x:v>
      </x:c>
      <x:c r="G203" s="28" t="str">
        <x:v>围绕“移液准确度”建立液体物性—耗材—动作—传感闭环，控制偏差、变异、死体积和交叉污染。</x:v>
      </x:c>
      <x:c r="H203" s="28" t="str">
        <x:v>对不同液体、体积和环境，准确度、精密度与污染是否已验证？</x:v>
      </x:c>
      <x:c r="I203" s="28" t="str">
        <x:v>偏差；CV；携带污染；死体积；液面/堵塞检测召回率</x:v>
      </x:c>
      <x:c r="J203" s="64" t="str">
        <x:v>基础能力</x:v>
      </x:c>
      <x:c r="K203" s="64" t="str">
        <x:v>P0</x:v>
      </x:c>
      <x:c r="L203" s="28" t="str">
        <x:v>S01; S02; S17; S18</x:v>
      </x:c>
      <x:c r="M203" s="28" t="str">
        <x:v>https://royalsocietypublishing.org/rsos/article/12/7/250646/235354/Autonomous-self-driving-laboratories-a-review-of</x:v>
      </x:c>
    </x:row>
    <x:row r="204" ht="48" customHeight="1">
      <x:c r="A204" s="64" t="str">
        <x:v>T0203</x:v>
      </x:c>
      <x:c r="B204" s="28" t="str">
        <x:v>实验执行与具身自动化</x:v>
      </x:c>
      <x:c r="C204" s="28" t="str">
        <x:v>液体处理与微流控</x:v>
      </x:c>
      <x:c r="D204" s="28" t="str">
        <x:v>计量与液体物性</x:v>
      </x:c>
      <x:c r="E204" s="28" t="str">
        <x:v>实验自动化</x:v>
      </x:c>
      <x:c r="F204" s="28" t="str">
        <x:v>移液校准</x:v>
      </x:c>
      <x:c r="G204" s="28" t="str">
        <x:v>围绕“移液校准”建立液体物性—耗材—动作—传感闭环，控制偏差、变异、死体积和交叉污染。</x:v>
      </x:c>
      <x:c r="H204" s="28" t="str">
        <x:v>对不同液体、体积和环境，准确度、精密度与污染是否已验证？</x:v>
      </x:c>
      <x:c r="I204" s="28" t="str">
        <x:v>偏差；CV；携带污染；死体积；液面/堵塞检测召回率</x:v>
      </x:c>
      <x:c r="J204" s="64" t="str">
        <x:v>基础能力</x:v>
      </x:c>
      <x:c r="K204" s="64" t="str">
        <x:v>P0</x:v>
      </x:c>
      <x:c r="L204" s="28" t="str">
        <x:v>S01; S02; S17; S18</x:v>
      </x:c>
      <x:c r="M204" s="28" t="str">
        <x:v>https://www.science.org/doi/10.1126/sciadv.adj0461</x:v>
      </x:c>
    </x:row>
    <x:row r="205" ht="48" customHeight="1">
      <x:c r="A205" s="64" t="str">
        <x:v>T0204</x:v>
      </x:c>
      <x:c r="B205" s="28" t="str">
        <x:v>实验执行与具身自动化</x:v>
      </x:c>
      <x:c r="C205" s="28" t="str">
        <x:v>液体处理与微流控</x:v>
      </x:c>
      <x:c r="D205" s="28" t="str">
        <x:v>计量与液体物性</x:v>
      </x:c>
      <x:c r="E205" s="28" t="str">
        <x:v>实验自动化</x:v>
      </x:c>
      <x:c r="F205" s="28" t="str">
        <x:v>重量法校准</x:v>
      </x:c>
      <x:c r="G205" s="28" t="str">
        <x:v>围绕“重量法校准”建立液体物性—耗材—动作—传感闭环，控制偏差、变异、死体积和交叉污染。</x:v>
      </x:c>
      <x:c r="H205" s="28" t="str">
        <x:v>对不同液体、体积和环境，准确度、精密度与污染是否已验证？</x:v>
      </x:c>
      <x:c r="I205" s="28" t="str">
        <x:v>偏差；CV；携带污染；死体积；液面/堵塞检测召回率</x:v>
      </x:c>
      <x:c r="J205" s="64" t="str">
        <x:v>基础能力</x:v>
      </x:c>
      <x:c r="K205" s="64" t="str">
        <x:v>P0</x:v>
      </x:c>
      <x:c r="L205" s="28" t="str">
        <x:v>S01; S02; S17; S18</x:v>
      </x:c>
      <x:c r="M205" s="28" t="str">
        <x:v>https://www.nature.com/articles/s41467-024-55655-3</x:v>
      </x:c>
    </x:row>
    <x:row r="206" ht="48" customHeight="1">
      <x:c r="A206" s="64" t="str">
        <x:v>T0205</x:v>
      </x:c>
      <x:c r="B206" s="28" t="str">
        <x:v>实验执行与具身自动化</x:v>
      </x:c>
      <x:c r="C206" s="28" t="str">
        <x:v>液体处理与微流控</x:v>
      </x:c>
      <x:c r="D206" s="28" t="str">
        <x:v>计量与液体物性</x:v>
      </x:c>
      <x:c r="E206" s="28" t="str">
        <x:v>实验自动化</x:v>
      </x:c>
      <x:c r="F206" s="28" t="str">
        <x:v>光度法校准</x:v>
      </x:c>
      <x:c r="G206" s="28" t="str">
        <x:v>围绕“光度法校准”建立液体物性—耗材—动作—传感闭环，控制偏差、变异、死体积和交叉污染。</x:v>
      </x:c>
      <x:c r="H206" s="28" t="str">
        <x:v>对不同液体、体积和环境，准确度、精密度与污染是否已验证？</x:v>
      </x:c>
      <x:c r="I206" s="28" t="str">
        <x:v>偏差；CV；携带污染；死体积；液面/堵塞检测召回率</x:v>
      </x:c>
      <x:c r="J206" s="64" t="str">
        <x:v>基础能力</x:v>
      </x:c>
      <x:c r="K206" s="64" t="str">
        <x:v>P0</x:v>
      </x:c>
      <x:c r="L206" s="28" t="str">
        <x:v>S01; S02; S17; S18</x:v>
      </x:c>
      <x:c r="M206" s="28" t="str">
        <x:v>https://pubs.acs.org/doi/10.1021/acs.chemrev.4c00055</x:v>
      </x:c>
    </x:row>
    <x:row r="207" ht="48" customHeight="1">
      <x:c r="A207" s="64" t="str">
        <x:v>T0206</x:v>
      </x:c>
      <x:c r="B207" s="28" t="str">
        <x:v>实验执行与具身自动化</x:v>
      </x:c>
      <x:c r="C207" s="28" t="str">
        <x:v>液体处理与微流控</x:v>
      </x:c>
      <x:c r="D207" s="28" t="str">
        <x:v>计量与液体物性</x:v>
      </x:c>
      <x:c r="E207" s="28" t="str">
        <x:v>实验自动化</x:v>
      </x:c>
      <x:c r="F207" s="28" t="str">
        <x:v>液体类别</x:v>
      </x:c>
      <x:c r="G207" s="28" t="str">
        <x:v>围绕“液体类别”建立液体物性—耗材—动作—传感闭环，控制偏差、变异、死体积和交叉污染。</x:v>
      </x:c>
      <x:c r="H207" s="28" t="str">
        <x:v>对不同液体、体积和环境，准确度、精密度与污染是否已验证？</x:v>
      </x:c>
      <x:c r="I207" s="28" t="str">
        <x:v>偏差；CV；携带污染；死体积；液面/堵塞检测召回率</x:v>
      </x:c>
      <x:c r="J207" s="64" t="str">
        <x:v>基础能力</x:v>
      </x:c>
      <x:c r="K207" s="64" t="str">
        <x:v>P0</x:v>
      </x:c>
      <x:c r="L207" s="28" t="str">
        <x:v>S01; S02; S17; S18</x:v>
      </x:c>
      <x:c r="M207" s="28" t="str">
        <x:v>https://royalsocietypublishing.org/rsos/article/12/7/250646/235354/Autonomous-self-driving-laboratories-a-review-of</x:v>
      </x:c>
    </x:row>
    <x:row r="208" ht="48" customHeight="1">
      <x:c r="A208" s="64" t="str">
        <x:v>T0207</x:v>
      </x:c>
      <x:c r="B208" s="28" t="str">
        <x:v>实验执行与具身自动化</x:v>
      </x:c>
      <x:c r="C208" s="28" t="str">
        <x:v>液体处理与微流控</x:v>
      </x:c>
      <x:c r="D208" s="28" t="str">
        <x:v>计量与液体物性</x:v>
      </x:c>
      <x:c r="E208" s="28" t="str">
        <x:v>实验自动化</x:v>
      </x:c>
      <x:c r="F208" s="28" t="str">
        <x:v>黏度补偿</x:v>
      </x:c>
      <x:c r="G208" s="28" t="str">
        <x:v>围绕“黏度补偿”建立液体物性—耗材—动作—传感闭环，控制偏差、变异、死体积和交叉污染。</x:v>
      </x:c>
      <x:c r="H208" s="28" t="str">
        <x:v>对不同液体、体积和环境，准确度、精密度与污染是否已验证？</x:v>
      </x:c>
      <x:c r="I208" s="28" t="str">
        <x:v>偏差；CV；携带污染；死体积；液面/堵塞检测召回率</x:v>
      </x:c>
      <x:c r="J208" s="64" t="str">
        <x:v>基础能力</x:v>
      </x:c>
      <x:c r="K208" s="64" t="str">
        <x:v>P0</x:v>
      </x:c>
      <x:c r="L208" s="28" t="str">
        <x:v>S01; S02; S17; S18</x:v>
      </x:c>
      <x:c r="M208" s="28" t="str">
        <x:v>https://www.science.org/doi/10.1126/sciadv.adj0461</x:v>
      </x:c>
    </x:row>
    <x:row r="209" ht="48" customHeight="1">
      <x:c r="A209" s="64" t="str">
        <x:v>T0208</x:v>
      </x:c>
      <x:c r="B209" s="28" t="str">
        <x:v>实验执行与具身自动化</x:v>
      </x:c>
      <x:c r="C209" s="28" t="str">
        <x:v>液体处理与微流控</x:v>
      </x:c>
      <x:c r="D209" s="28" t="str">
        <x:v>计量与液体物性</x:v>
      </x:c>
      <x:c r="E209" s="28" t="str">
        <x:v>实验自动化</x:v>
      </x:c>
      <x:c r="F209" s="28" t="str">
        <x:v>表面张力补偿</x:v>
      </x:c>
      <x:c r="G209" s="28" t="str">
        <x:v>围绕“表面张力补偿”建立液体物性—耗材—动作—传感闭环，控制偏差、变异、死体积和交叉污染。</x:v>
      </x:c>
      <x:c r="H209" s="28" t="str">
        <x:v>对不同液体、体积和环境，准确度、精密度与污染是否已验证？</x:v>
      </x:c>
      <x:c r="I209" s="28" t="str">
        <x:v>偏差；CV；携带污染；死体积；液面/堵塞检测召回率</x:v>
      </x:c>
      <x:c r="J209" s="64" t="str">
        <x:v>基础能力</x:v>
      </x:c>
      <x:c r="K209" s="64" t="str">
        <x:v>P0</x:v>
      </x:c>
      <x:c r="L209" s="28" t="str">
        <x:v>S01; S02; S17; S18</x:v>
      </x:c>
      <x:c r="M209" s="28" t="str">
        <x:v>https://www.nature.com/articles/s41467-024-55655-3</x:v>
      </x:c>
    </x:row>
    <x:row r="210" ht="48" customHeight="1">
      <x:c r="A210" s="64" t="str">
        <x:v>T0209</x:v>
      </x:c>
      <x:c r="B210" s="28" t="str">
        <x:v>实验执行与具身自动化</x:v>
      </x:c>
      <x:c r="C210" s="28" t="str">
        <x:v>液体处理与微流控</x:v>
      </x:c>
      <x:c r="D210" s="28" t="str">
        <x:v>计量与液体物性</x:v>
      </x:c>
      <x:c r="E210" s="28" t="str">
        <x:v>实验自动化</x:v>
      </x:c>
      <x:c r="F210" s="28" t="str">
        <x:v>密度补偿</x:v>
      </x:c>
      <x:c r="G210" s="28" t="str">
        <x:v>围绕“密度补偿”建立液体物性—耗材—动作—传感闭环，控制偏差、变异、死体积和交叉污染。</x:v>
      </x:c>
      <x:c r="H210" s="28" t="str">
        <x:v>对不同液体、体积和环境，准确度、精密度与污染是否已验证？</x:v>
      </x:c>
      <x:c r="I210" s="28" t="str">
        <x:v>偏差；CV；携带污染；死体积；液面/堵塞检测召回率</x:v>
      </x:c>
      <x:c r="J210" s="64" t="str">
        <x:v>基础能力</x:v>
      </x:c>
      <x:c r="K210" s="64" t="str">
        <x:v>P0</x:v>
      </x:c>
      <x:c r="L210" s="28" t="str">
        <x:v>S01; S02; S17; S18</x:v>
      </x:c>
      <x:c r="M210" s="28" t="str">
        <x:v>https://pubs.acs.org/doi/10.1021/acs.chemrev.4c00055</x:v>
      </x:c>
    </x:row>
    <x:row r="211" ht="48" customHeight="1">
      <x:c r="A211" s="64" t="str">
        <x:v>T0210</x:v>
      </x:c>
      <x:c r="B211" s="28" t="str">
        <x:v>实验执行与具身自动化</x:v>
      </x:c>
      <x:c r="C211" s="28" t="str">
        <x:v>液体处理与微流控</x:v>
      </x:c>
      <x:c r="D211" s="28" t="str">
        <x:v>计量与液体物性</x:v>
      </x:c>
      <x:c r="E211" s="28" t="str">
        <x:v>实验自动化</x:v>
      </x:c>
      <x:c r="F211" s="28" t="str">
        <x:v>蒸发补偿</x:v>
      </x:c>
      <x:c r="G211" s="28" t="str">
        <x:v>围绕“蒸发补偿”建立液体物性—耗材—动作—传感闭环，控制偏差、变异、死体积和交叉污染。</x:v>
      </x:c>
      <x:c r="H211" s="28" t="str">
        <x:v>对不同液体、体积和环境，准确度、精密度与污染是否已验证？</x:v>
      </x:c>
      <x:c r="I211" s="28" t="str">
        <x:v>偏差；CV；携带污染；死体积；液面/堵塞检测召回率</x:v>
      </x:c>
      <x:c r="J211" s="64" t="str">
        <x:v>基础能力</x:v>
      </x:c>
      <x:c r="K211" s="64" t="str">
        <x:v>P0</x:v>
      </x:c>
      <x:c r="L211" s="28" t="str">
        <x:v>S01; S02; S17; S18</x:v>
      </x:c>
      <x:c r="M211" s="28" t="str">
        <x:v>https://royalsocietypublishing.org/rsos/article/12/7/250646/235354/Autonomous-self-driving-laboratories-a-review-of</x:v>
      </x:c>
    </x:row>
    <x:row r="212" ht="48" customHeight="1">
      <x:c r="A212" s="64" t="str">
        <x:v>T0211</x:v>
      </x:c>
      <x:c r="B212" s="28" t="str">
        <x:v>实验执行与具身自动化</x:v>
      </x:c>
      <x:c r="C212" s="28" t="str">
        <x:v>液体处理与微流控</x:v>
      </x:c>
      <x:c r="D212" s="28" t="str">
        <x:v>污染、耗材与感知</x:v>
      </x:c>
      <x:c r="E212" s="28" t="str">
        <x:v>实验自动化</x:v>
      </x:c>
      <x:c r="F212" s="28" t="str">
        <x:v>死体积管理</x:v>
      </x:c>
      <x:c r="G212" s="28" t="str">
        <x:v>围绕“死体积管理”建立液体物性—耗材—动作—传感闭环，控制偏差、变异、死体积和交叉污染。</x:v>
      </x:c>
      <x:c r="H212" s="28" t="str">
        <x:v>对不同液体、体积和环境，准确度、精密度与污染是否已验证？</x:v>
      </x:c>
      <x:c r="I212" s="28" t="str">
        <x:v>偏差；CV；携带污染；死体积；液面/堵塞检测召回率</x:v>
      </x:c>
      <x:c r="J212" s="64" t="str">
        <x:v>基础能力</x:v>
      </x:c>
      <x:c r="K212" s="64" t="str">
        <x:v>P1</x:v>
      </x:c>
      <x:c r="L212" s="28" t="str">
        <x:v>S01; S02; S17; S18</x:v>
      </x:c>
      <x:c r="M212" s="28" t="str">
        <x:v>https://www.science.org/doi/10.1126/sciadv.adj0461</x:v>
      </x:c>
    </x:row>
    <x:row r="213" ht="48" customHeight="1">
      <x:c r="A213" s="64" t="str">
        <x:v>T0212</x:v>
      </x:c>
      <x:c r="B213" s="28" t="str">
        <x:v>实验执行与具身自动化</x:v>
      </x:c>
      <x:c r="C213" s="28" t="str">
        <x:v>液体处理与微流控</x:v>
      </x:c>
      <x:c r="D213" s="28" t="str">
        <x:v>污染、耗材与感知</x:v>
      </x:c>
      <x:c r="E213" s="28" t="str">
        <x:v>实验自动化</x:v>
      </x:c>
      <x:c r="F213" s="28" t="str">
        <x:v>携带污染控制</x:v>
      </x:c>
      <x:c r="G213" s="28" t="str">
        <x:v>围绕“携带污染控制”建立液体物性—耗材—动作—传感闭环，控制偏差、变异、死体积和交叉污染。</x:v>
      </x:c>
      <x:c r="H213" s="28" t="str">
        <x:v>对不同液体、体积和环境，准确度、精密度与污染是否已验证？</x:v>
      </x:c>
      <x:c r="I213" s="28" t="str">
        <x:v>偏差；CV；携带污染；死体积；液面/堵塞检测召回率</x:v>
      </x:c>
      <x:c r="J213" s="64" t="str">
        <x:v>基础能力</x:v>
      </x:c>
      <x:c r="K213" s="64" t="str">
        <x:v>P1</x:v>
      </x:c>
      <x:c r="L213" s="28" t="str">
        <x:v>S01; S02; S17; S18</x:v>
      </x:c>
      <x:c r="M213" s="28" t="str">
        <x:v>https://www.nature.com/articles/s41467-024-55655-3</x:v>
      </x:c>
    </x:row>
    <x:row r="214" ht="48" customHeight="1">
      <x:c r="A214" s="64" t="str">
        <x:v>T0213</x:v>
      </x:c>
      <x:c r="B214" s="28" t="str">
        <x:v>实验执行与具身自动化</x:v>
      </x:c>
      <x:c r="C214" s="28" t="str">
        <x:v>液体处理与微流控</x:v>
      </x:c>
      <x:c r="D214" s="28" t="str">
        <x:v>污染、耗材与感知</x:v>
      </x:c>
      <x:c r="E214" s="28" t="str">
        <x:v>实验自动化</x:v>
      </x:c>
      <x:c r="F214" s="28" t="str">
        <x:v>气溶胶控制</x:v>
      </x:c>
      <x:c r="G214" s="28" t="str">
        <x:v>围绕“气溶胶控制”建立液体物性—耗材—动作—传感闭环，控制偏差、变异、死体积和交叉污染。</x:v>
      </x:c>
      <x:c r="H214" s="28" t="str">
        <x:v>对不同液体、体积和环境，准确度、精密度与污染是否已验证？</x:v>
      </x:c>
      <x:c r="I214" s="28" t="str">
        <x:v>偏差；CV；携带污染；死体积；液面/堵塞检测召回率</x:v>
      </x:c>
      <x:c r="J214" s="64" t="str">
        <x:v>工程化关键</x:v>
      </x:c>
      <x:c r="K214" s="64" t="str">
        <x:v>P1</x:v>
      </x:c>
      <x:c r="L214" s="28" t="str">
        <x:v>S01; S02; S17; S18</x:v>
      </x:c>
      <x:c r="M214" s="28" t="str">
        <x:v>https://pubs.acs.org/doi/10.1021/acs.chemrev.4c00055</x:v>
      </x:c>
    </x:row>
    <x:row r="215" ht="48" customHeight="1">
      <x:c r="A215" s="64" t="str">
        <x:v>T0214</x:v>
      </x:c>
      <x:c r="B215" s="28" t="str">
        <x:v>实验执行与具身自动化</x:v>
      </x:c>
      <x:c r="C215" s="28" t="str">
        <x:v>液体处理与微流控</x:v>
      </x:c>
      <x:c r="D215" s="28" t="str">
        <x:v>污染、耗材与感知</x:v>
      </x:c>
      <x:c r="E215" s="28" t="str">
        <x:v>实验自动化</x:v>
      </x:c>
      <x:c r="F215" s="28" t="str">
        <x:v>吸头选择</x:v>
      </x:c>
      <x:c r="G215" s="28" t="str">
        <x:v>围绕“吸头选择”建立液体物性—耗材—动作—传感闭环，控制偏差、变异、死体积和交叉污染。</x:v>
      </x:c>
      <x:c r="H215" s="28" t="str">
        <x:v>对不同液体、体积和环境，准确度、精密度与污染是否已验证？</x:v>
      </x:c>
      <x:c r="I215" s="28" t="str">
        <x:v>偏差；CV；携带污染；死体积；液面/堵塞检测召回率</x:v>
      </x:c>
      <x:c r="J215" s="64" t="str">
        <x:v>工程化关键</x:v>
      </x:c>
      <x:c r="K215" s="64" t="str">
        <x:v>P1</x:v>
      </x:c>
      <x:c r="L215" s="28" t="str">
        <x:v>S01; S02; S17; S18</x:v>
      </x:c>
      <x:c r="M215" s="28" t="str">
        <x:v>https://royalsocietypublishing.org/rsos/article/12/7/250646/235354/Autonomous-self-driving-laboratories-a-review-of</x:v>
      </x:c>
    </x:row>
    <x:row r="216" ht="48" customHeight="1">
      <x:c r="A216" s="64" t="str">
        <x:v>T0215</x:v>
      </x:c>
      <x:c r="B216" s="28" t="str">
        <x:v>实验执行与具身自动化</x:v>
      </x:c>
      <x:c r="C216" s="28" t="str">
        <x:v>液体处理与微流控</x:v>
      </x:c>
      <x:c r="D216" s="28" t="str">
        <x:v>污染、耗材与感知</x:v>
      </x:c>
      <x:c r="E216" s="28" t="str">
        <x:v>实验自动化</x:v>
      </x:c>
      <x:c r="F216" s="28" t="str">
        <x:v>吸头检测</x:v>
      </x:c>
      <x:c r="G216" s="28" t="str">
        <x:v>围绕“吸头检测”建立液体物性—耗材—动作—传感闭环，控制偏差、变异、死体积和交叉污染。</x:v>
      </x:c>
      <x:c r="H216" s="28" t="str">
        <x:v>对不同液体、体积和环境，准确度、精密度与污染是否已验证？</x:v>
      </x:c>
      <x:c r="I216" s="28" t="str">
        <x:v>偏差；CV；携带污染；死体积；液面/堵塞检测召回率</x:v>
      </x:c>
      <x:c r="J216" s="64" t="str">
        <x:v>工程化关键</x:v>
      </x:c>
      <x:c r="K216" s="64" t="str">
        <x:v>P1</x:v>
      </x:c>
      <x:c r="L216" s="28" t="str">
        <x:v>S01; S02; S17; S18</x:v>
      </x:c>
      <x:c r="M216" s="28" t="str">
        <x:v>https://www.science.org/doi/10.1126/sciadv.adj0461</x:v>
      </x:c>
    </x:row>
    <x:row r="217" ht="48" customHeight="1">
      <x:c r="A217" s="64" t="str">
        <x:v>T0216</x:v>
      </x:c>
      <x:c r="B217" s="28" t="str">
        <x:v>实验执行与具身自动化</x:v>
      </x:c>
      <x:c r="C217" s="28" t="str">
        <x:v>液体处理与微流控</x:v>
      </x:c>
      <x:c r="D217" s="28" t="str">
        <x:v>污染、耗材与感知</x:v>
      </x:c>
      <x:c r="E217" s="28" t="str">
        <x:v>实验自动化</x:v>
      </x:c>
      <x:c r="F217" s="28" t="str">
        <x:v>液面检测</x:v>
      </x:c>
      <x:c r="G217" s="28" t="str">
        <x:v>围绕“液面检测”建立液体物性—耗材—动作—传感闭环，控制偏差、变异、死体积和交叉污染。</x:v>
      </x:c>
      <x:c r="H217" s="28" t="str">
        <x:v>对不同液体、体积和环境，准确度、精密度与污染是否已验证？</x:v>
      </x:c>
      <x:c r="I217" s="28" t="str">
        <x:v>偏差；CV；携带污染；死体积；液面/堵塞检测召回率</x:v>
      </x:c>
      <x:c r="J217" s="64" t="str">
        <x:v>工程化关键</x:v>
      </x:c>
      <x:c r="K217" s="64" t="str">
        <x:v>P1</x:v>
      </x:c>
      <x:c r="L217" s="28" t="str">
        <x:v>S01; S02; S17; S18</x:v>
      </x:c>
      <x:c r="M217" s="28" t="str">
        <x:v>https://www.nature.com/articles/s41467-024-55655-3</x:v>
      </x:c>
    </x:row>
    <x:row r="218" ht="48" customHeight="1">
      <x:c r="A218" s="64" t="str">
        <x:v>T0217</x:v>
      </x:c>
      <x:c r="B218" s="28" t="str">
        <x:v>实验执行与具身自动化</x:v>
      </x:c>
      <x:c r="C218" s="28" t="str">
        <x:v>液体处理与微流控</x:v>
      </x:c>
      <x:c r="D218" s="28" t="str">
        <x:v>污染、耗材与感知</x:v>
      </x:c>
      <x:c r="E218" s="28" t="str">
        <x:v>实验自动化</x:v>
      </x:c>
      <x:c r="F218" s="28" t="str">
        <x:v>吸液曲线</x:v>
      </x:c>
      <x:c r="G218" s="28" t="str">
        <x:v>围绕“吸液曲线”建立液体物性—耗材—动作—传感闭环，控制偏差、变异、死体积和交叉污染。</x:v>
      </x:c>
      <x:c r="H218" s="28" t="str">
        <x:v>对不同液体、体积和环境，准确度、精密度与污染是否已验证？</x:v>
      </x:c>
      <x:c r="I218" s="28" t="str">
        <x:v>偏差；CV；携带污染；死体积；液面/堵塞检测召回率</x:v>
      </x:c>
      <x:c r="J218" s="64" t="str">
        <x:v>工程化关键</x:v>
      </x:c>
      <x:c r="K218" s="64" t="str">
        <x:v>P1</x:v>
      </x:c>
      <x:c r="L218" s="28" t="str">
        <x:v>S01; S02; S17; S18</x:v>
      </x:c>
      <x:c r="M218" s="28" t="str">
        <x:v>https://pubs.acs.org/doi/10.1021/acs.chemrev.4c00055</x:v>
      </x:c>
    </x:row>
    <x:row r="219" ht="48" customHeight="1">
      <x:c r="A219" s="64" t="str">
        <x:v>T0218</x:v>
      </x:c>
      <x:c r="B219" s="28" t="str">
        <x:v>实验执行与具身自动化</x:v>
      </x:c>
      <x:c r="C219" s="28" t="str">
        <x:v>液体处理与微流控</x:v>
      </x:c>
      <x:c r="D219" s="28" t="str">
        <x:v>污染、耗材与感知</x:v>
      </x:c>
      <x:c r="E219" s="28" t="str">
        <x:v>实验自动化</x:v>
      </x:c>
      <x:c r="F219" s="28" t="str">
        <x:v>排液曲线</x:v>
      </x:c>
      <x:c r="G219" s="28" t="str">
        <x:v>围绕“排液曲线”建立液体物性—耗材—动作—传感闭环，控制偏差、变异、死体积和交叉污染。</x:v>
      </x:c>
      <x:c r="H219" s="28" t="str">
        <x:v>对不同液体、体积和环境，准确度、精密度与污染是否已验证？</x:v>
      </x:c>
      <x:c r="I219" s="28" t="str">
        <x:v>偏差；CV；携带污染；死体积；液面/堵塞检测召回率</x:v>
      </x:c>
      <x:c r="J219" s="64" t="str">
        <x:v>工程化关键</x:v>
      </x:c>
      <x:c r="K219" s="64" t="str">
        <x:v>P1</x:v>
      </x:c>
      <x:c r="L219" s="28" t="str">
        <x:v>S01; S02; S17; S18</x:v>
      </x:c>
      <x:c r="M219" s="28" t="str">
        <x:v>https://royalsocietypublishing.org/rsos/article/12/7/250646/235354/Autonomous-self-driving-laboratories-a-review-of</x:v>
      </x:c>
    </x:row>
    <x:row r="220" ht="48" customHeight="1">
      <x:c r="A220" s="64" t="str">
        <x:v>T0219</x:v>
      </x:c>
      <x:c r="B220" s="28" t="str">
        <x:v>实验执行与具身自动化</x:v>
      </x:c>
      <x:c r="C220" s="28" t="str">
        <x:v>液体处理与微流控</x:v>
      </x:c>
      <x:c r="D220" s="28" t="str">
        <x:v>污染、耗材与感知</x:v>
      </x:c>
      <x:c r="E220" s="28" t="str">
        <x:v>实验自动化</x:v>
      </x:c>
      <x:c r="F220" s="28" t="str">
        <x:v>混匀策略</x:v>
      </x:c>
      <x:c r="G220" s="28" t="str">
        <x:v>围绕“混匀策略”建立液体物性—耗材—动作—传感闭环，控制偏差、变异、死体积和交叉污染。</x:v>
      </x:c>
      <x:c r="H220" s="28" t="str">
        <x:v>对不同液体、体积和环境，准确度、精密度与污染是否已验证？</x:v>
      </x:c>
      <x:c r="I220" s="28" t="str">
        <x:v>偏差；CV；携带污染；死体积；液面/堵塞检测召回率</x:v>
      </x:c>
      <x:c r="J220" s="64" t="str">
        <x:v>工程化关键</x:v>
      </x:c>
      <x:c r="K220" s="64" t="str">
        <x:v>P1</x:v>
      </x:c>
      <x:c r="L220" s="28" t="str">
        <x:v>S01; S02; S17; S18</x:v>
      </x:c>
      <x:c r="M220" s="28" t="str">
        <x:v>https://www.science.org/doi/10.1126/sciadv.adj0461</x:v>
      </x:c>
    </x:row>
    <x:row r="221" ht="48" customHeight="1">
      <x:c r="A221" s="64" t="str">
        <x:v>T0220</x:v>
      </x:c>
      <x:c r="B221" s="28" t="str">
        <x:v>实验执行与具身自动化</x:v>
      </x:c>
      <x:c r="C221" s="28" t="str">
        <x:v>液体处理与微流控</x:v>
      </x:c>
      <x:c r="D221" s="28" t="str">
        <x:v>污染、耗材与感知</x:v>
      </x:c>
      <x:c r="E221" s="28" t="str">
        <x:v>实验自动化</x:v>
      </x:c>
      <x:c r="F221" s="28" t="str">
        <x:v>梯度稀释</x:v>
      </x:c>
      <x:c r="G221" s="28" t="str">
        <x:v>围绕“梯度稀释”建立液体物性—耗材—动作—传感闭环，控制偏差、变异、死体积和交叉污染。</x:v>
      </x:c>
      <x:c r="H221" s="28" t="str">
        <x:v>对不同液体、体积和环境，准确度、精密度与污染是否已验证？</x:v>
      </x:c>
      <x:c r="I221" s="28" t="str">
        <x:v>偏差；CV；携带污染；死体积；液面/堵塞检测召回率</x:v>
      </x:c>
      <x:c r="J221" s="64" t="str">
        <x:v>工程化关键</x:v>
      </x:c>
      <x:c r="K221" s="64" t="str">
        <x:v>P1</x:v>
      </x:c>
      <x:c r="L221" s="28" t="str">
        <x:v>S01; S02; S17; S18</x:v>
      </x:c>
      <x:c r="M221" s="28" t="str">
        <x:v>https://www.nature.com/articles/s41467-024-55655-3</x:v>
      </x:c>
    </x:row>
    <x:row r="222" ht="48" customHeight="1">
      <x:c r="A222" s="64" t="str">
        <x:v>T0221</x:v>
      </x:c>
      <x:c r="B222" s="28" t="str">
        <x:v>实验执行与具身自动化</x:v>
      </x:c>
      <x:c r="C222" s="28" t="str">
        <x:v>液体处理与微流控</x:v>
      </x:c>
      <x:c r="D222" s="28" t="str">
        <x:v>工作流单元操作</x:v>
      </x:c>
      <x:c r="E222" s="28" t="str">
        <x:v>实验自动化</x:v>
      </x:c>
      <x:c r="F222" s="28" t="str">
        <x:v>样品归一化</x:v>
      </x:c>
      <x:c r="G222" s="28" t="str">
        <x:v>围绕“样品归一化”建立液体物性—耗材—动作—传感闭环，控制偏差、变异、死体积和交叉污染。</x:v>
      </x:c>
      <x:c r="H222" s="28" t="str">
        <x:v>对不同液体、体积和环境，准确度、精密度与污染是否已验证？</x:v>
      </x:c>
      <x:c r="I222" s="28" t="str">
        <x:v>偏差；CV；携带污染；死体积；液面/堵塞检测召回率</x:v>
      </x:c>
      <x:c r="J222" s="64" t="str">
        <x:v>工程化关键</x:v>
      </x:c>
      <x:c r="K222" s="64" t="str">
        <x:v>P1</x:v>
      </x:c>
      <x:c r="L222" s="28" t="str">
        <x:v>S01; S02; S17; S18</x:v>
      </x:c>
      <x:c r="M222" s="28" t="str">
        <x:v>https://pubs.acs.org/doi/10.1021/acs.chemrev.4c00055</x:v>
      </x:c>
    </x:row>
    <x:row r="223" ht="48" customHeight="1">
      <x:c r="A223" s="64" t="str">
        <x:v>T0222</x:v>
      </x:c>
      <x:c r="B223" s="28" t="str">
        <x:v>实验执行与具身自动化</x:v>
      </x:c>
      <x:c r="C223" s="28" t="str">
        <x:v>液体处理与微流控</x:v>
      </x:c>
      <x:c r="D223" s="28" t="str">
        <x:v>工作流单元操作</x:v>
      </x:c>
      <x:c r="E223" s="28" t="str">
        <x:v>实验自动化</x:v>
      </x:c>
      <x:c r="F223" s="28" t="str">
        <x:v>加料顺序</x:v>
      </x:c>
      <x:c r="G223" s="28" t="str">
        <x:v>围绕“加料顺序”建立液体物性—耗材—动作—传感闭环，控制偏差、变异、死体积和交叉污染。</x:v>
      </x:c>
      <x:c r="H223" s="28" t="str">
        <x:v>对不同液体、体积和环境，准确度、精密度与污染是否已验证？</x:v>
      </x:c>
      <x:c r="I223" s="28" t="str">
        <x:v>偏差；CV；携带污染；死体积；液面/堵塞检测召回率</x:v>
      </x:c>
      <x:c r="J223" s="64" t="str">
        <x:v>工程化关键</x:v>
      </x:c>
      <x:c r="K223" s="64" t="str">
        <x:v>P1</x:v>
      </x:c>
      <x:c r="L223" s="28" t="str">
        <x:v>S01; S02; S17; S18</x:v>
      </x:c>
      <x:c r="M223" s="28" t="str">
        <x:v>https://royalsocietypublishing.org/rsos/article/12/7/250646/235354/Autonomous-self-driving-laboratories-a-review-of</x:v>
      </x:c>
    </x:row>
    <x:row r="224" ht="48" customHeight="1">
      <x:c r="A224" s="64" t="str">
        <x:v>T0223</x:v>
      </x:c>
      <x:c r="B224" s="28" t="str">
        <x:v>实验执行与具身自动化</x:v>
      </x:c>
      <x:c r="C224" s="28" t="str">
        <x:v>液体处理与微流控</x:v>
      </x:c>
      <x:c r="D224" s="28" t="str">
        <x:v>工作流单元操作</x:v>
      </x:c>
      <x:c r="E224" s="28" t="str">
        <x:v>实验自动化</x:v>
      </x:c>
      <x:c r="F224" s="28" t="str">
        <x:v>自动pH调节</x:v>
      </x:c>
      <x:c r="G224" s="28" t="str">
        <x:v>围绕“自动pH调节”建立液体物性—耗材—动作—传感闭环，控制偏差、变异、死体积和交叉污染。</x:v>
      </x:c>
      <x:c r="H224" s="28" t="str">
        <x:v>对不同液体、体积和环境，准确度、精密度与污染是否已验证？</x:v>
      </x:c>
      <x:c r="I224" s="28" t="str">
        <x:v>偏差；CV；携带污染；死体积；液面/堵塞检测召回率</x:v>
      </x:c>
      <x:c r="J224" s="64" t="str">
        <x:v>工程化关键</x:v>
      </x:c>
      <x:c r="K224" s="64" t="str">
        <x:v>P1</x:v>
      </x:c>
      <x:c r="L224" s="28" t="str">
        <x:v>S01; S02; S17; S18</x:v>
      </x:c>
      <x:c r="M224" s="28" t="str">
        <x:v>https://www.science.org/doi/10.1126/sciadv.adj0461</x:v>
      </x:c>
    </x:row>
    <x:row r="225" ht="48" customHeight="1">
      <x:c r="A225" s="64" t="str">
        <x:v>T0224</x:v>
      </x:c>
      <x:c r="B225" s="28" t="str">
        <x:v>实验执行与具身自动化</x:v>
      </x:c>
      <x:c r="C225" s="28" t="str">
        <x:v>液体处理与微流控</x:v>
      </x:c>
      <x:c r="D225" s="28" t="str">
        <x:v>工作流单元操作</x:v>
      </x:c>
      <x:c r="E225" s="28" t="str">
        <x:v>实验自动化</x:v>
      </x:c>
      <x:c r="F225" s="28" t="str">
        <x:v>自动滴定</x:v>
      </x:c>
      <x:c r="G225" s="28" t="str">
        <x:v>围绕“自动滴定”建立液体物性—耗材—动作—传感闭环，控制偏差、变异、死体积和交叉污染。</x:v>
      </x:c>
      <x:c r="H225" s="28" t="str">
        <x:v>对不同液体、体积和环境，准确度、精密度与污染是否已验证？</x:v>
      </x:c>
      <x:c r="I225" s="28" t="str">
        <x:v>偏差；CV；携带污染；死体积；液面/堵塞检测召回率</x:v>
      </x:c>
      <x:c r="J225" s="64" t="str">
        <x:v>工程化关键</x:v>
      </x:c>
      <x:c r="K225" s="64" t="str">
        <x:v>P1</x:v>
      </x:c>
      <x:c r="L225" s="28" t="str">
        <x:v>S01; S02; S17; S18</x:v>
      </x:c>
      <x:c r="M225" s="28" t="str">
        <x:v>https://www.nature.com/articles/s41467-024-55655-3</x:v>
      </x:c>
    </x:row>
    <x:row r="226" ht="48" customHeight="1">
      <x:c r="A226" s="64" t="str">
        <x:v>T0225</x:v>
      </x:c>
      <x:c r="B226" s="28" t="str">
        <x:v>实验执行与具身自动化</x:v>
      </x:c>
      <x:c r="C226" s="28" t="str">
        <x:v>液体处理与微流控</x:v>
      </x:c>
      <x:c r="D226" s="28" t="str">
        <x:v>工作流单元操作</x:v>
      </x:c>
      <x:c r="E226" s="28" t="str">
        <x:v>实验自动化</x:v>
      </x:c>
      <x:c r="F226" s="28" t="str">
        <x:v>自动过滤</x:v>
      </x:c>
      <x:c r="G226" s="28" t="str">
        <x:v>围绕“自动过滤”建立液体物性—耗材—动作—传感闭环，控制偏差、变异、死体积和交叉污染。</x:v>
      </x:c>
      <x:c r="H226" s="28" t="str">
        <x:v>对不同液体、体积和环境，准确度、精密度与污染是否已验证？</x:v>
      </x:c>
      <x:c r="I226" s="28" t="str">
        <x:v>偏差；CV；携带污染；死体积；液面/堵塞检测召回率</x:v>
      </x:c>
      <x:c r="J226" s="64" t="str">
        <x:v>工程化关键</x:v>
      </x:c>
      <x:c r="K226" s="64" t="str">
        <x:v>P1</x:v>
      </x:c>
      <x:c r="L226" s="28" t="str">
        <x:v>S01; S02; S17; S18</x:v>
      </x:c>
      <x:c r="M226" s="28" t="str">
        <x:v>https://pubs.acs.org/doi/10.1021/acs.chemrev.4c00055</x:v>
      </x:c>
    </x:row>
    <x:row r="227" ht="48" customHeight="1">
      <x:c r="A227" s="64" t="str">
        <x:v>T0226</x:v>
      </x:c>
      <x:c r="B227" s="28" t="str">
        <x:v>实验执行与具身自动化</x:v>
      </x:c>
      <x:c r="C227" s="28" t="str">
        <x:v>液体处理与微流控</x:v>
      </x:c>
      <x:c r="D227" s="28" t="str">
        <x:v>工作流单元操作</x:v>
      </x:c>
      <x:c r="E227" s="28" t="str">
        <x:v>实验自动化</x:v>
      </x:c>
      <x:c r="F227" s="28" t="str">
        <x:v>自动离心</x:v>
      </x:c>
      <x:c r="G227" s="28" t="str">
        <x:v>围绕“自动离心”建立液体物性—耗材—动作—传感闭环，控制偏差、变异、死体积和交叉污染。</x:v>
      </x:c>
      <x:c r="H227" s="28" t="str">
        <x:v>对不同液体、体积和环境，准确度、精密度与污染是否已验证？</x:v>
      </x:c>
      <x:c r="I227" s="28" t="str">
        <x:v>偏差；CV；携带污染；死体积；液面/堵塞检测召回率</x:v>
      </x:c>
      <x:c r="J227" s="64" t="str">
        <x:v>工程化关键</x:v>
      </x:c>
      <x:c r="K227" s="64" t="str">
        <x:v>P1</x:v>
      </x:c>
      <x:c r="L227" s="28" t="str">
        <x:v>S01; S02; S17; S18</x:v>
      </x:c>
      <x:c r="M227" s="28" t="str">
        <x:v>https://royalsocietypublishing.org/rsos/article/12/7/250646/235354/Autonomous-self-driving-laboratories-a-review-of</x:v>
      </x:c>
    </x:row>
    <x:row r="228" ht="48" customHeight="1">
      <x:c r="A228" s="64" t="str">
        <x:v>T0227</x:v>
      </x:c>
      <x:c r="B228" s="28" t="str">
        <x:v>实验执行与具身自动化</x:v>
      </x:c>
      <x:c r="C228" s="28" t="str">
        <x:v>液体处理与微流控</x:v>
      </x:c>
      <x:c r="D228" s="28" t="str">
        <x:v>工作流单元操作</x:v>
      </x:c>
      <x:c r="E228" s="28" t="str">
        <x:v>实验自动化</x:v>
      </x:c>
      <x:c r="F228" s="28" t="str">
        <x:v>相分离</x:v>
      </x:c>
      <x:c r="G228" s="28" t="str">
        <x:v>围绕“相分离”建立液体物性—耗材—动作—传感闭环，控制偏差、变异、死体积和交叉污染。</x:v>
      </x:c>
      <x:c r="H228" s="28" t="str">
        <x:v>对不同液体、体积和环境，准确度、精密度与污染是否已验证？</x:v>
      </x:c>
      <x:c r="I228" s="28" t="str">
        <x:v>偏差；CV；携带污染；死体积；液面/堵塞检测召回率</x:v>
      </x:c>
      <x:c r="J228" s="64" t="str">
        <x:v>工程化关键</x:v>
      </x:c>
      <x:c r="K228" s="64" t="str">
        <x:v>P1</x:v>
      </x:c>
      <x:c r="L228" s="28" t="str">
        <x:v>S01; S02; S17; S18</x:v>
      </x:c>
      <x:c r="M228" s="28" t="str">
        <x:v>https://www.science.org/doi/10.1126/sciadv.adj0461</x:v>
      </x:c>
    </x:row>
    <x:row r="229" ht="48" customHeight="1">
      <x:c r="A229" s="64" t="str">
        <x:v>T0228</x:v>
      </x:c>
      <x:c r="B229" s="28" t="str">
        <x:v>实验执行与具身自动化</x:v>
      </x:c>
      <x:c r="C229" s="28" t="str">
        <x:v>液体处理与微流控</x:v>
      </x:c>
      <x:c r="D229" s="28" t="str">
        <x:v>工作流单元操作</x:v>
      </x:c>
      <x:c r="E229" s="28" t="str">
        <x:v>实验自动化</x:v>
      </x:c>
      <x:c r="F229" s="28" t="str">
        <x:v>液液萃取</x:v>
      </x:c>
      <x:c r="G229" s="28" t="str">
        <x:v>围绕“液液萃取”建立液体物性—耗材—动作—传感闭环，控制偏差、变异、死体积和交叉污染。</x:v>
      </x:c>
      <x:c r="H229" s="28" t="str">
        <x:v>对不同液体、体积和环境，准确度、精密度与污染是否已验证？</x:v>
      </x:c>
      <x:c r="I229" s="28" t="str">
        <x:v>偏差；CV；携带污染；死体积；液面/堵塞检测召回率</x:v>
      </x:c>
      <x:c r="J229" s="64" t="str">
        <x:v>工程化关键</x:v>
      </x:c>
      <x:c r="K229" s="64" t="str">
        <x:v>P1</x:v>
      </x:c>
      <x:c r="L229" s="28" t="str">
        <x:v>S01; S02; S17; S18</x:v>
      </x:c>
      <x:c r="M229" s="28" t="str">
        <x:v>https://www.nature.com/articles/s41467-024-55655-3</x:v>
      </x:c>
    </x:row>
    <x:row r="230" ht="48" customHeight="1">
      <x:c r="A230" s="64" t="str">
        <x:v>T0229</x:v>
      </x:c>
      <x:c r="B230" s="28" t="str">
        <x:v>实验执行与具身自动化</x:v>
      </x:c>
      <x:c r="C230" s="28" t="str">
        <x:v>液体处理与微流控</x:v>
      </x:c>
      <x:c r="D230" s="28" t="str">
        <x:v>工作流单元操作</x:v>
      </x:c>
      <x:c r="E230" s="28" t="str">
        <x:v>实验自动化</x:v>
      </x:c>
      <x:c r="F230" s="28" t="str">
        <x:v>液滴微流控</x:v>
      </x:c>
      <x:c r="G230" s="28" t="str">
        <x:v>围绕“液滴微流控”建立液体物性—耗材—动作—传感闭环，控制偏差、变异、死体积和交叉污染。</x:v>
      </x:c>
      <x:c r="H230" s="28" t="str">
        <x:v>对不同液体、体积和环境，准确度、精密度与污染是否已验证？</x:v>
      </x:c>
      <x:c r="I230" s="28" t="str">
        <x:v>偏差；CV；携带污染；死体积；液面/堵塞检测召回率</x:v>
      </x:c>
      <x:c r="J230" s="64" t="str">
        <x:v>进阶能力</x:v>
      </x:c>
      <x:c r="K230" s="64" t="str">
        <x:v>P2</x:v>
      </x:c>
      <x:c r="L230" s="28" t="str">
        <x:v>S01; S02; S17; S18</x:v>
      </x:c>
      <x:c r="M230" s="28" t="str">
        <x:v>https://pubs.acs.org/doi/10.1021/acs.chemrev.4c00055</x:v>
      </x:c>
    </x:row>
    <x:row r="231" ht="48" customHeight="1">
      <x:c r="A231" s="64" t="str">
        <x:v>T0230</x:v>
      </x:c>
      <x:c r="B231" s="28" t="str">
        <x:v>实验执行与具身自动化</x:v>
      </x:c>
      <x:c r="C231" s="28" t="str">
        <x:v>液体处理与微流控</x:v>
      </x:c>
      <x:c r="D231" s="28" t="str">
        <x:v>工作流单元操作</x:v>
      </x:c>
      <x:c r="E231" s="28" t="str">
        <x:v>实验自动化</x:v>
      </x:c>
      <x:c r="F231" s="28" t="str">
        <x:v>连续流微流控</x:v>
      </x:c>
      <x:c r="G231" s="28" t="str">
        <x:v>围绕“连续流微流控”建立液体物性—耗材—动作—传感闭环，控制偏差、变异、死体积和交叉污染。</x:v>
      </x:c>
      <x:c r="H231" s="28" t="str">
        <x:v>对不同液体、体积和环境，准确度、精密度与污染是否已验证？</x:v>
      </x:c>
      <x:c r="I231" s="28" t="str">
        <x:v>偏差；CV；携带污染；死体积；液面/堵塞检测召回率</x:v>
      </x:c>
      <x:c r="J231" s="64" t="str">
        <x:v>进阶能力</x:v>
      </x:c>
      <x:c r="K231" s="64" t="str">
        <x:v>P2</x:v>
      </x:c>
      <x:c r="L231" s="28" t="str">
        <x:v>S01; S02; S17; S18</x:v>
      </x:c>
      <x:c r="M231" s="28" t="str">
        <x:v>https://royalsocietypublishing.org/rsos/article/12/7/250646/235354/Autonomous-self-driving-laboratories-a-review-of</x:v>
      </x:c>
    </x:row>
    <x:row r="232" ht="48" customHeight="1">
      <x:c r="A232" s="64" t="str">
        <x:v>T0231</x:v>
      </x:c>
      <x:c r="B232" s="28" t="str">
        <x:v>实验执行与具身自动化</x:v>
      </x:c>
      <x:c r="C232" s="28" t="str">
        <x:v>液体处理与微流控</x:v>
      </x:c>
      <x:c r="D232" s="28" t="str">
        <x:v>微流控与闭环控制</x:v>
      </x:c>
      <x:c r="E232" s="28" t="str">
        <x:v>实验自动化</x:v>
      </x:c>
      <x:c r="F232" s="28" t="str">
        <x:v>数字微流控</x:v>
      </x:c>
      <x:c r="G232" s="28" t="str">
        <x:v>围绕“数字微流控”建立液体物性—耗材—动作—传感闭环，控制偏差、变异、死体积和交叉污染。</x:v>
      </x:c>
      <x:c r="H232" s="28" t="str">
        <x:v>对不同液体、体积和环境，准确度、精密度与污染是否已验证？</x:v>
      </x:c>
      <x:c r="I232" s="28" t="str">
        <x:v>偏差；CV；携带污染；死体积；液面/堵塞检测召回率</x:v>
      </x:c>
      <x:c r="J232" s="64" t="str">
        <x:v>进阶能力</x:v>
      </x:c>
      <x:c r="K232" s="64" t="str">
        <x:v>P2</x:v>
      </x:c>
      <x:c r="L232" s="28" t="str">
        <x:v>S01; S02; S17; S18</x:v>
      </x:c>
      <x:c r="M232" s="28" t="str">
        <x:v>https://www.science.org/doi/10.1126/sciadv.adj0461</x:v>
      </x:c>
    </x:row>
    <x:row r="233" ht="48" customHeight="1">
      <x:c r="A233" s="64" t="str">
        <x:v>T0232</x:v>
      </x:c>
      <x:c r="B233" s="28" t="str">
        <x:v>实验执行与具身自动化</x:v>
      </x:c>
      <x:c r="C233" s="28" t="str">
        <x:v>液体处理与微流控</x:v>
      </x:c>
      <x:c r="D233" s="28" t="str">
        <x:v>微流控与闭环控制</x:v>
      </x:c>
      <x:c r="E233" s="28" t="str">
        <x:v>实验自动化</x:v>
      </x:c>
      <x:c r="F233" s="28" t="str">
        <x:v>芯片实验室</x:v>
      </x:c>
      <x:c r="G233" s="28" t="str">
        <x:v>围绕“芯片实验室”建立液体物性—耗材—动作—传感闭环，控制偏差、变异、死体积和交叉污染。</x:v>
      </x:c>
      <x:c r="H233" s="28" t="str">
        <x:v>对不同液体、体积和环境，准确度、精密度与污染是否已验证？</x:v>
      </x:c>
      <x:c r="I233" s="28" t="str">
        <x:v>偏差；CV；携带污染；死体积；液面/堵塞检测召回率</x:v>
      </x:c>
      <x:c r="J233" s="64" t="str">
        <x:v>进阶能力</x:v>
      </x:c>
      <x:c r="K233" s="64" t="str">
        <x:v>P2</x:v>
      </x:c>
      <x:c r="L233" s="28" t="str">
        <x:v>S01; S02; S17; S18</x:v>
      </x:c>
      <x:c r="M233" s="28" t="str">
        <x:v>https://www.nature.com/articles/s41467-024-55655-3</x:v>
      </x:c>
    </x:row>
    <x:row r="234" ht="48" customHeight="1">
      <x:c r="A234" s="64" t="str">
        <x:v>T0233</x:v>
      </x:c>
      <x:c r="B234" s="28" t="str">
        <x:v>实验执行与具身自动化</x:v>
      </x:c>
      <x:c r="C234" s="28" t="str">
        <x:v>液体处理与微流控</x:v>
      </x:c>
      <x:c r="D234" s="28" t="str">
        <x:v>微流控与闭环控制</x:v>
      </x:c>
      <x:c r="E234" s="28" t="str">
        <x:v>实验自动化</x:v>
      </x:c>
      <x:c r="F234" s="28" t="str">
        <x:v>微反应器</x:v>
      </x:c>
      <x:c r="G234" s="28" t="str">
        <x:v>围绕“微反应器”建立液体物性—耗材—动作—传感闭环，控制偏差、变异、死体积和交叉污染。</x:v>
      </x:c>
      <x:c r="H234" s="28" t="str">
        <x:v>对不同液体、体积和环境，准确度、精密度与污染是否已验证？</x:v>
      </x:c>
      <x:c r="I234" s="28" t="str">
        <x:v>偏差；CV；携带污染；死体积；液面/堵塞检测召回率</x:v>
      </x:c>
      <x:c r="J234" s="64" t="str">
        <x:v>进阶能力</x:v>
      </x:c>
      <x:c r="K234" s="64" t="str">
        <x:v>P2</x:v>
      </x:c>
      <x:c r="L234" s="28" t="str">
        <x:v>S01; S02; S17; S18</x:v>
      </x:c>
      <x:c r="M234" s="28" t="str">
        <x:v>https://pubs.acs.org/doi/10.1021/acs.chemrev.4c00055</x:v>
      </x:c>
    </x:row>
    <x:row r="235" ht="48" customHeight="1">
      <x:c r="A235" s="64" t="str">
        <x:v>T0234</x:v>
      </x:c>
      <x:c r="B235" s="28" t="str">
        <x:v>实验执行与具身自动化</x:v>
      </x:c>
      <x:c r="C235" s="28" t="str">
        <x:v>液体处理与微流控</x:v>
      </x:c>
      <x:c r="D235" s="28" t="str">
        <x:v>微流控与闭环控制</x:v>
      </x:c>
      <x:c r="E235" s="28" t="str">
        <x:v>实验自动化</x:v>
      </x:c>
      <x:c r="F235" s="28" t="str">
        <x:v>阀阵列控制</x:v>
      </x:c>
      <x:c r="G235" s="28" t="str">
        <x:v>围绕“阀阵列控制”建立液体物性—耗材—动作—传感闭环，控制偏差、变异、死体积和交叉污染。</x:v>
      </x:c>
      <x:c r="H235" s="28" t="str">
        <x:v>对不同液体、体积和环境，准确度、精密度与污染是否已验证？</x:v>
      </x:c>
      <x:c r="I235" s="28" t="str">
        <x:v>偏差；CV；携带污染；死体积；液面/堵塞检测召回率</x:v>
      </x:c>
      <x:c r="J235" s="64" t="str">
        <x:v>进阶能力</x:v>
      </x:c>
      <x:c r="K235" s="64" t="str">
        <x:v>P2</x:v>
      </x:c>
      <x:c r="L235" s="28" t="str">
        <x:v>S01; S02; S17; S18</x:v>
      </x:c>
      <x:c r="M235" s="28" t="str">
        <x:v>https://royalsocietypublishing.org/rsos/article/12/7/250646/235354/Autonomous-self-driving-laboratories-a-review-of</x:v>
      </x:c>
    </x:row>
    <x:row r="236" ht="48" customHeight="1">
      <x:c r="A236" s="64" t="str">
        <x:v>T0235</x:v>
      </x:c>
      <x:c r="B236" s="28" t="str">
        <x:v>实验执行与具身自动化</x:v>
      </x:c>
      <x:c r="C236" s="28" t="str">
        <x:v>液体处理与微流控</x:v>
      </x:c>
      <x:c r="D236" s="28" t="str">
        <x:v>微流控与闭环控制</x:v>
      </x:c>
      <x:c r="E236" s="28" t="str">
        <x:v>实验自动化</x:v>
      </x:c>
      <x:c r="F236" s="28" t="str">
        <x:v>泵闭环控制</x:v>
      </x:c>
      <x:c r="G236" s="28" t="str">
        <x:v>围绕“泵闭环控制”建立液体物性—耗材—动作—传感闭环，控制偏差、变异、死体积和交叉污染。</x:v>
      </x:c>
      <x:c r="H236" s="28" t="str">
        <x:v>对不同液体、体积和环境，准确度、精密度与污染是否已验证？</x:v>
      </x:c>
      <x:c r="I236" s="28" t="str">
        <x:v>偏差；CV；携带污染；死体积；液面/堵塞检测召回率</x:v>
      </x:c>
      <x:c r="J236" s="64" t="str">
        <x:v>进阶能力</x:v>
      </x:c>
      <x:c r="K236" s="64" t="str">
        <x:v>P2</x:v>
      </x:c>
      <x:c r="L236" s="28" t="str">
        <x:v>S01; S02; S17; S18</x:v>
      </x:c>
      <x:c r="M236" s="28" t="str">
        <x:v>https://www.science.org/doi/10.1126/sciadv.adj0461</x:v>
      </x:c>
    </x:row>
    <x:row r="237" ht="48" customHeight="1">
      <x:c r="A237" s="64" t="str">
        <x:v>T0236</x:v>
      </x:c>
      <x:c r="B237" s="28" t="str">
        <x:v>实验执行与具身自动化</x:v>
      </x:c>
      <x:c r="C237" s="28" t="str">
        <x:v>液体处理与微流控</x:v>
      </x:c>
      <x:c r="D237" s="28" t="str">
        <x:v>微流控与闭环控制</x:v>
      </x:c>
      <x:c r="E237" s="28" t="str">
        <x:v>实验自动化</x:v>
      </x:c>
      <x:c r="F237" s="28" t="str">
        <x:v>气泡检测</x:v>
      </x:c>
      <x:c r="G237" s="28" t="str">
        <x:v>围绕“气泡检测”建立液体物性—耗材—动作—传感闭环，控制偏差、变异、死体积和交叉污染。</x:v>
      </x:c>
      <x:c r="H237" s="28" t="str">
        <x:v>对不同液体、体积和环境，准确度、精密度与污染是否已验证？</x:v>
      </x:c>
      <x:c r="I237" s="28" t="str">
        <x:v>偏差；CV；携带污染；死体积；液面/堵塞检测召回率</x:v>
      </x:c>
      <x:c r="J237" s="64" t="str">
        <x:v>进阶能力</x:v>
      </x:c>
      <x:c r="K237" s="64" t="str">
        <x:v>P2</x:v>
      </x:c>
      <x:c r="L237" s="28" t="str">
        <x:v>S01; S02; S17; S18</x:v>
      </x:c>
      <x:c r="M237" s="28" t="str">
        <x:v>https://www.nature.com/articles/s41467-024-55655-3</x:v>
      </x:c>
    </x:row>
    <x:row r="238" ht="48" customHeight="1">
      <x:c r="A238" s="64" t="str">
        <x:v>T0237</x:v>
      </x:c>
      <x:c r="B238" s="28" t="str">
        <x:v>实验执行与具身自动化</x:v>
      </x:c>
      <x:c r="C238" s="28" t="str">
        <x:v>液体处理与微流控</x:v>
      </x:c>
      <x:c r="D238" s="28" t="str">
        <x:v>微流控与闭环控制</x:v>
      </x:c>
      <x:c r="E238" s="28" t="str">
        <x:v>实验自动化</x:v>
      </x:c>
      <x:c r="F238" s="28" t="str">
        <x:v>堵塞检测</x:v>
      </x:c>
      <x:c r="G238" s="28" t="str">
        <x:v>围绕“堵塞检测”建立液体物性—耗材—动作—传感闭环，控制偏差、变异、死体积和交叉污染。</x:v>
      </x:c>
      <x:c r="H238" s="28" t="str">
        <x:v>对不同液体、体积和环境，准确度、精密度与污染是否已验证？</x:v>
      </x:c>
      <x:c r="I238" s="28" t="str">
        <x:v>偏差；CV；携带污染；死体积；液面/堵塞检测召回率</x:v>
      </x:c>
      <x:c r="J238" s="64" t="str">
        <x:v>前沿能力</x:v>
      </x:c>
      <x:c r="K238" s="64" t="str">
        <x:v>P2</x:v>
      </x:c>
      <x:c r="L238" s="28" t="str">
        <x:v>S01; S02; S17; S18</x:v>
      </x:c>
      <x:c r="M238" s="28" t="str">
        <x:v>https://pubs.acs.org/doi/10.1021/acs.chemrev.4c00055</x:v>
      </x:c>
    </x:row>
    <x:row r="239" ht="48" customHeight="1">
      <x:c r="A239" s="64" t="str">
        <x:v>T0238</x:v>
      </x:c>
      <x:c r="B239" s="28" t="str">
        <x:v>实验执行与具身自动化</x:v>
      </x:c>
      <x:c r="C239" s="28" t="str">
        <x:v>液体处理与微流控</x:v>
      </x:c>
      <x:c r="D239" s="28" t="str">
        <x:v>微流控与闭环控制</x:v>
      </x:c>
      <x:c r="E239" s="28" t="str">
        <x:v>实验自动化</x:v>
      </x:c>
      <x:c r="F239" s="28" t="str">
        <x:v>在线稀释</x:v>
      </x:c>
      <x:c r="G239" s="28" t="str">
        <x:v>围绕“在线稀释”建立液体物性—耗材—动作—传感闭环，控制偏差、变异、死体积和交叉污染。</x:v>
      </x:c>
      <x:c r="H239" s="28" t="str">
        <x:v>对不同液体、体积和环境，准确度、精密度与污染是否已验证？</x:v>
      </x:c>
      <x:c r="I239" s="28" t="str">
        <x:v>偏差；CV；携带污染；死体积；液面/堵塞检测召回率</x:v>
      </x:c>
      <x:c r="J239" s="64" t="str">
        <x:v>前沿能力</x:v>
      </x:c>
      <x:c r="K239" s="64" t="str">
        <x:v>P2</x:v>
      </x:c>
      <x:c r="L239" s="28" t="str">
        <x:v>S01; S02; S17; S18</x:v>
      </x:c>
      <x:c r="M239" s="28" t="str">
        <x:v>https://royalsocietypublishing.org/rsos/article/12/7/250646/235354/Autonomous-self-driving-laboratories-a-review-of</x:v>
      </x:c>
    </x:row>
    <x:row r="240" ht="48" customHeight="1">
      <x:c r="A240" s="64" t="str">
        <x:v>T0239</x:v>
      </x:c>
      <x:c r="B240" s="28" t="str">
        <x:v>实验执行与具身自动化</x:v>
      </x:c>
      <x:c r="C240" s="28" t="str">
        <x:v>液体处理与微流控</x:v>
      </x:c>
      <x:c r="D240" s="28" t="str">
        <x:v>微流控与闭环控制</x:v>
      </x:c>
      <x:c r="E240" s="28" t="str">
        <x:v>实验自动化</x:v>
      </x:c>
      <x:c r="F240" s="28" t="str">
        <x:v>纳升级处理</x:v>
      </x:c>
      <x:c r="G240" s="28" t="str">
        <x:v>围绕“纳升级处理”建立液体物性—耗材—动作—传感闭环，控制偏差、变异、死体积和交叉污染。</x:v>
      </x:c>
      <x:c r="H240" s="28" t="str">
        <x:v>对不同液体、体积和环境，准确度、精密度与污染是否已验证？</x:v>
      </x:c>
      <x:c r="I240" s="28" t="str">
        <x:v>偏差；CV；携带污染；死体积；液面/堵塞检测召回率</x:v>
      </x:c>
      <x:c r="J240" s="64" t="str">
        <x:v>前沿能力</x:v>
      </x:c>
      <x:c r="K240" s="64" t="str">
        <x:v>P2</x:v>
      </x:c>
      <x:c r="L240" s="28" t="str">
        <x:v>S01; S02; S17; S18</x:v>
      </x:c>
      <x:c r="M240" s="28" t="str">
        <x:v>https://www.science.org/doi/10.1126/sciadv.adj0461</x:v>
      </x:c>
    </x:row>
    <x:row r="241" ht="48" customHeight="1">
      <x:c r="A241" s="64" t="str">
        <x:v>T0240</x:v>
      </x:c>
      <x:c r="B241" s="28" t="str">
        <x:v>实验执行与具身自动化</x:v>
      </x:c>
      <x:c r="C241" s="28" t="str">
        <x:v>液体处理与微流控</x:v>
      </x:c>
      <x:c r="D241" s="28" t="str">
        <x:v>微流控与闭环控制</x:v>
      </x:c>
      <x:c r="E241" s="28" t="str">
        <x:v>实验自动化</x:v>
      </x:c>
      <x:c r="F241" s="28" t="str">
        <x:v>闭环定量加液</x:v>
      </x:c>
      <x:c r="G241" s="28" t="str">
        <x:v>围绕“闭环定量加液”建立液体物性—耗材—动作—传感闭环，控制偏差、变异、死体积和交叉污染。</x:v>
      </x:c>
      <x:c r="H241" s="28" t="str">
        <x:v>对不同液体、体积和环境，准确度、精密度与污染是否已验证？</x:v>
      </x:c>
      <x:c r="I241" s="28" t="str">
        <x:v>偏差；CV；携带污染；死体积；液面/堵塞检测召回率</x:v>
      </x:c>
      <x:c r="J241" s="64" t="str">
        <x:v>前沿能力</x:v>
      </x:c>
      <x:c r="K241" s="64" t="str">
        <x:v>P2</x:v>
      </x:c>
      <x:c r="L241" s="28" t="str">
        <x:v>S01; S02; S17; S18</x:v>
      </x:c>
      <x:c r="M241" s="28" t="str">
        <x:v>https://www.nature.com/articles/s41467-024-55655-3</x:v>
      </x:c>
    </x:row>
    <x:row r="242" ht="48" customHeight="1">
      <x:c r="A242" s="64" t="str">
        <x:v>T0241</x:v>
      </x:c>
      <x:c r="B242" s="28" t="str">
        <x:v>实验执行与具身自动化</x:v>
      </x:c>
      <x:c r="C242" s="28" t="str">
        <x:v>固体、粉体与合成自动化</x:v>
      </x:c>
      <x:c r="D242" s="28" t="str">
        <x:v>粉体计量与物性</x:v>
      </x:c>
      <x:c r="E242" s="28" t="str">
        <x:v>实验自动化</x:v>
      </x:c>
      <x:c r="F242" s="28" t="str">
        <x:v>粉体定量分配</x:v>
      </x:c>
      <x:c r="G242" s="28" t="str">
        <x:v>围绕“粉体定量分配”解决粉体不稳定、静电、吸湿和固相过程难在线感知的问题，使合成与制样可重复。</x:v>
      </x:c>
      <x:c r="H242" s="28" t="str">
        <x:v>粉体/固体批间差异、环境敏感性和取样误差是否被控制？</x:v>
      </x:c>
      <x:c r="I242" s="28" t="str">
        <x:v>称量偏差；批间CV；相纯度；收率；粉尘/交叉污染事件</x:v>
      </x:c>
      <x:c r="J242" s="64" t="str">
        <x:v>基础能力</x:v>
      </x:c>
      <x:c r="K242" s="64" t="str">
        <x:v>P0</x:v>
      </x:c>
      <x:c r="L242" s="28" t="str">
        <x:v>S07; S10; S17; S18</x:v>
      </x:c>
      <x:c r="M242" s="28" t="str">
        <x:v>https://www.nature.com/articles/s41586-023-06734-w</x:v>
      </x:c>
    </x:row>
    <x:row r="243" ht="48" customHeight="1">
      <x:c r="A243" s="64" t="str">
        <x:v>T0242</x:v>
      </x:c>
      <x:c r="B243" s="28" t="str">
        <x:v>实验执行与具身自动化</x:v>
      </x:c>
      <x:c r="C243" s="28" t="str">
        <x:v>固体、粉体与合成自动化</x:v>
      </x:c>
      <x:c r="D243" s="28" t="str">
        <x:v>粉体计量与物性</x:v>
      </x:c>
      <x:c r="E243" s="28" t="str">
        <x:v>实验自动化</x:v>
      </x:c>
      <x:c r="F243" s="28" t="str">
        <x:v>微量粉体称量</x:v>
      </x:c>
      <x:c r="G243" s="28" t="str">
        <x:v>围绕“微量粉体称量”解决粉体不稳定、静电、吸湿和固相过程难在线感知的问题，使合成与制样可重复。</x:v>
      </x:c>
      <x:c r="H243" s="28" t="str">
        <x:v>粉体/固体批间差异、环境敏感性和取样误差是否被控制？</x:v>
      </x:c>
      <x:c r="I243" s="28" t="str">
        <x:v>称量偏差；批间CV；相纯度；收率；粉尘/交叉污染事件</x:v>
      </x:c>
      <x:c r="J243" s="64" t="str">
        <x:v>基础能力</x:v>
      </x:c>
      <x:c r="K243" s="64" t="str">
        <x:v>P0</x:v>
      </x:c>
      <x:c r="L243" s="28" t="str">
        <x:v>S07; S10; S17; S18</x:v>
      </x:c>
      <x:c r="M243" s="28" t="str">
        <x:v>https://pubs.rsc.org/en/content/articlehtml/2024/sc/d3sc06206f</x:v>
      </x:c>
    </x:row>
    <x:row r="244" ht="48" customHeight="1">
      <x:c r="A244" s="64" t="str">
        <x:v>T0243</x:v>
      </x:c>
      <x:c r="B244" s="28" t="str">
        <x:v>实验执行与具身自动化</x:v>
      </x:c>
      <x:c r="C244" s="28" t="str">
        <x:v>固体、粉体与合成自动化</x:v>
      </x:c>
      <x:c r="D244" s="28" t="str">
        <x:v>粉体计量与物性</x:v>
      </x:c>
      <x:c r="E244" s="28" t="str">
        <x:v>实验自动化</x:v>
      </x:c>
      <x:c r="F244" s="28" t="str">
        <x:v>体积密度建模</x:v>
      </x:c>
      <x:c r="G244" s="28" t="str">
        <x:v>围绕“体积密度建模”解决粉体不稳定、静电、吸湿和固相过程难在线感知的问题，使合成与制样可重复。</x:v>
      </x:c>
      <x:c r="H244" s="28" t="str">
        <x:v>粉体/固体批间差异、环境敏感性和取样误差是否被控制？</x:v>
      </x:c>
      <x:c r="I244" s="28" t="str">
        <x:v>称量偏差；批间CV；相纯度；收率；粉尘/交叉污染事件</x:v>
      </x:c>
      <x:c r="J244" s="64" t="str">
        <x:v>基础能力</x:v>
      </x:c>
      <x:c r="K244" s="64" t="str">
        <x:v>P0</x:v>
      </x:c>
      <x:c r="L244" s="28" t="str">
        <x:v>S07; S10; S17; S18</x:v>
      </x:c>
      <x:c r="M244" s="28" t="str">
        <x:v>https://www.science.org/doi/10.1126/sciadv.adj0461</x:v>
      </x:c>
    </x:row>
    <x:row r="245" ht="48" customHeight="1">
      <x:c r="A245" s="64" t="str">
        <x:v>T0244</x:v>
      </x:c>
      <x:c r="B245" s="28" t="str">
        <x:v>实验执行与具身自动化</x:v>
      </x:c>
      <x:c r="C245" s="28" t="str">
        <x:v>固体、粉体与合成自动化</x:v>
      </x:c>
      <x:c r="D245" s="28" t="str">
        <x:v>粉体计量与物性</x:v>
      </x:c>
      <x:c r="E245" s="28" t="str">
        <x:v>实验自动化</x:v>
      </x:c>
      <x:c r="F245" s="28" t="str">
        <x:v>流动性表征</x:v>
      </x:c>
      <x:c r="G245" s="28" t="str">
        <x:v>围绕“流动性表征”解决粉体不稳定、静电、吸湿和固相过程难在线感知的问题，使合成与制样可重复。</x:v>
      </x:c>
      <x:c r="H245" s="28" t="str">
        <x:v>粉体/固体批间差异、环境敏感性和取样误差是否被控制？</x:v>
      </x:c>
      <x:c r="I245" s="28" t="str">
        <x:v>称量偏差；批间CV；相纯度；收率；粉尘/交叉污染事件</x:v>
      </x:c>
      <x:c r="J245" s="64" t="str">
        <x:v>基础能力</x:v>
      </x:c>
      <x:c r="K245" s="64" t="str">
        <x:v>P0</x:v>
      </x:c>
      <x:c r="L245" s="28" t="str">
        <x:v>S07; S10; S17; S18</x:v>
      </x:c>
      <x:c r="M245" s="28" t="str">
        <x:v>https://www.nature.com/articles/s41467-024-55655-3</x:v>
      </x:c>
    </x:row>
    <x:row r="246" ht="48" customHeight="1">
      <x:c r="A246" s="64" t="str">
        <x:v>T0245</x:v>
      </x:c>
      <x:c r="B246" s="28" t="str">
        <x:v>实验执行与具身自动化</x:v>
      </x:c>
      <x:c r="C246" s="28" t="str">
        <x:v>固体、粉体与合成自动化</x:v>
      </x:c>
      <x:c r="D246" s="28" t="str">
        <x:v>粉体计量与物性</x:v>
      </x:c>
      <x:c r="E246" s="28" t="str">
        <x:v>实验自动化</x:v>
      </x:c>
      <x:c r="F246" s="28" t="str">
        <x:v>吸湿性管理</x:v>
      </x:c>
      <x:c r="G246" s="28" t="str">
        <x:v>围绕“吸湿性管理”解决粉体不稳定、静电、吸湿和固相过程难在线感知的问题，使合成与制样可重复。</x:v>
      </x:c>
      <x:c r="H246" s="28" t="str">
        <x:v>粉体/固体批间差异、环境敏感性和取样误差是否被控制？</x:v>
      </x:c>
      <x:c r="I246" s="28" t="str">
        <x:v>称量偏差；批间CV；相纯度；收率；粉尘/交叉污染事件</x:v>
      </x:c>
      <x:c r="J246" s="64" t="str">
        <x:v>基础能力</x:v>
      </x:c>
      <x:c r="K246" s="64" t="str">
        <x:v>P0</x:v>
      </x:c>
      <x:c r="L246" s="28" t="str">
        <x:v>S07; S10; S17; S18</x:v>
      </x:c>
      <x:c r="M246" s="28" t="str">
        <x:v>https://www.nature.com/articles/s41586-023-06734-w</x:v>
      </x:c>
    </x:row>
    <x:row r="247" ht="48" customHeight="1">
      <x:c r="A247" s="64" t="str">
        <x:v>T0246</x:v>
      </x:c>
      <x:c r="B247" s="28" t="str">
        <x:v>实验执行与具身自动化</x:v>
      </x:c>
      <x:c r="C247" s="28" t="str">
        <x:v>固体、粉体与合成自动化</x:v>
      </x:c>
      <x:c r="D247" s="28" t="str">
        <x:v>粉体计量与物性</x:v>
      </x:c>
      <x:c r="E247" s="28" t="str">
        <x:v>实验自动化</x:v>
      </x:c>
      <x:c r="F247" s="28" t="str">
        <x:v>静电消除</x:v>
      </x:c>
      <x:c r="G247" s="28" t="str">
        <x:v>围绕“静电消除”解决粉体不稳定、静电、吸湿和固相过程难在线感知的问题，使合成与制样可重复。</x:v>
      </x:c>
      <x:c r="H247" s="28" t="str">
        <x:v>粉体/固体批间差异、环境敏感性和取样误差是否被控制？</x:v>
      </x:c>
      <x:c r="I247" s="28" t="str">
        <x:v>称量偏差；批间CV；相纯度；收率；粉尘/交叉污染事件</x:v>
      </x:c>
      <x:c r="J247" s="64" t="str">
        <x:v>基础能力</x:v>
      </x:c>
      <x:c r="K247" s="64" t="str">
        <x:v>P0</x:v>
      </x:c>
      <x:c r="L247" s="28" t="str">
        <x:v>S07; S10; S17; S18</x:v>
      </x:c>
      <x:c r="M247" s="28" t="str">
        <x:v>https://pubs.rsc.org/en/content/articlehtml/2024/sc/d3sc06206f</x:v>
      </x:c>
    </x:row>
    <x:row r="248" ht="48" customHeight="1">
      <x:c r="A248" s="64" t="str">
        <x:v>T0247</x:v>
      </x:c>
      <x:c r="B248" s="28" t="str">
        <x:v>实验执行与具身自动化</x:v>
      </x:c>
      <x:c r="C248" s="28" t="str">
        <x:v>固体、粉体与合成自动化</x:v>
      </x:c>
      <x:c r="D248" s="28" t="str">
        <x:v>粉体计量与物性</x:v>
      </x:c>
      <x:c r="E248" s="28" t="str">
        <x:v>实验自动化</x:v>
      </x:c>
      <x:c r="F248" s="28" t="str">
        <x:v>结块识别</x:v>
      </x:c>
      <x:c r="G248" s="28" t="str">
        <x:v>围绕“结块识别”解决粉体不稳定、静电、吸湿和固相过程难在线感知的问题，使合成与制样可重复。</x:v>
      </x:c>
      <x:c r="H248" s="28" t="str">
        <x:v>粉体/固体批间差异、环境敏感性和取样误差是否被控制？</x:v>
      </x:c>
      <x:c r="I248" s="28" t="str">
        <x:v>称量偏差；批间CV；相纯度；收率；粉尘/交叉污染事件</x:v>
      </x:c>
      <x:c r="J248" s="64" t="str">
        <x:v>基础能力</x:v>
      </x:c>
      <x:c r="K248" s="64" t="str">
        <x:v>P0</x:v>
      </x:c>
      <x:c r="L248" s="28" t="str">
        <x:v>S07; S10; S17; S18</x:v>
      </x:c>
      <x:c r="M248" s="28" t="str">
        <x:v>https://www.science.org/doi/10.1126/sciadv.adj0461</x:v>
      </x:c>
    </x:row>
    <x:row r="249" ht="48" customHeight="1">
      <x:c r="A249" s="64" t="str">
        <x:v>T0248</x:v>
      </x:c>
      <x:c r="B249" s="28" t="str">
        <x:v>实验执行与具身自动化</x:v>
      </x:c>
      <x:c r="C249" s="28" t="str">
        <x:v>固体、粉体与合成自动化</x:v>
      </x:c>
      <x:c r="D249" s="28" t="str">
        <x:v>粉体计量与物性</x:v>
      </x:c>
      <x:c r="E249" s="28" t="str">
        <x:v>实验自动化</x:v>
      </x:c>
      <x:c r="F249" s="28" t="str">
        <x:v>粒径分布</x:v>
      </x:c>
      <x:c r="G249" s="28" t="str">
        <x:v>围绕“粒径分布”解决粉体不稳定、静电、吸湿和固相过程难在线感知的问题，使合成与制样可重复。</x:v>
      </x:c>
      <x:c r="H249" s="28" t="str">
        <x:v>粉体/固体批间差异、环境敏感性和取样误差是否被控制？</x:v>
      </x:c>
      <x:c r="I249" s="28" t="str">
        <x:v>称量偏差；批间CV；相纯度；收率；粉尘/交叉污染事件</x:v>
      </x:c>
      <x:c r="J249" s="64" t="str">
        <x:v>基础能力</x:v>
      </x:c>
      <x:c r="K249" s="64" t="str">
        <x:v>P0</x:v>
      </x:c>
      <x:c r="L249" s="28" t="str">
        <x:v>S07; S10; S17; S18</x:v>
      </x:c>
      <x:c r="M249" s="28" t="str">
        <x:v>https://www.nature.com/articles/s41467-024-55655-3</x:v>
      </x:c>
    </x:row>
    <x:row r="250" ht="48" customHeight="1">
      <x:c r="A250" s="64" t="str">
        <x:v>T0249</x:v>
      </x:c>
      <x:c r="B250" s="28" t="str">
        <x:v>实验执行与具身自动化</x:v>
      </x:c>
      <x:c r="C250" s="28" t="str">
        <x:v>固体、粉体与合成自动化</x:v>
      </x:c>
      <x:c r="D250" s="28" t="str">
        <x:v>粉体计量与物性</x:v>
      </x:c>
      <x:c r="E250" s="28" t="str">
        <x:v>实验自动化</x:v>
      </x:c>
      <x:c r="F250" s="28" t="str">
        <x:v>自动筛分</x:v>
      </x:c>
      <x:c r="G250" s="28" t="str">
        <x:v>围绕“自动筛分”解决粉体不稳定、静电、吸湿和固相过程难在线感知的问题，使合成与制样可重复。</x:v>
      </x:c>
      <x:c r="H250" s="28" t="str">
        <x:v>粉体/固体批间差异、环境敏感性和取样误差是否被控制？</x:v>
      </x:c>
      <x:c r="I250" s="28" t="str">
        <x:v>称量偏差；批间CV；相纯度；收率；粉尘/交叉污染事件</x:v>
      </x:c>
      <x:c r="J250" s="64" t="str">
        <x:v>基础能力</x:v>
      </x:c>
      <x:c r="K250" s="64" t="str">
        <x:v>P0</x:v>
      </x:c>
      <x:c r="L250" s="28" t="str">
        <x:v>S07; S10; S17; S18</x:v>
      </x:c>
      <x:c r="M250" s="28" t="str">
        <x:v>https://www.nature.com/articles/s41586-023-06734-w</x:v>
      </x:c>
    </x:row>
    <x:row r="251" ht="48" customHeight="1">
      <x:c r="A251" s="64" t="str">
        <x:v>T0250</x:v>
      </x:c>
      <x:c r="B251" s="28" t="str">
        <x:v>实验执行与具身自动化</x:v>
      </x:c>
      <x:c r="C251" s="28" t="str">
        <x:v>固体、粉体与合成自动化</x:v>
      </x:c>
      <x:c r="D251" s="28" t="str">
        <x:v>粉体计量与物性</x:v>
      </x:c>
      <x:c r="E251" s="28" t="str">
        <x:v>实验自动化</x:v>
      </x:c>
      <x:c r="F251" s="28" t="str">
        <x:v>球磨</x:v>
      </x:c>
      <x:c r="G251" s="28" t="str">
        <x:v>围绕“球磨”解决粉体不稳定、静电、吸湿和固相过程难在线感知的问题，使合成与制样可重复。</x:v>
      </x:c>
      <x:c r="H251" s="28" t="str">
        <x:v>粉体/固体批间差异、环境敏感性和取样误差是否被控制？</x:v>
      </x:c>
      <x:c r="I251" s="28" t="str">
        <x:v>称量偏差；批间CV；相纯度；收率；粉尘/交叉污染事件</x:v>
      </x:c>
      <x:c r="J251" s="64" t="str">
        <x:v>基础能力</x:v>
      </x:c>
      <x:c r="K251" s="64" t="str">
        <x:v>P0</x:v>
      </x:c>
      <x:c r="L251" s="28" t="str">
        <x:v>S07; S10; S17; S18</x:v>
      </x:c>
      <x:c r="M251" s="28" t="str">
        <x:v>https://pubs.rsc.org/en/content/articlehtml/2024/sc/d3sc06206f</x:v>
      </x:c>
    </x:row>
    <x:row r="252" ht="48" customHeight="1">
      <x:c r="A252" s="64" t="str">
        <x:v>T0251</x:v>
      </x:c>
      <x:c r="B252" s="28" t="str">
        <x:v>实验执行与具身自动化</x:v>
      </x:c>
      <x:c r="C252" s="28" t="str">
        <x:v>固体、粉体与合成自动化</x:v>
      </x:c>
      <x:c r="D252" s="28" t="str">
        <x:v>固体加工与热处理</x:v>
      </x:c>
      <x:c r="E252" s="28" t="str">
        <x:v>实验自动化</x:v>
      </x:c>
      <x:c r="F252" s="28" t="str">
        <x:v>研磨</x:v>
      </x:c>
      <x:c r="G252" s="28" t="str">
        <x:v>围绕“研磨”解决粉体不稳定、静电、吸湿和固相过程难在线感知的问题，使合成与制样可重复。</x:v>
      </x:c>
      <x:c r="H252" s="28" t="str">
        <x:v>粉体/固体批间差异、环境敏感性和取样误差是否被控制？</x:v>
      </x:c>
      <x:c r="I252" s="28" t="str">
        <x:v>称量偏差；批间CV；相纯度；收率；粉尘/交叉污染事件</x:v>
      </x:c>
      <x:c r="J252" s="64" t="str">
        <x:v>基础能力</x:v>
      </x:c>
      <x:c r="K252" s="64" t="str">
        <x:v>P1</x:v>
      </x:c>
      <x:c r="L252" s="28" t="str">
        <x:v>S07; S10; S17; S18</x:v>
      </x:c>
      <x:c r="M252" s="28" t="str">
        <x:v>https://www.science.org/doi/10.1126/sciadv.adj0461</x:v>
      </x:c>
    </x:row>
    <x:row r="253" ht="48" customHeight="1">
      <x:c r="A253" s="64" t="str">
        <x:v>T0252</x:v>
      </x:c>
      <x:c r="B253" s="28" t="str">
        <x:v>实验执行与具身自动化</x:v>
      </x:c>
      <x:c r="C253" s="28" t="str">
        <x:v>固体、粉体与合成自动化</x:v>
      </x:c>
      <x:c r="D253" s="28" t="str">
        <x:v>固体加工与热处理</x:v>
      </x:c>
      <x:c r="E253" s="28" t="str">
        <x:v>实验自动化</x:v>
      </x:c>
      <x:c r="F253" s="28" t="str">
        <x:v>固体混合</x:v>
      </x:c>
      <x:c r="G253" s="28" t="str">
        <x:v>围绕“固体混合”解决粉体不稳定、静电、吸湿和固相过程难在线感知的问题，使合成与制样可重复。</x:v>
      </x:c>
      <x:c r="H253" s="28" t="str">
        <x:v>粉体/固体批间差异、环境敏感性和取样误差是否被控制？</x:v>
      </x:c>
      <x:c r="I253" s="28" t="str">
        <x:v>称量偏差；批间CV；相纯度；收率；粉尘/交叉污染事件</x:v>
      </x:c>
      <x:c r="J253" s="64" t="str">
        <x:v>基础能力</x:v>
      </x:c>
      <x:c r="K253" s="64" t="str">
        <x:v>P1</x:v>
      </x:c>
      <x:c r="L253" s="28" t="str">
        <x:v>S07; S10; S17; S18</x:v>
      </x:c>
      <x:c r="M253" s="28" t="str">
        <x:v>https://www.nature.com/articles/s41467-024-55655-3</x:v>
      </x:c>
    </x:row>
    <x:row r="254" ht="48" customHeight="1">
      <x:c r="A254" s="64" t="str">
        <x:v>T0253</x:v>
      </x:c>
      <x:c r="B254" s="28" t="str">
        <x:v>实验执行与具身自动化</x:v>
      </x:c>
      <x:c r="C254" s="28" t="str">
        <x:v>固体、粉体与合成自动化</x:v>
      </x:c>
      <x:c r="D254" s="28" t="str">
        <x:v>固体加工与热处理</x:v>
      </x:c>
      <x:c r="E254" s="28" t="str">
        <x:v>实验自动化</x:v>
      </x:c>
      <x:c r="F254" s="28" t="str">
        <x:v>压片</x:v>
      </x:c>
      <x:c r="G254" s="28" t="str">
        <x:v>围绕“压片”解决粉体不稳定、静电、吸湿和固相过程难在线感知的问题，使合成与制样可重复。</x:v>
      </x:c>
      <x:c r="H254" s="28" t="str">
        <x:v>粉体/固体批间差异、环境敏感性和取样误差是否被控制？</x:v>
      </x:c>
      <x:c r="I254" s="28" t="str">
        <x:v>称量偏差；批间CV；相纯度；收率；粉尘/交叉污染事件</x:v>
      </x:c>
      <x:c r="J254" s="64" t="str">
        <x:v>工程化关键</x:v>
      </x:c>
      <x:c r="K254" s="64" t="str">
        <x:v>P1</x:v>
      </x:c>
      <x:c r="L254" s="28" t="str">
        <x:v>S07; S10; S17; S18</x:v>
      </x:c>
      <x:c r="M254" s="28" t="str">
        <x:v>https://www.nature.com/articles/s41586-023-06734-w</x:v>
      </x:c>
    </x:row>
    <x:row r="255" ht="48" customHeight="1">
      <x:c r="A255" s="64" t="str">
        <x:v>T0254</x:v>
      </x:c>
      <x:c r="B255" s="28" t="str">
        <x:v>实验执行与具身自动化</x:v>
      </x:c>
      <x:c r="C255" s="28" t="str">
        <x:v>固体、粉体与合成自动化</x:v>
      </x:c>
      <x:c r="D255" s="28" t="str">
        <x:v>固体加工与热处理</x:v>
      </x:c>
      <x:c r="E255" s="28" t="str">
        <x:v>实验自动化</x:v>
      </x:c>
      <x:c r="F255" s="28" t="str">
        <x:v>造粒</x:v>
      </x:c>
      <x:c r="G255" s="28" t="str">
        <x:v>围绕“造粒”解决粉体不稳定、静电、吸湿和固相过程难在线感知的问题，使合成与制样可重复。</x:v>
      </x:c>
      <x:c r="H255" s="28" t="str">
        <x:v>粉体/固体批间差异、环境敏感性和取样误差是否被控制？</x:v>
      </x:c>
      <x:c r="I255" s="28" t="str">
        <x:v>称量偏差；批间CV；相纯度；收率；粉尘/交叉污染事件</x:v>
      </x:c>
      <x:c r="J255" s="64" t="str">
        <x:v>工程化关键</x:v>
      </x:c>
      <x:c r="K255" s="64" t="str">
        <x:v>P1</x:v>
      </x:c>
      <x:c r="L255" s="28" t="str">
        <x:v>S07; S10; S17; S18</x:v>
      </x:c>
      <x:c r="M255" s="28" t="str">
        <x:v>https://pubs.rsc.org/en/content/articlehtml/2024/sc/d3sc06206f</x:v>
      </x:c>
    </x:row>
    <x:row r="256" ht="48" customHeight="1">
      <x:c r="A256" s="64" t="str">
        <x:v>T0255</x:v>
      </x:c>
      <x:c r="B256" s="28" t="str">
        <x:v>实验执行与具身自动化</x:v>
      </x:c>
      <x:c r="C256" s="28" t="str">
        <x:v>固体、粉体与合成自动化</x:v>
      </x:c>
      <x:c r="D256" s="28" t="str">
        <x:v>固体加工与热处理</x:v>
      </x:c>
      <x:c r="E256" s="28" t="str">
        <x:v>实验自动化</x:v>
      </x:c>
      <x:c r="F256" s="28" t="str">
        <x:v>坩埚装填</x:v>
      </x:c>
      <x:c r="G256" s="28" t="str">
        <x:v>围绕“坩埚装填”解决粉体不稳定、静电、吸湿和固相过程难在线感知的问题，使合成与制样可重复。</x:v>
      </x:c>
      <x:c r="H256" s="28" t="str">
        <x:v>粉体/固体批间差异、环境敏感性和取样误差是否被控制？</x:v>
      </x:c>
      <x:c r="I256" s="28" t="str">
        <x:v>称量偏差；批间CV；相纯度；收率；粉尘/交叉污染事件</x:v>
      </x:c>
      <x:c r="J256" s="64" t="str">
        <x:v>工程化关键</x:v>
      </x:c>
      <x:c r="K256" s="64" t="str">
        <x:v>P1</x:v>
      </x:c>
      <x:c r="L256" s="28" t="str">
        <x:v>S07; S10; S17; S18</x:v>
      </x:c>
      <x:c r="M256" s="28" t="str">
        <x:v>https://www.science.org/doi/10.1126/sciadv.adj0461</x:v>
      </x:c>
    </x:row>
    <x:row r="257" ht="48" customHeight="1">
      <x:c r="A257" s="64" t="str">
        <x:v>T0256</x:v>
      </x:c>
      <x:c r="B257" s="28" t="str">
        <x:v>实验执行与具身自动化</x:v>
      </x:c>
      <x:c r="C257" s="28" t="str">
        <x:v>固体、粉体与合成自动化</x:v>
      </x:c>
      <x:c r="D257" s="28" t="str">
        <x:v>固体加工与热处理</x:v>
      </x:c>
      <x:c r="E257" s="28" t="str">
        <x:v>实验自动化</x:v>
      </x:c>
      <x:c r="F257" s="28" t="str">
        <x:v>炉体自动上下料</x:v>
      </x:c>
      <x:c r="G257" s="28" t="str">
        <x:v>围绕“炉体自动上下料”解决粉体不稳定、静电、吸湿和固相过程难在线感知的问题，使合成与制样可重复。</x:v>
      </x:c>
      <x:c r="H257" s="28" t="str">
        <x:v>粉体/固体批间差异、环境敏感性和取样误差是否被控制？</x:v>
      </x:c>
      <x:c r="I257" s="28" t="str">
        <x:v>称量偏差；批间CV；相纯度；收率；粉尘/交叉污染事件</x:v>
      </x:c>
      <x:c r="J257" s="64" t="str">
        <x:v>工程化关键</x:v>
      </x:c>
      <x:c r="K257" s="64" t="str">
        <x:v>P1</x:v>
      </x:c>
      <x:c r="L257" s="28" t="str">
        <x:v>S07; S10; S17; S18</x:v>
      </x:c>
      <x:c r="M257" s="28" t="str">
        <x:v>https://www.nature.com/articles/s41467-024-55655-3</x:v>
      </x:c>
    </x:row>
    <x:row r="258" ht="48" customHeight="1">
      <x:c r="A258" s="64" t="str">
        <x:v>T0257</x:v>
      </x:c>
      <x:c r="B258" s="28" t="str">
        <x:v>实验执行与具身自动化</x:v>
      </x:c>
      <x:c r="C258" s="28" t="str">
        <x:v>固体、粉体与合成自动化</x:v>
      </x:c>
      <x:c r="D258" s="28" t="str">
        <x:v>固体加工与热处理</x:v>
      </x:c>
      <x:c r="E258" s="28" t="str">
        <x:v>实验自动化</x:v>
      </x:c>
      <x:c r="F258" s="28" t="str">
        <x:v>温度程序控制</x:v>
      </x:c>
      <x:c r="G258" s="28" t="str">
        <x:v>围绕“温度程序控制”解决粉体不稳定、静电、吸湿和固相过程难在线感知的问题，使合成与制样可重复。</x:v>
      </x:c>
      <x:c r="H258" s="28" t="str">
        <x:v>粉体/固体批间差异、环境敏感性和取样误差是否被控制？</x:v>
      </x:c>
      <x:c r="I258" s="28" t="str">
        <x:v>称量偏差；批间CV；相纯度；收率；粉尘/交叉污染事件</x:v>
      </x:c>
      <x:c r="J258" s="64" t="str">
        <x:v>工程化关键</x:v>
      </x:c>
      <x:c r="K258" s="64" t="str">
        <x:v>P1</x:v>
      </x:c>
      <x:c r="L258" s="28" t="str">
        <x:v>S07; S10; S17; S18</x:v>
      </x:c>
      <x:c r="M258" s="28" t="str">
        <x:v>https://www.nature.com/articles/s41586-023-06734-w</x:v>
      </x:c>
    </x:row>
    <x:row r="259" ht="48" customHeight="1">
      <x:c r="A259" s="64" t="str">
        <x:v>T0258</x:v>
      </x:c>
      <x:c r="B259" s="28" t="str">
        <x:v>实验执行与具身自动化</x:v>
      </x:c>
      <x:c r="C259" s="28" t="str">
        <x:v>固体、粉体与合成自动化</x:v>
      </x:c>
      <x:c r="D259" s="28" t="str">
        <x:v>固体加工与热处理</x:v>
      </x:c>
      <x:c r="E259" s="28" t="str">
        <x:v>实验自动化</x:v>
      </x:c>
      <x:c r="F259" s="28" t="str">
        <x:v>保护气氛控制</x:v>
      </x:c>
      <x:c r="G259" s="28" t="str">
        <x:v>围绕“保护气氛控制”解决粉体不稳定、静电、吸湿和固相过程难在线感知的问题，使合成与制样可重复。</x:v>
      </x:c>
      <x:c r="H259" s="28" t="str">
        <x:v>粉体/固体批间差异、环境敏感性和取样误差是否被控制？</x:v>
      </x:c>
      <x:c r="I259" s="28" t="str">
        <x:v>称量偏差；批间CV；相纯度；收率；粉尘/交叉污染事件</x:v>
      </x:c>
      <x:c r="J259" s="64" t="str">
        <x:v>工程化关键</x:v>
      </x:c>
      <x:c r="K259" s="64" t="str">
        <x:v>P1</x:v>
      </x:c>
      <x:c r="L259" s="28" t="str">
        <x:v>S07; S10; S17; S18</x:v>
      </x:c>
      <x:c r="M259" s="28" t="str">
        <x:v>https://pubs.rsc.org/en/content/articlehtml/2024/sc/d3sc06206f</x:v>
      </x:c>
    </x:row>
    <x:row r="260" ht="48" customHeight="1">
      <x:c r="A260" s="64" t="str">
        <x:v>T0259</x:v>
      </x:c>
      <x:c r="B260" s="28" t="str">
        <x:v>实验执行与具身自动化</x:v>
      </x:c>
      <x:c r="C260" s="28" t="str">
        <x:v>固体、粉体与合成自动化</x:v>
      </x:c>
      <x:c r="D260" s="28" t="str">
        <x:v>固体加工与热处理</x:v>
      </x:c>
      <x:c r="E260" s="28" t="str">
        <x:v>实验自动化</x:v>
      </x:c>
      <x:c r="F260" s="28" t="str">
        <x:v>手套箱粉体操作</x:v>
      </x:c>
      <x:c r="G260" s="28" t="str">
        <x:v>围绕“手套箱粉体操作”解决粉体不稳定、静电、吸湿和固相过程难在线感知的问题，使合成与制样可重复。</x:v>
      </x:c>
      <x:c r="H260" s="28" t="str">
        <x:v>粉体/固体批间差异、环境敏感性和取样误差是否被控制？</x:v>
      </x:c>
      <x:c r="I260" s="28" t="str">
        <x:v>称量偏差；批间CV；相纯度；收率；粉尘/交叉污染事件</x:v>
      </x:c>
      <x:c r="J260" s="64" t="str">
        <x:v>工程化关键</x:v>
      </x:c>
      <x:c r="K260" s="64" t="str">
        <x:v>P1</x:v>
      </x:c>
      <x:c r="L260" s="28" t="str">
        <x:v>S07; S10; S17; S18</x:v>
      </x:c>
      <x:c r="M260" s="28" t="str">
        <x:v>https://www.science.org/doi/10.1126/sciadv.adj0461</x:v>
      </x:c>
    </x:row>
    <x:row r="261" ht="48" customHeight="1">
      <x:c r="A261" s="64" t="str">
        <x:v>T0260</x:v>
      </x:c>
      <x:c r="B261" s="28" t="str">
        <x:v>实验执行与具身自动化</x:v>
      </x:c>
      <x:c r="C261" s="28" t="str">
        <x:v>固体、粉体与合成自动化</x:v>
      </x:c>
      <x:c r="D261" s="28" t="str">
        <x:v>固体加工与热处理</x:v>
      </x:c>
      <x:c r="E261" s="28" t="str">
        <x:v>实验自动化</x:v>
      </x:c>
      <x:c r="F261" s="28" t="str">
        <x:v>真空处理</x:v>
      </x:c>
      <x:c r="G261" s="28" t="str">
        <x:v>围绕“真空处理”解决粉体不稳定、静电、吸湿和固相过程难在线感知的问题，使合成与制样可重复。</x:v>
      </x:c>
      <x:c r="H261" s="28" t="str">
        <x:v>粉体/固体批间差异、环境敏感性和取样误差是否被控制？</x:v>
      </x:c>
      <x:c r="I261" s="28" t="str">
        <x:v>称量偏差；批间CV；相纯度；收率；粉尘/交叉污染事件</x:v>
      </x:c>
      <x:c r="J261" s="64" t="str">
        <x:v>工程化关键</x:v>
      </x:c>
      <x:c r="K261" s="64" t="str">
        <x:v>P1</x:v>
      </x:c>
      <x:c r="L261" s="28" t="str">
        <x:v>S07; S10; S17; S18</x:v>
      </x:c>
      <x:c r="M261" s="28" t="str">
        <x:v>https://www.nature.com/articles/s41467-024-55655-3</x:v>
      </x:c>
    </x:row>
    <x:row r="262" ht="48" customHeight="1">
      <x:c r="A262" s="64" t="str">
        <x:v>T0261</x:v>
      </x:c>
      <x:c r="B262" s="28" t="str">
        <x:v>实验执行与具身自动化</x:v>
      </x:c>
      <x:c r="C262" s="28" t="str">
        <x:v>固体、粉体与合成自动化</x:v>
      </x:c>
      <x:c r="D262" s="28" t="str">
        <x:v>固相/结晶合成</x:v>
      </x:c>
      <x:c r="E262" s="28" t="str">
        <x:v>实验自动化</x:v>
      </x:c>
      <x:c r="F262" s="28" t="str">
        <x:v>退火</x:v>
      </x:c>
      <x:c r="G262" s="28" t="str">
        <x:v>围绕“退火”解决粉体不稳定、静电、吸湿和固相过程难在线感知的问题，使合成与制样可重复。</x:v>
      </x:c>
      <x:c r="H262" s="28" t="str">
        <x:v>粉体/固体批间差异、环境敏感性和取样误差是否被控制？</x:v>
      </x:c>
      <x:c r="I262" s="28" t="str">
        <x:v>称量偏差；批间CV；相纯度；收率；粉尘/交叉污染事件</x:v>
      </x:c>
      <x:c r="J262" s="64" t="str">
        <x:v>工程化关键</x:v>
      </x:c>
      <x:c r="K262" s="64" t="str">
        <x:v>P1</x:v>
      </x:c>
      <x:c r="L262" s="28" t="str">
        <x:v>S07; S10; S17; S18</x:v>
      </x:c>
      <x:c r="M262" s="28" t="str">
        <x:v>https://www.nature.com/articles/s41586-023-06734-w</x:v>
      </x:c>
    </x:row>
    <x:row r="263" ht="48" customHeight="1">
      <x:c r="A263" s="64" t="str">
        <x:v>T0262</x:v>
      </x:c>
      <x:c r="B263" s="28" t="str">
        <x:v>实验执行与具身自动化</x:v>
      </x:c>
      <x:c r="C263" s="28" t="str">
        <x:v>固体、粉体与合成自动化</x:v>
      </x:c>
      <x:c r="D263" s="28" t="str">
        <x:v>固相/结晶合成</x:v>
      </x:c>
      <x:c r="E263" s="28" t="str">
        <x:v>实验自动化</x:v>
      </x:c>
      <x:c r="F263" s="28" t="str">
        <x:v>煅烧</x:v>
      </x:c>
      <x:c r="G263" s="28" t="str">
        <x:v>围绕“煅烧”解决粉体不稳定、静电、吸湿和固相过程难在线感知的问题，使合成与制样可重复。</x:v>
      </x:c>
      <x:c r="H263" s="28" t="str">
        <x:v>粉体/固体批间差异、环境敏感性和取样误差是否被控制？</x:v>
      </x:c>
      <x:c r="I263" s="28" t="str">
        <x:v>称量偏差；批间CV；相纯度；收率；粉尘/交叉污染事件</x:v>
      </x:c>
      <x:c r="J263" s="64" t="str">
        <x:v>工程化关键</x:v>
      </x:c>
      <x:c r="K263" s="64" t="str">
        <x:v>P1</x:v>
      </x:c>
      <x:c r="L263" s="28" t="str">
        <x:v>S07; S10; S17; S18</x:v>
      </x:c>
      <x:c r="M263" s="28" t="str">
        <x:v>https://pubs.rsc.org/en/content/articlehtml/2024/sc/d3sc06206f</x:v>
      </x:c>
    </x:row>
    <x:row r="264" ht="48" customHeight="1">
      <x:c r="A264" s="64" t="str">
        <x:v>T0263</x:v>
      </x:c>
      <x:c r="B264" s="28" t="str">
        <x:v>实验执行与具身自动化</x:v>
      </x:c>
      <x:c r="C264" s="28" t="str">
        <x:v>固体、粉体与合成自动化</x:v>
      </x:c>
      <x:c r="D264" s="28" t="str">
        <x:v>固相/结晶合成</x:v>
      </x:c>
      <x:c r="E264" s="28" t="str">
        <x:v>实验自动化</x:v>
      </x:c>
      <x:c r="F264" s="28" t="str">
        <x:v>烧结</x:v>
      </x:c>
      <x:c r="G264" s="28" t="str">
        <x:v>围绕“烧结”解决粉体不稳定、静电、吸湿和固相过程难在线感知的问题，使合成与制样可重复。</x:v>
      </x:c>
      <x:c r="H264" s="28" t="str">
        <x:v>粉体/固体批间差异、环境敏感性和取样误差是否被控制？</x:v>
      </x:c>
      <x:c r="I264" s="28" t="str">
        <x:v>称量偏差；批间CV；相纯度；收率；粉尘/交叉污染事件</x:v>
      </x:c>
      <x:c r="J264" s="64" t="str">
        <x:v>工程化关键</x:v>
      </x:c>
      <x:c r="K264" s="64" t="str">
        <x:v>P1</x:v>
      </x:c>
      <x:c r="L264" s="28" t="str">
        <x:v>S07; S10; S17; S18</x:v>
      </x:c>
      <x:c r="M264" s="28" t="str">
        <x:v>https://www.science.org/doi/10.1126/sciadv.adj0461</x:v>
      </x:c>
    </x:row>
    <x:row r="265" ht="48" customHeight="1">
      <x:c r="A265" s="64" t="str">
        <x:v>T0264</x:v>
      </x:c>
      <x:c r="B265" s="28" t="str">
        <x:v>实验执行与具身自动化</x:v>
      </x:c>
      <x:c r="C265" s="28" t="str">
        <x:v>固体、粉体与合成自动化</x:v>
      </x:c>
      <x:c r="D265" s="28" t="str">
        <x:v>固相/结晶合成</x:v>
      </x:c>
      <x:c r="E265" s="28" t="str">
        <x:v>实验自动化</x:v>
      </x:c>
      <x:c r="F265" s="28" t="str">
        <x:v>淬火</x:v>
      </x:c>
      <x:c r="G265" s="28" t="str">
        <x:v>围绕“淬火”解决粉体不稳定、静电、吸湿和固相过程难在线感知的问题，使合成与制样可重复。</x:v>
      </x:c>
      <x:c r="H265" s="28" t="str">
        <x:v>粉体/固体批间差异、环境敏感性和取样误差是否被控制？</x:v>
      </x:c>
      <x:c r="I265" s="28" t="str">
        <x:v>称量偏差；批间CV；相纯度；收率；粉尘/交叉污染事件</x:v>
      </x:c>
      <x:c r="J265" s="64" t="str">
        <x:v>工程化关键</x:v>
      </x:c>
      <x:c r="K265" s="64" t="str">
        <x:v>P1</x:v>
      </x:c>
      <x:c r="L265" s="28" t="str">
        <x:v>S07; S10; S17; S18</x:v>
      </x:c>
      <x:c r="M265" s="28" t="str">
        <x:v>https://www.nature.com/articles/s41467-024-55655-3</x:v>
      </x:c>
    </x:row>
    <x:row r="266" ht="48" customHeight="1">
      <x:c r="A266" s="64" t="str">
        <x:v>T0265</x:v>
      </x:c>
      <x:c r="B266" s="28" t="str">
        <x:v>实验执行与具身自动化</x:v>
      </x:c>
      <x:c r="C266" s="28" t="str">
        <x:v>固体、粉体与合成自动化</x:v>
      </x:c>
      <x:c r="D266" s="28" t="str">
        <x:v>固相/结晶合成</x:v>
      </x:c>
      <x:c r="E266" s="28" t="str">
        <x:v>实验自动化</x:v>
      </x:c>
      <x:c r="F266" s="28" t="str">
        <x:v>固相反应</x:v>
      </x:c>
      <x:c r="G266" s="28" t="str">
        <x:v>围绕“固相反应”解决粉体不稳定、静电、吸湿和固相过程难在线感知的问题，使合成与制样可重复。</x:v>
      </x:c>
      <x:c r="H266" s="28" t="str">
        <x:v>粉体/固体批间差异、环境敏感性和取样误差是否被控制？</x:v>
      </x:c>
      <x:c r="I266" s="28" t="str">
        <x:v>称量偏差；批间CV；相纯度；收率；粉尘/交叉污染事件</x:v>
      </x:c>
      <x:c r="J266" s="64" t="str">
        <x:v>工程化关键</x:v>
      </x:c>
      <x:c r="K266" s="64" t="str">
        <x:v>P1</x:v>
      </x:c>
      <x:c r="L266" s="28" t="str">
        <x:v>S07; S10; S17; S18</x:v>
      </x:c>
      <x:c r="M266" s="28" t="str">
        <x:v>https://www.nature.com/articles/s41586-023-06734-w</x:v>
      </x:c>
    </x:row>
    <x:row r="267" ht="48" customHeight="1">
      <x:c r="A267" s="64" t="str">
        <x:v>T0266</x:v>
      </x:c>
      <x:c r="B267" s="28" t="str">
        <x:v>实验执行与具身自动化</x:v>
      </x:c>
      <x:c r="C267" s="28" t="str">
        <x:v>固体、粉体与合成自动化</x:v>
      </x:c>
      <x:c r="D267" s="28" t="str">
        <x:v>固相/结晶合成</x:v>
      </x:c>
      <x:c r="E267" s="28" t="str">
        <x:v>实验自动化</x:v>
      </x:c>
      <x:c r="F267" s="28" t="str">
        <x:v>机械化学</x:v>
      </x:c>
      <x:c r="G267" s="28" t="str">
        <x:v>围绕“机械化学”解决粉体不稳定、静电、吸湿和固相过程难在线感知的问题，使合成与制样可重复。</x:v>
      </x:c>
      <x:c r="H267" s="28" t="str">
        <x:v>粉体/固体批间差异、环境敏感性和取样误差是否被控制？</x:v>
      </x:c>
      <x:c r="I267" s="28" t="str">
        <x:v>称量偏差；批间CV；相纯度；收率；粉尘/交叉污染事件</x:v>
      </x:c>
      <x:c r="J267" s="64" t="str">
        <x:v>工程化关键</x:v>
      </x:c>
      <x:c r="K267" s="64" t="str">
        <x:v>P1</x:v>
      </x:c>
      <x:c r="L267" s="28" t="str">
        <x:v>S07; S10; S17; S18</x:v>
      </x:c>
      <x:c r="M267" s="28" t="str">
        <x:v>https://pubs.rsc.org/en/content/articlehtml/2024/sc/d3sc06206f</x:v>
      </x:c>
    </x:row>
    <x:row r="268" ht="48" customHeight="1">
      <x:c r="A268" s="64" t="str">
        <x:v>T0267</x:v>
      </x:c>
      <x:c r="B268" s="28" t="str">
        <x:v>实验执行与具身自动化</x:v>
      </x:c>
      <x:c r="C268" s="28" t="str">
        <x:v>固体、粉体与合成自动化</x:v>
      </x:c>
      <x:c r="D268" s="28" t="str">
        <x:v>固相/结晶合成</x:v>
      </x:c>
      <x:c r="E268" s="28" t="str">
        <x:v>实验自动化</x:v>
      </x:c>
      <x:c r="F268" s="28" t="str">
        <x:v>晶体生长</x:v>
      </x:c>
      <x:c r="G268" s="28" t="str">
        <x:v>围绕“晶体生长”解决粉体不稳定、静电、吸湿和固相过程难在线感知的问题，使合成与制样可重复。</x:v>
      </x:c>
      <x:c r="H268" s="28" t="str">
        <x:v>粉体/固体批间差异、环境敏感性和取样误差是否被控制？</x:v>
      </x:c>
      <x:c r="I268" s="28" t="str">
        <x:v>称量偏差；批间CV；相纯度；收率；粉尘/交叉污染事件</x:v>
      </x:c>
      <x:c r="J268" s="64" t="str">
        <x:v>工程化关键</x:v>
      </x:c>
      <x:c r="K268" s="64" t="str">
        <x:v>P1</x:v>
      </x:c>
      <x:c r="L268" s="28" t="str">
        <x:v>S07; S10; S17; S18</x:v>
      </x:c>
      <x:c r="M268" s="28" t="str">
        <x:v>https://www.science.org/doi/10.1126/sciadv.adj0461</x:v>
      </x:c>
    </x:row>
    <x:row r="269" ht="48" customHeight="1">
      <x:c r="A269" s="64" t="str">
        <x:v>T0268</x:v>
      </x:c>
      <x:c r="B269" s="28" t="str">
        <x:v>实验执行与具身自动化</x:v>
      </x:c>
      <x:c r="C269" s="28" t="str">
        <x:v>固体、粉体与合成自动化</x:v>
      </x:c>
      <x:c r="D269" s="28" t="str">
        <x:v>固相/结晶合成</x:v>
      </x:c>
      <x:c r="E269" s="28" t="str">
        <x:v>实验自动化</x:v>
      </x:c>
      <x:c r="F269" s="28" t="str">
        <x:v>沉淀合成</x:v>
      </x:c>
      <x:c r="G269" s="28" t="str">
        <x:v>围绕“沉淀合成”解决粉体不稳定、静电、吸湿和固相过程难在线感知的问题，使合成与制样可重复。</x:v>
      </x:c>
      <x:c r="H269" s="28" t="str">
        <x:v>粉体/固体批间差异、环境敏感性和取样误差是否被控制？</x:v>
      </x:c>
      <x:c r="I269" s="28" t="str">
        <x:v>称量偏差；批间CV；相纯度；收率；粉尘/交叉污染事件</x:v>
      </x:c>
      <x:c r="J269" s="64" t="str">
        <x:v>工程化关键</x:v>
      </x:c>
      <x:c r="K269" s="64" t="str">
        <x:v>P1</x:v>
      </x:c>
      <x:c r="L269" s="28" t="str">
        <x:v>S07; S10; S17; S18</x:v>
      </x:c>
      <x:c r="M269" s="28" t="str">
        <x:v>https://www.nature.com/articles/s41467-024-55655-3</x:v>
      </x:c>
    </x:row>
    <x:row r="270" ht="48" customHeight="1">
      <x:c r="A270" s="64" t="str">
        <x:v>T0269</x:v>
      </x:c>
      <x:c r="B270" s="28" t="str">
        <x:v>实验执行与具身自动化</x:v>
      </x:c>
      <x:c r="C270" s="28" t="str">
        <x:v>固体、粉体与合成自动化</x:v>
      </x:c>
      <x:c r="D270" s="28" t="str">
        <x:v>固相/结晶合成</x:v>
      </x:c>
      <x:c r="E270" s="28" t="str">
        <x:v>实验自动化</x:v>
      </x:c>
      <x:c r="F270" s="28" t="str">
        <x:v>自动结晶</x:v>
      </x:c>
      <x:c r="G270" s="28" t="str">
        <x:v>围绕“自动结晶”解决粉体不稳定、静电、吸湿和固相过程难在线感知的问题，使合成与制样可重复。</x:v>
      </x:c>
      <x:c r="H270" s="28" t="str">
        <x:v>粉体/固体批间差异、环境敏感性和取样误差是否被控制？</x:v>
      </x:c>
      <x:c r="I270" s="28" t="str">
        <x:v>称量偏差；批间CV；相纯度；收率；粉尘/交叉污染事件</x:v>
      </x:c>
      <x:c r="J270" s="64" t="str">
        <x:v>进阶能力</x:v>
      </x:c>
      <x:c r="K270" s="64" t="str">
        <x:v>P2</x:v>
      </x:c>
      <x:c r="L270" s="28" t="str">
        <x:v>S07; S10; S17; S18</x:v>
      </x:c>
      <x:c r="M270" s="28" t="str">
        <x:v>https://www.nature.com/articles/s41586-023-06734-w</x:v>
      </x:c>
    </x:row>
    <x:row r="271" ht="48" customHeight="1">
      <x:c r="A271" s="64" t="str">
        <x:v>T0270</x:v>
      </x:c>
      <x:c r="B271" s="28" t="str">
        <x:v>实验执行与具身自动化</x:v>
      </x:c>
      <x:c r="C271" s="28" t="str">
        <x:v>固体、粉体与合成自动化</x:v>
      </x:c>
      <x:c r="D271" s="28" t="str">
        <x:v>固相/结晶合成</x:v>
      </x:c>
      <x:c r="E271" s="28" t="str">
        <x:v>实验自动化</x:v>
      </x:c>
      <x:c r="F271" s="28" t="str">
        <x:v>固液分离</x:v>
      </x:c>
      <x:c r="G271" s="28" t="str">
        <x:v>围绕“固液分离”解决粉体不稳定、静电、吸湿和固相过程难在线感知的问题，使合成与制样可重复。</x:v>
      </x:c>
      <x:c r="H271" s="28" t="str">
        <x:v>粉体/固体批间差异、环境敏感性和取样误差是否被控制？</x:v>
      </x:c>
      <x:c r="I271" s="28" t="str">
        <x:v>称量偏差；批间CV；相纯度；收率；粉尘/交叉污染事件</x:v>
      </x:c>
      <x:c r="J271" s="64" t="str">
        <x:v>进阶能力</x:v>
      </x:c>
      <x:c r="K271" s="64" t="str">
        <x:v>P2</x:v>
      </x:c>
      <x:c r="L271" s="28" t="str">
        <x:v>S07; S10; S17; S18</x:v>
      </x:c>
      <x:c r="M271" s="28" t="str">
        <x:v>https://pubs.rsc.org/en/content/articlehtml/2024/sc/d3sc06206f</x:v>
      </x:c>
    </x:row>
    <x:row r="272" ht="48" customHeight="1">
      <x:c r="A272" s="64" t="str">
        <x:v>T0271</x:v>
      </x:c>
      <x:c r="B272" s="28" t="str">
        <x:v>实验执行与具身自动化</x:v>
      </x:c>
      <x:c r="C272" s="28" t="str">
        <x:v>固体、粉体与合成自动化</x:v>
      </x:c>
      <x:c r="D272" s="28" t="str">
        <x:v>分析制样、标识与废物</x:v>
      </x:c>
      <x:c r="E272" s="28" t="str">
        <x:v>实验自动化</x:v>
      </x:c>
      <x:c r="F272" s="28" t="str">
        <x:v>自动干燥</x:v>
      </x:c>
      <x:c r="G272" s="28" t="str">
        <x:v>围绕“自动干燥”解决粉体不稳定、静电、吸湿和固相过程难在线感知的问题，使合成与制样可重复。</x:v>
      </x:c>
      <x:c r="H272" s="28" t="str">
        <x:v>粉体/固体批间差异、环境敏感性和取样误差是否被控制？</x:v>
      </x:c>
      <x:c r="I272" s="28" t="str">
        <x:v>称量偏差；批间CV；相纯度；收率；粉尘/交叉污染事件</x:v>
      </x:c>
      <x:c r="J272" s="64" t="str">
        <x:v>进阶能力</x:v>
      </x:c>
      <x:c r="K272" s="64" t="str">
        <x:v>P2</x:v>
      </x:c>
      <x:c r="L272" s="28" t="str">
        <x:v>S07; S10; S17; S18</x:v>
      </x:c>
      <x:c r="M272" s="28" t="str">
        <x:v>https://www.science.org/doi/10.1126/sciadv.adj0461</x:v>
      </x:c>
    </x:row>
    <x:row r="273" ht="48" customHeight="1">
      <x:c r="A273" s="64" t="str">
        <x:v>T0272</x:v>
      </x:c>
      <x:c r="B273" s="28" t="str">
        <x:v>实验执行与具身自动化</x:v>
      </x:c>
      <x:c r="C273" s="28" t="str">
        <x:v>固体、粉体与合成自动化</x:v>
      </x:c>
      <x:c r="D273" s="28" t="str">
        <x:v>分析制样、标识与废物</x:v>
      </x:c>
      <x:c r="E273" s="28" t="str">
        <x:v>实验自动化</x:v>
      </x:c>
      <x:c r="F273" s="28" t="str">
        <x:v>固体转移</x:v>
      </x:c>
      <x:c r="G273" s="28" t="str">
        <x:v>围绕“固体转移”解决粉体不稳定、静电、吸湿和固相过程难在线感知的问题，使合成与制样可重复。</x:v>
      </x:c>
      <x:c r="H273" s="28" t="str">
        <x:v>粉体/固体批间差异、环境敏感性和取样误差是否被控制？</x:v>
      </x:c>
      <x:c r="I273" s="28" t="str">
        <x:v>称量偏差；批间CV；相纯度；收率；粉尘/交叉污染事件</x:v>
      </x:c>
      <x:c r="J273" s="64" t="str">
        <x:v>进阶能力</x:v>
      </x:c>
      <x:c r="K273" s="64" t="str">
        <x:v>P2</x:v>
      </x:c>
      <x:c r="L273" s="28" t="str">
        <x:v>S07; S10; S17; S18</x:v>
      </x:c>
      <x:c r="M273" s="28" t="str">
        <x:v>https://www.nature.com/articles/s41467-024-55655-3</x:v>
      </x:c>
    </x:row>
    <x:row r="274" ht="48" customHeight="1">
      <x:c r="A274" s="64" t="str">
        <x:v>T0273</x:v>
      </x:c>
      <x:c r="B274" s="28" t="str">
        <x:v>实验执行与具身自动化</x:v>
      </x:c>
      <x:c r="C274" s="28" t="str">
        <x:v>固体、粉体与合成自动化</x:v>
      </x:c>
      <x:c r="D274" s="28" t="str">
        <x:v>分析制样、标识与废物</x:v>
      </x:c>
      <x:c r="E274" s="28" t="str">
        <x:v>实验自动化</x:v>
      </x:c>
      <x:c r="F274" s="28" t="str">
        <x:v>XRD样品制备</x:v>
      </x:c>
      <x:c r="G274" s="28" t="str">
        <x:v>围绕“XRD样品制备”解决粉体不稳定、静电、吸湿和固相过程难在线感知的问题，使合成与制样可重复。</x:v>
      </x:c>
      <x:c r="H274" s="28" t="str">
        <x:v>粉体/固体批间差异、环境敏感性和取样误差是否被控制？</x:v>
      </x:c>
      <x:c r="I274" s="28" t="str">
        <x:v>称量偏差；批间CV；相纯度；收率；粉尘/交叉污染事件</x:v>
      </x:c>
      <x:c r="J274" s="64" t="str">
        <x:v>进阶能力</x:v>
      </x:c>
      <x:c r="K274" s="64" t="str">
        <x:v>P2</x:v>
      </x:c>
      <x:c r="L274" s="28" t="str">
        <x:v>S07; S10; S17; S18</x:v>
      </x:c>
      <x:c r="M274" s="28" t="str">
        <x:v>https://www.nature.com/articles/s41586-023-06734-w</x:v>
      </x:c>
    </x:row>
    <x:row r="275" ht="48" customHeight="1">
      <x:c r="A275" s="64" t="str">
        <x:v>T0274</x:v>
      </x:c>
      <x:c r="B275" s="28" t="str">
        <x:v>实验执行与具身自动化</x:v>
      </x:c>
      <x:c r="C275" s="28" t="str">
        <x:v>固体、粉体与合成自动化</x:v>
      </x:c>
      <x:c r="D275" s="28" t="str">
        <x:v>分析制样、标识与废物</x:v>
      </x:c>
      <x:c r="E275" s="28" t="str">
        <x:v>实验自动化</x:v>
      </x:c>
      <x:c r="F275" s="28" t="str">
        <x:v>相纯度分析</x:v>
      </x:c>
      <x:c r="G275" s="28" t="str">
        <x:v>围绕“相纯度分析”解决粉体不稳定、静电、吸湿和固相过程难在线感知的问题，使合成与制样可重复。</x:v>
      </x:c>
      <x:c r="H275" s="28" t="str">
        <x:v>粉体/固体批间差异、环境敏感性和取样误差是否被控制？</x:v>
      </x:c>
      <x:c r="I275" s="28" t="str">
        <x:v>称量偏差；批间CV；相纯度；收率；粉尘/交叉污染事件</x:v>
      </x:c>
      <x:c r="J275" s="64" t="str">
        <x:v>进阶能力</x:v>
      </x:c>
      <x:c r="K275" s="64" t="str">
        <x:v>P2</x:v>
      </x:c>
      <x:c r="L275" s="28" t="str">
        <x:v>S07; S10; S17; S18</x:v>
      </x:c>
      <x:c r="M275" s="28" t="str">
        <x:v>https://pubs.rsc.org/en/content/articlehtml/2024/sc/d3sc06206f</x:v>
      </x:c>
    </x:row>
    <x:row r="276" ht="48" customHeight="1">
      <x:c r="A276" s="64" t="str">
        <x:v>T0275</x:v>
      </x:c>
      <x:c r="B276" s="28" t="str">
        <x:v>实验执行与具身自动化</x:v>
      </x:c>
      <x:c r="C276" s="28" t="str">
        <x:v>固体、粉体与合成自动化</x:v>
      </x:c>
      <x:c r="D276" s="28" t="str">
        <x:v>分析制样、标识与废物</x:v>
      </x:c>
      <x:c r="E276" s="28" t="str">
        <x:v>实验自动化</x:v>
      </x:c>
      <x:c r="F276" s="28" t="str">
        <x:v>前驱体选择</x:v>
      </x:c>
      <x:c r="G276" s="28" t="str">
        <x:v>围绕“前驱体选择”解决粉体不稳定、静电、吸湿和固相过程难在线感知的问题，使合成与制样可重复。</x:v>
      </x:c>
      <x:c r="H276" s="28" t="str">
        <x:v>粉体/固体批间差异、环境敏感性和取样误差是否被控制？</x:v>
      </x:c>
      <x:c r="I276" s="28" t="str">
        <x:v>称量偏差；批间CV；相纯度；收率；粉尘/交叉污染事件</x:v>
      </x:c>
      <x:c r="J276" s="64" t="str">
        <x:v>进阶能力</x:v>
      </x:c>
      <x:c r="K276" s="64" t="str">
        <x:v>P2</x:v>
      </x:c>
      <x:c r="L276" s="28" t="str">
        <x:v>S07; S10; S17; S18</x:v>
      </x:c>
      <x:c r="M276" s="28" t="str">
        <x:v>https://www.science.org/doi/10.1126/sciadv.adj0461</x:v>
      </x:c>
    </x:row>
    <x:row r="277" ht="48" customHeight="1">
      <x:c r="A277" s="64" t="str">
        <x:v>T0276</x:v>
      </x:c>
      <x:c r="B277" s="28" t="str">
        <x:v>实验执行与具身自动化</x:v>
      </x:c>
      <x:c r="C277" s="28" t="str">
        <x:v>固体、粉体与合成自动化</x:v>
      </x:c>
      <x:c r="D277" s="28" t="str">
        <x:v>分析制样、标识与废物</x:v>
      </x:c>
      <x:c r="E277" s="28" t="str">
        <x:v>实验自动化</x:v>
      </x:c>
      <x:c r="F277" s="28" t="str">
        <x:v>化学计量控制</x:v>
      </x:c>
      <x:c r="G277" s="28" t="str">
        <x:v>围绕“化学计量控制”解决粉体不稳定、静电、吸湿和固相过程难在线感知的问题，使合成与制样可重复。</x:v>
      </x:c>
      <x:c r="H277" s="28" t="str">
        <x:v>粉体/固体批间差异、环境敏感性和取样误差是否被控制？</x:v>
      </x:c>
      <x:c r="I277" s="28" t="str">
        <x:v>称量偏差；批间CV；相纯度；收率；粉尘/交叉污染事件</x:v>
      </x:c>
      <x:c r="J277" s="64" t="str">
        <x:v>进阶能力</x:v>
      </x:c>
      <x:c r="K277" s="64" t="str">
        <x:v>P2</x:v>
      </x:c>
      <x:c r="L277" s="28" t="str">
        <x:v>S07; S10; S17; S18</x:v>
      </x:c>
      <x:c r="M277" s="28" t="str">
        <x:v>https://www.nature.com/articles/s41467-024-55655-3</x:v>
      </x:c>
    </x:row>
    <x:row r="278" ht="48" customHeight="1">
      <x:c r="A278" s="64" t="str">
        <x:v>T0277</x:v>
      </x:c>
      <x:c r="B278" s="28" t="str">
        <x:v>实验执行与具身自动化</x:v>
      </x:c>
      <x:c r="C278" s="28" t="str">
        <x:v>固体、粉体与合成自动化</x:v>
      </x:c>
      <x:c r="D278" s="28" t="str">
        <x:v>分析制样、标识与废物</x:v>
      </x:c>
      <x:c r="E278" s="28" t="str">
        <x:v>实验自动化</x:v>
      </x:c>
      <x:c r="F278" s="28" t="str">
        <x:v>批次均化</x:v>
      </x:c>
      <x:c r="G278" s="28" t="str">
        <x:v>围绕“批次均化”解决粉体不稳定、静电、吸湿和固相过程难在线感知的问题，使合成与制样可重复。</x:v>
      </x:c>
      <x:c r="H278" s="28" t="str">
        <x:v>粉体/固体批间差异、环境敏感性和取样误差是否被控制？</x:v>
      </x:c>
      <x:c r="I278" s="28" t="str">
        <x:v>称量偏差；批间CV；相纯度；收率；粉尘/交叉污染事件</x:v>
      </x:c>
      <x:c r="J278" s="64" t="str">
        <x:v>前沿能力</x:v>
      </x:c>
      <x:c r="K278" s="64" t="str">
        <x:v>P2</x:v>
      </x:c>
      <x:c r="L278" s="28" t="str">
        <x:v>S07; S10; S17; S18</x:v>
      </x:c>
      <x:c r="M278" s="28" t="str">
        <x:v>https://www.nature.com/articles/s41586-023-06734-w</x:v>
      </x:c>
    </x:row>
    <x:row r="279" ht="48" customHeight="1">
      <x:c r="A279" s="64" t="str">
        <x:v>T0278</x:v>
      </x:c>
      <x:c r="B279" s="28" t="str">
        <x:v>实验执行与具身自动化</x:v>
      </x:c>
      <x:c r="C279" s="28" t="str">
        <x:v>固体、粉体与合成自动化</x:v>
      </x:c>
      <x:c r="D279" s="28" t="str">
        <x:v>分析制样、标识与废物</x:v>
      </x:c>
      <x:c r="E279" s="28" t="str">
        <x:v>实验自动化</x:v>
      </x:c>
      <x:c r="F279" s="28" t="str">
        <x:v>固体样品标识</x:v>
      </x:c>
      <x:c r="G279" s="28" t="str">
        <x:v>围绕“固体样品标识”解决粉体不稳定、静电、吸湿和固相过程难在线感知的问题，使合成与制样可重复。</x:v>
      </x:c>
      <x:c r="H279" s="28" t="str">
        <x:v>粉体/固体批间差异、环境敏感性和取样误差是否被控制？</x:v>
      </x:c>
      <x:c r="I279" s="28" t="str">
        <x:v>称量偏差；批间CV；相纯度；收率；粉尘/交叉污染事件</x:v>
      </x:c>
      <x:c r="J279" s="64" t="str">
        <x:v>前沿能力</x:v>
      </x:c>
      <x:c r="K279" s="64" t="str">
        <x:v>P2</x:v>
      </x:c>
      <x:c r="L279" s="28" t="str">
        <x:v>S07; S10; S17; S18</x:v>
      </x:c>
      <x:c r="M279" s="28" t="str">
        <x:v>https://pubs.rsc.org/en/content/articlehtml/2024/sc/d3sc06206f</x:v>
      </x:c>
    </x:row>
    <x:row r="280" ht="48" customHeight="1">
      <x:c r="A280" s="64" t="str">
        <x:v>T0279</x:v>
      </x:c>
      <x:c r="B280" s="28" t="str">
        <x:v>实验执行与具身自动化</x:v>
      </x:c>
      <x:c r="C280" s="28" t="str">
        <x:v>固体、粉体与合成自动化</x:v>
      </x:c>
      <x:c r="D280" s="28" t="str">
        <x:v>分析制样、标识与废物</x:v>
      </x:c>
      <x:c r="E280" s="28" t="str">
        <x:v>实验自动化</x:v>
      </x:c>
      <x:c r="F280" s="28" t="str">
        <x:v>粉尘收集</x:v>
      </x:c>
      <x:c r="G280" s="28" t="str">
        <x:v>围绕“粉尘收集”解决粉体不稳定、静电、吸湿和固相过程难在线感知的问题，使合成与制样可重复。</x:v>
      </x:c>
      <x:c r="H280" s="28" t="str">
        <x:v>粉体/固体批间差异、环境敏感性和取样误差是否被控制？</x:v>
      </x:c>
      <x:c r="I280" s="28" t="str">
        <x:v>称量偏差；批间CV；相纯度；收率；粉尘/交叉污染事件</x:v>
      </x:c>
      <x:c r="J280" s="64" t="str">
        <x:v>前沿能力</x:v>
      </x:c>
      <x:c r="K280" s="64" t="str">
        <x:v>P2</x:v>
      </x:c>
      <x:c r="L280" s="28" t="str">
        <x:v>S07; S10; S17; S18</x:v>
      </x:c>
      <x:c r="M280" s="28" t="str">
        <x:v>https://www.science.org/doi/10.1126/sciadv.adj0461</x:v>
      </x:c>
    </x:row>
    <x:row r="281" ht="48" customHeight="1">
      <x:c r="A281" s="64" t="str">
        <x:v>T0280</x:v>
      </x:c>
      <x:c r="B281" s="28" t="str">
        <x:v>实验执行与具身自动化</x:v>
      </x:c>
      <x:c r="C281" s="28" t="str">
        <x:v>固体、粉体与合成自动化</x:v>
      </x:c>
      <x:c r="D281" s="28" t="str">
        <x:v>分析制样、标识与废物</x:v>
      </x:c>
      <x:c r="E281" s="28" t="str">
        <x:v>实验自动化</x:v>
      </x:c>
      <x:c r="F281" s="28" t="str">
        <x:v>固废处理</x:v>
      </x:c>
      <x:c r="G281" s="28" t="str">
        <x:v>围绕“固废处理”解决粉体不稳定、静电、吸湿和固相过程难在线感知的问题，使合成与制样可重复。</x:v>
      </x:c>
      <x:c r="H281" s="28" t="str">
        <x:v>粉体/固体批间差异、环境敏感性和取样误差是否被控制？</x:v>
      </x:c>
      <x:c r="I281" s="28" t="str">
        <x:v>称量偏差；批间CV；相纯度；收率；粉尘/交叉污染事件</x:v>
      </x:c>
      <x:c r="J281" s="64" t="str">
        <x:v>前沿能力</x:v>
      </x:c>
      <x:c r="K281" s="64" t="str">
        <x:v>P2</x:v>
      </x:c>
      <x:c r="L281" s="28" t="str">
        <x:v>S07; S10; S17; S18</x:v>
      </x:c>
      <x:c r="M281" s="28" t="str">
        <x:v>https://www.nature.com/articles/s41467-024-55655-3</x:v>
      </x:c>
    </x:row>
    <x:row r="282" ht="48" customHeight="1">
      <x:c r="A282" s="64" t="str">
        <x:v>T0281</x:v>
      </x:c>
      <x:c r="B282" s="28" t="str">
        <x:v>实验执行与具身自动化</x:v>
      </x:c>
      <x:c r="C282" s="28" t="str">
        <x:v>反应工程、流动化学与环境控制</x:v>
      </x:c>
      <x:c r="D282" s="28" t="str">
        <x:v>反应器与过程变量</x:v>
      </x:c>
      <x:c r="E282" s="28" t="str">
        <x:v>过程工程与控制</x:v>
      </x:c>
      <x:c r="F282" s="28" t="str">
        <x:v>反应器类型选择</x:v>
      </x:c>
      <x:c r="G282" s="28" t="str">
        <x:v>将“反应器类型选择”纳入反应器的质量、能量、传递与安全约束，形成可监测、可控制、可放大的过程窗口。</x:v>
      </x:c>
      <x:c r="H282" s="28" t="str">
        <x:v>关键过程变量、约束、联锁和尺度效应是否进入闭环模型？</x:v>
      </x:c>
      <x:c r="I282" s="28" t="str">
        <x:v>过程变量偏差；控制稳定时间；转化率/选择性；联锁响应；尺度一致性</x:v>
      </x:c>
      <x:c r="J282" s="64" t="str">
        <x:v>基础能力</x:v>
      </x:c>
      <x:c r="K282" s="64" t="str">
        <x:v>P0</x:v>
      </x:c>
      <x:c r="L282" s="28" t="str">
        <x:v>S01; S19; S20; S58</x:v>
      </x:c>
      <x:c r="M282" s="28" t="str">
        <x:v>https://pubs.acs.org/doi/10.1021/acs.chemrev.4c00055</x:v>
      </x:c>
    </x:row>
    <x:row r="283" ht="48" customHeight="1">
      <x:c r="A283" s="64" t="str">
        <x:v>T0282</x:v>
      </x:c>
      <x:c r="B283" s="28" t="str">
        <x:v>实验执行与具身自动化</x:v>
      </x:c>
      <x:c r="C283" s="28" t="str">
        <x:v>反应工程、流动化学与环境控制</x:v>
      </x:c>
      <x:c r="D283" s="28" t="str">
        <x:v>反应器与过程变量</x:v>
      </x:c>
      <x:c r="E283" s="28" t="str">
        <x:v>过程工程与控制</x:v>
      </x:c>
      <x:c r="F283" s="28" t="str">
        <x:v>温度闭环控制</x:v>
      </x:c>
      <x:c r="G283" s="28" t="str">
        <x:v>将“温度闭环控制”纳入反应器的质量、能量、传递与安全约束，形成可监测、可控制、可放大的过程窗口。</x:v>
      </x:c>
      <x:c r="H283" s="28" t="str">
        <x:v>关键过程变量、约束、联锁和尺度效应是否进入闭环模型？</x:v>
      </x:c>
      <x:c r="I283" s="28" t="str">
        <x:v>过程变量偏差；控制稳定时间；转化率/选择性；联锁响应；尺度一致性</x:v>
      </x:c>
      <x:c r="J283" s="64" t="str">
        <x:v>基础能力</x:v>
      </x:c>
      <x:c r="K283" s="64" t="str">
        <x:v>P0</x:v>
      </x:c>
      <x:c r="L283" s="28" t="str">
        <x:v>S01; S19; S20; S58</x:v>
      </x:c>
      <x:c r="M283" s="28" t="str">
        <x:v>https://www.nature.com/articles/s41467-024-47210-x</x:v>
      </x:c>
    </x:row>
    <x:row r="284" ht="48" customHeight="1">
      <x:c r="A284" s="64" t="str">
        <x:v>T0283</x:v>
      </x:c>
      <x:c r="B284" s="28" t="str">
        <x:v>实验执行与具身自动化</x:v>
      </x:c>
      <x:c r="C284" s="28" t="str">
        <x:v>反应工程、流动化学与环境控制</x:v>
      </x:c>
      <x:c r="D284" s="28" t="str">
        <x:v>反应器与过程变量</x:v>
      </x:c>
      <x:c r="E284" s="28" t="str">
        <x:v>过程工程与控制</x:v>
      </x:c>
      <x:c r="F284" s="28" t="str">
        <x:v>压力闭环控制</x:v>
      </x:c>
      <x:c r="G284" s="28" t="str">
        <x:v>将“压力闭环控制”纳入反应器的质量、能量、传递与安全约束，形成可监测、可控制、可放大的过程窗口。</x:v>
      </x:c>
      <x:c r="H284" s="28" t="str">
        <x:v>关键过程变量、约束、联锁和尺度效应是否进入闭环模型？</x:v>
      </x:c>
      <x:c r="I284" s="28" t="str">
        <x:v>过程变量偏差；控制稳定时间；转化率/选择性；联锁响应；尺度一致性</x:v>
      </x:c>
      <x:c r="J284" s="64" t="str">
        <x:v>基础能力</x:v>
      </x:c>
      <x:c r="K284" s="64" t="str">
        <x:v>P0</x:v>
      </x:c>
      <x:c r="L284" s="28" t="str">
        <x:v>S01; S19; S20; S58</x:v>
      </x:c>
      <x:c r="M284" s="28" t="str">
        <x:v>https://www.science.org/doi/10.1126/sciadv.adu7426</x:v>
      </x:c>
    </x:row>
    <x:row r="285" ht="48" customHeight="1">
      <x:c r="A285" s="64" t="str">
        <x:v>T0284</x:v>
      </x:c>
      <x:c r="B285" s="28" t="str">
        <x:v>实验执行与具身自动化</x:v>
      </x:c>
      <x:c r="C285" s="28" t="str">
        <x:v>反应工程、流动化学与环境控制</x:v>
      </x:c>
      <x:c r="D285" s="28" t="str">
        <x:v>反应器与过程变量</x:v>
      </x:c>
      <x:c r="E285" s="28" t="str">
        <x:v>过程工程与控制</x:v>
      </x:c>
      <x:c r="F285" s="28" t="str">
        <x:v>气体流量控制</x:v>
      </x:c>
      <x:c r="G285" s="28" t="str">
        <x:v>将“气体流量控制”纳入反应器的质量、能量、传递与安全约束，形成可监测、可控制、可放大的过程窗口。</x:v>
      </x:c>
      <x:c r="H285" s="28" t="str">
        <x:v>关键过程变量、约束、联锁和尺度效应是否进入闭环模型？</x:v>
      </x:c>
      <x:c r="I285" s="28" t="str">
        <x:v>过程变量偏差；控制稳定时间；转化率/选择性；联锁响应；尺度一致性</x:v>
      </x:c>
      <x:c r="J285" s="64" t="str">
        <x:v>基础能力</x:v>
      </x:c>
      <x:c r="K285" s="64" t="str">
        <x:v>P0</x:v>
      </x:c>
      <x:c r="L285" s="28" t="str">
        <x:v>S01; S19; S20; S58</x:v>
      </x:c>
      <x:c r="M285" s="28" t="str">
        <x:v>https://www.science.org/doi/10.1126/scirobotics.adm6991</x:v>
      </x:c>
    </x:row>
    <x:row r="286" ht="48" customHeight="1">
      <x:c r="A286" s="64" t="str">
        <x:v>T0285</x:v>
      </x:c>
      <x:c r="B286" s="28" t="str">
        <x:v>实验执行与具身自动化</x:v>
      </x:c>
      <x:c r="C286" s="28" t="str">
        <x:v>反应工程、流动化学与环境控制</x:v>
      </x:c>
      <x:c r="D286" s="28" t="str">
        <x:v>反应器与过程变量</x:v>
      </x:c>
      <x:c r="E286" s="28" t="str">
        <x:v>过程工程与控制</x:v>
      </x:c>
      <x:c r="F286" s="28" t="str">
        <x:v>质量流量控制器</x:v>
      </x:c>
      <x:c r="G286" s="28" t="str">
        <x:v>将“质量流量控制器”纳入反应器的质量、能量、传递与安全约束，形成可监测、可控制、可放大的过程窗口。</x:v>
      </x:c>
      <x:c r="H286" s="28" t="str">
        <x:v>关键过程变量、约束、联锁和尺度效应是否进入闭环模型？</x:v>
      </x:c>
      <x:c r="I286" s="28" t="str">
        <x:v>过程变量偏差；控制稳定时间；转化率/选择性；联锁响应；尺度一致性</x:v>
      </x:c>
      <x:c r="J286" s="64" t="str">
        <x:v>基础能力</x:v>
      </x:c>
      <x:c r="K286" s="64" t="str">
        <x:v>P0</x:v>
      </x:c>
      <x:c r="L286" s="28" t="str">
        <x:v>S01; S19; S20; S58</x:v>
      </x:c>
      <x:c r="M286" s="28" t="str">
        <x:v>https://pubs.acs.org/doi/10.1021/acs.chemrev.4c00055</x:v>
      </x:c>
    </x:row>
    <x:row r="287" ht="48" customHeight="1">
      <x:c r="A287" s="64" t="str">
        <x:v>T0286</x:v>
      </x:c>
      <x:c r="B287" s="28" t="str">
        <x:v>实验执行与具身自动化</x:v>
      </x:c>
      <x:c r="C287" s="28" t="str">
        <x:v>反应工程、流动化学与环境控制</x:v>
      </x:c>
      <x:c r="D287" s="28" t="str">
        <x:v>反应器与过程变量</x:v>
      </x:c>
      <x:c r="E287" s="28" t="str">
        <x:v>过程工程与控制</x:v>
      </x:c>
      <x:c r="F287" s="28" t="str">
        <x:v>停留时间控制</x:v>
      </x:c>
      <x:c r="G287" s="28" t="str">
        <x:v>将“停留时间控制”纳入反应器的质量、能量、传递与安全约束，形成可监测、可控制、可放大的过程窗口。</x:v>
      </x:c>
      <x:c r="H287" s="28" t="str">
        <x:v>关键过程变量、约束、联锁和尺度效应是否进入闭环模型？</x:v>
      </x:c>
      <x:c r="I287" s="28" t="str">
        <x:v>过程变量偏差；控制稳定时间；转化率/选择性；联锁响应；尺度一致性</x:v>
      </x:c>
      <x:c r="J287" s="64" t="str">
        <x:v>基础能力</x:v>
      </x:c>
      <x:c r="K287" s="64" t="str">
        <x:v>P0</x:v>
      </x:c>
      <x:c r="L287" s="28" t="str">
        <x:v>S01; S19; S20; S58</x:v>
      </x:c>
      <x:c r="M287" s="28" t="str">
        <x:v>https://www.nature.com/articles/s41467-024-47210-x</x:v>
      </x:c>
    </x:row>
    <x:row r="288" ht="48" customHeight="1">
      <x:c r="A288" s="64" t="str">
        <x:v>T0287</x:v>
      </x:c>
      <x:c r="B288" s="28" t="str">
        <x:v>实验执行与具身自动化</x:v>
      </x:c>
      <x:c r="C288" s="28" t="str">
        <x:v>反应工程、流动化学与环境控制</x:v>
      </x:c>
      <x:c r="D288" s="28" t="str">
        <x:v>反应器与过程变量</x:v>
      </x:c>
      <x:c r="E288" s="28" t="str">
        <x:v>过程工程与控制</x:v>
      </x:c>
      <x:c r="F288" s="28" t="str">
        <x:v>混合状态控制</x:v>
      </x:c>
      <x:c r="G288" s="28" t="str">
        <x:v>将“混合状态控制”纳入反应器的质量、能量、传递与安全约束，形成可监测、可控制、可放大的过程窗口。</x:v>
      </x:c>
      <x:c r="H288" s="28" t="str">
        <x:v>关键过程变量、约束、联锁和尺度效应是否进入闭环模型？</x:v>
      </x:c>
      <x:c r="I288" s="28" t="str">
        <x:v>过程变量偏差；控制稳定时间；转化率/选择性；联锁响应；尺度一致性</x:v>
      </x:c>
      <x:c r="J288" s="64" t="str">
        <x:v>基础能力</x:v>
      </x:c>
      <x:c r="K288" s="64" t="str">
        <x:v>P0</x:v>
      </x:c>
      <x:c r="L288" s="28" t="str">
        <x:v>S01; S19; S20; S58</x:v>
      </x:c>
      <x:c r="M288" s="28" t="str">
        <x:v>https://www.science.org/doi/10.1126/sciadv.adu7426</x:v>
      </x:c>
    </x:row>
    <x:row r="289" ht="48" customHeight="1">
      <x:c r="A289" s="64" t="str">
        <x:v>T0288</x:v>
      </x:c>
      <x:c r="B289" s="28" t="str">
        <x:v>实验执行与具身自动化</x:v>
      </x:c>
      <x:c r="C289" s="28" t="str">
        <x:v>反应工程、流动化学与环境控制</x:v>
      </x:c>
      <x:c r="D289" s="28" t="str">
        <x:v>反应器与过程变量</x:v>
      </x:c>
      <x:c r="E289" s="28" t="str">
        <x:v>过程工程与控制</x:v>
      </x:c>
      <x:c r="F289" s="28" t="str">
        <x:v>传热建模</x:v>
      </x:c>
      <x:c r="G289" s="28" t="str">
        <x:v>将“传热建模”纳入反应器的质量、能量、传递与安全约束，形成可监测、可控制、可放大的过程窗口。</x:v>
      </x:c>
      <x:c r="H289" s="28" t="str">
        <x:v>关键过程变量、约束、联锁和尺度效应是否进入闭环模型？</x:v>
      </x:c>
      <x:c r="I289" s="28" t="str">
        <x:v>过程变量偏差；控制稳定时间；转化率/选择性；联锁响应；尺度一致性</x:v>
      </x:c>
      <x:c r="J289" s="64" t="str">
        <x:v>基础能力</x:v>
      </x:c>
      <x:c r="K289" s="64" t="str">
        <x:v>P0</x:v>
      </x:c>
      <x:c r="L289" s="28" t="str">
        <x:v>S01; S19; S20; S58</x:v>
      </x:c>
      <x:c r="M289" s="28" t="str">
        <x:v>https://www.science.org/doi/10.1126/scirobotics.adm6991</x:v>
      </x:c>
    </x:row>
    <x:row r="290" ht="48" customHeight="1">
      <x:c r="A290" s="64" t="str">
        <x:v>T0289</x:v>
      </x:c>
      <x:c r="B290" s="28" t="str">
        <x:v>实验执行与具身自动化</x:v>
      </x:c>
      <x:c r="C290" s="28" t="str">
        <x:v>反应工程、流动化学与环境控制</x:v>
      </x:c>
      <x:c r="D290" s="28" t="str">
        <x:v>反应器与过程变量</x:v>
      </x:c>
      <x:c r="E290" s="28" t="str">
        <x:v>过程工程与控制</x:v>
      </x:c>
      <x:c r="F290" s="28" t="str">
        <x:v>传质建模</x:v>
      </x:c>
      <x:c r="G290" s="28" t="str">
        <x:v>将“传质建模”纳入反应器的质量、能量、传递与安全约束，形成可监测、可控制、可放大的过程窗口。</x:v>
      </x:c>
      <x:c r="H290" s="28" t="str">
        <x:v>关键过程变量、约束、联锁和尺度效应是否进入闭环模型？</x:v>
      </x:c>
      <x:c r="I290" s="28" t="str">
        <x:v>过程变量偏差；控制稳定时间；转化率/选择性；联锁响应；尺度一致性</x:v>
      </x:c>
      <x:c r="J290" s="64" t="str">
        <x:v>基础能力</x:v>
      </x:c>
      <x:c r="K290" s="64" t="str">
        <x:v>P0</x:v>
      </x:c>
      <x:c r="L290" s="28" t="str">
        <x:v>S01; S19; S20; S58</x:v>
      </x:c>
      <x:c r="M290" s="28" t="str">
        <x:v>https://pubs.acs.org/doi/10.1021/acs.chemrev.4c00055</x:v>
      </x:c>
    </x:row>
    <x:row r="291" ht="48" customHeight="1">
      <x:c r="A291" s="64" t="str">
        <x:v>T0290</x:v>
      </x:c>
      <x:c r="B291" s="28" t="str">
        <x:v>实验执行与具身自动化</x:v>
      </x:c>
      <x:c r="C291" s="28" t="str">
        <x:v>反应工程、流动化学与环境控制</x:v>
      </x:c>
      <x:c r="D291" s="28" t="str">
        <x:v>反应器与过程变量</x:v>
      </x:c>
      <x:c r="E291" s="28" t="str">
        <x:v>过程工程与控制</x:v>
      </x:c>
      <x:c r="F291" s="28" t="str">
        <x:v>反应量热</x:v>
      </x:c>
      <x:c r="G291" s="28" t="str">
        <x:v>将“反应量热”纳入反应器的质量、能量、传递与安全约束，形成可监测、可控制、可放大的过程窗口。</x:v>
      </x:c>
      <x:c r="H291" s="28" t="str">
        <x:v>关键过程变量、约束、联锁和尺度效应是否进入闭环模型？</x:v>
      </x:c>
      <x:c r="I291" s="28" t="str">
        <x:v>过程变量偏差；控制稳定时间；转化率/选择性；联锁响应；尺度一致性</x:v>
      </x:c>
      <x:c r="J291" s="64" t="str">
        <x:v>基础能力</x:v>
      </x:c>
      <x:c r="K291" s="64" t="str">
        <x:v>P0</x:v>
      </x:c>
      <x:c r="L291" s="28" t="str">
        <x:v>S01; S19; S20; S58</x:v>
      </x:c>
      <x:c r="M291" s="28" t="str">
        <x:v>https://www.nature.com/articles/s41467-024-47210-x</x:v>
      </x:c>
    </x:row>
    <x:row r="292" ht="48" customHeight="1">
      <x:c r="A292" s="64" t="str">
        <x:v>T0291</x:v>
      </x:c>
      <x:c r="B292" s="28" t="str">
        <x:v>实验执行与具身自动化</x:v>
      </x:c>
      <x:c r="C292" s="28" t="str">
        <x:v>反应工程、流动化学与环境控制</x:v>
      </x:c>
      <x:c r="D292" s="28" t="str">
        <x:v>模型、监测与控制</x:v>
      </x:c>
      <x:c r="E292" s="28" t="str">
        <x:v>过程工程与控制</x:v>
      </x:c>
      <x:c r="F292" s="28" t="str">
        <x:v>动力学参数辨识</x:v>
      </x:c>
      <x:c r="G292" s="28" t="str">
        <x:v>将“动力学参数辨识”纳入反应器的质量、能量、传递与安全约束，形成可监测、可控制、可放大的过程窗口。</x:v>
      </x:c>
      <x:c r="H292" s="28" t="str">
        <x:v>关键过程变量、约束、联锁和尺度效应是否进入闭环模型？</x:v>
      </x:c>
      <x:c r="I292" s="28" t="str">
        <x:v>过程变量偏差；控制稳定时间；转化率/选择性；联锁响应；尺度一致性</x:v>
      </x:c>
      <x:c r="J292" s="64" t="str">
        <x:v>基础能力</x:v>
      </x:c>
      <x:c r="K292" s="64" t="str">
        <x:v>P1</x:v>
      </x:c>
      <x:c r="L292" s="28" t="str">
        <x:v>S01; S19; S20; S58</x:v>
      </x:c>
      <x:c r="M292" s="28" t="str">
        <x:v>https://www.science.org/doi/10.1126/sciadv.adu7426</x:v>
      </x:c>
    </x:row>
    <x:row r="293" ht="48" customHeight="1">
      <x:c r="A293" s="64" t="str">
        <x:v>T0292</x:v>
      </x:c>
      <x:c r="B293" s="28" t="str">
        <x:v>实验执行与具身自动化</x:v>
      </x:c>
      <x:c r="C293" s="28" t="str">
        <x:v>反应工程、流动化学与环境控制</x:v>
      </x:c>
      <x:c r="D293" s="28" t="str">
        <x:v>模型、监测与控制</x:v>
      </x:c>
      <x:c r="E293" s="28" t="str">
        <x:v>过程工程与控制</x:v>
      </x:c>
      <x:c r="F293" s="28" t="str">
        <x:v>在线反应监测</x:v>
      </x:c>
      <x:c r="G293" s="28" t="str">
        <x:v>将“在线反应监测”纳入反应器的质量、能量、传递与安全约束，形成可监测、可控制、可放大的过程窗口。</x:v>
      </x:c>
      <x:c r="H293" s="28" t="str">
        <x:v>关键过程变量、约束、联锁和尺度效应是否进入闭环模型？</x:v>
      </x:c>
      <x:c r="I293" s="28" t="str">
        <x:v>过程变量偏差；控制稳定时间；转化率/选择性；联锁响应；尺度一致性</x:v>
      </x:c>
      <x:c r="J293" s="64" t="str">
        <x:v>基础能力</x:v>
      </x:c>
      <x:c r="K293" s="64" t="str">
        <x:v>P1</x:v>
      </x:c>
      <x:c r="L293" s="28" t="str">
        <x:v>S01; S19; S20; S58</x:v>
      </x:c>
      <x:c r="M293" s="28" t="str">
        <x:v>https://www.science.org/doi/10.1126/scirobotics.adm6991</x:v>
      </x:c>
    </x:row>
    <x:row r="294" ht="48" customHeight="1">
      <x:c r="A294" s="64" t="str">
        <x:v>T0293</x:v>
      </x:c>
      <x:c r="B294" s="28" t="str">
        <x:v>实验执行与具身自动化</x:v>
      </x:c>
      <x:c r="C294" s="28" t="str">
        <x:v>反应工程、流动化学与环境控制</x:v>
      </x:c>
      <x:c r="D294" s="28" t="str">
        <x:v>模型、监测与控制</x:v>
      </x:c>
      <x:c r="E294" s="28" t="str">
        <x:v>过程工程与控制</x:v>
      </x:c>
      <x:c r="F294" s="28" t="str">
        <x:v>反馈控制</x:v>
      </x:c>
      <x:c r="G294" s="28" t="str">
        <x:v>将“反馈控制”纳入反应器的质量、能量、传递与安全约束，形成可监测、可控制、可放大的过程窗口。</x:v>
      </x:c>
      <x:c r="H294" s="28" t="str">
        <x:v>关键过程变量、约束、联锁和尺度效应是否进入闭环模型？</x:v>
      </x:c>
      <x:c r="I294" s="28" t="str">
        <x:v>过程变量偏差；控制稳定时间；转化率/选择性；联锁响应；尺度一致性</x:v>
      </x:c>
      <x:c r="J294" s="64" t="str">
        <x:v>工程化关键</x:v>
      </x:c>
      <x:c r="K294" s="64" t="str">
        <x:v>P1</x:v>
      </x:c>
      <x:c r="L294" s="28" t="str">
        <x:v>S01; S19; S20; S58</x:v>
      </x:c>
      <x:c r="M294" s="28" t="str">
        <x:v>https://pubs.acs.org/doi/10.1021/acs.chemrev.4c00055</x:v>
      </x:c>
    </x:row>
    <x:row r="295" ht="48" customHeight="1">
      <x:c r="A295" s="64" t="str">
        <x:v>T0294</x:v>
      </x:c>
      <x:c r="B295" s="28" t="str">
        <x:v>实验执行与具身自动化</x:v>
      </x:c>
      <x:c r="C295" s="28" t="str">
        <x:v>反应工程、流动化学与环境控制</x:v>
      </x:c>
      <x:c r="D295" s="28" t="str">
        <x:v>模型、监测与控制</x:v>
      </x:c>
      <x:c r="E295" s="28" t="str">
        <x:v>过程工程与控制</x:v>
      </x:c>
      <x:c r="F295" s="28" t="str">
        <x:v>模型预测控制</x:v>
      </x:c>
      <x:c r="G295" s="28" t="str">
        <x:v>将“模型预测控制”纳入反应器的质量、能量、传递与安全约束，形成可监测、可控制、可放大的过程窗口。</x:v>
      </x:c>
      <x:c r="H295" s="28" t="str">
        <x:v>关键过程变量、约束、联锁和尺度效应是否进入闭环模型？</x:v>
      </x:c>
      <x:c r="I295" s="28" t="str">
        <x:v>过程变量偏差；控制稳定时间；转化率/选择性；联锁响应；尺度一致性</x:v>
      </x:c>
      <x:c r="J295" s="64" t="str">
        <x:v>工程化关键</x:v>
      </x:c>
      <x:c r="K295" s="64" t="str">
        <x:v>P1</x:v>
      </x:c>
      <x:c r="L295" s="28" t="str">
        <x:v>S01; S19; S20; S58</x:v>
      </x:c>
      <x:c r="M295" s="28" t="str">
        <x:v>https://www.nature.com/articles/s41467-024-47210-x</x:v>
      </x:c>
    </x:row>
    <x:row r="296" ht="48" customHeight="1">
      <x:c r="A296" s="64" t="str">
        <x:v>T0295</x:v>
      </x:c>
      <x:c r="B296" s="28" t="str">
        <x:v>实验执行与具身自动化</x:v>
      </x:c>
      <x:c r="C296" s="28" t="str">
        <x:v>反应工程、流动化学与环境控制</x:v>
      </x:c>
      <x:c r="D296" s="28" t="str">
        <x:v>模型、监测与控制</x:v>
      </x:c>
      <x:c r="E296" s="28" t="str">
        <x:v>过程工程与控制</x:v>
      </x:c>
      <x:c r="F296" s="28" t="str">
        <x:v>连续流化学</x:v>
      </x:c>
      <x:c r="G296" s="28" t="str">
        <x:v>将“连续流化学”纳入反应器的质量、能量、传递与安全约束，形成可监测、可控制、可放大的过程窗口。</x:v>
      </x:c>
      <x:c r="H296" s="28" t="str">
        <x:v>关键过程变量、约束、联锁和尺度效应是否进入闭环模型？</x:v>
      </x:c>
      <x:c r="I296" s="28" t="str">
        <x:v>过程变量偏差；控制稳定时间；转化率/选择性；联锁响应；尺度一致性</x:v>
      </x:c>
      <x:c r="J296" s="64" t="str">
        <x:v>工程化关键</x:v>
      </x:c>
      <x:c r="K296" s="64" t="str">
        <x:v>P1</x:v>
      </x:c>
      <x:c r="L296" s="28" t="str">
        <x:v>S01; S19; S20; S58</x:v>
      </x:c>
      <x:c r="M296" s="28" t="str">
        <x:v>https://www.science.org/doi/10.1126/sciadv.adu7426</x:v>
      </x:c>
    </x:row>
    <x:row r="297" ht="48" customHeight="1">
      <x:c r="A297" s="64" t="str">
        <x:v>T0296</x:v>
      </x:c>
      <x:c r="B297" s="28" t="str">
        <x:v>实验执行与具身自动化</x:v>
      </x:c>
      <x:c r="C297" s="28" t="str">
        <x:v>反应工程、流动化学与环境控制</x:v>
      </x:c>
      <x:c r="D297" s="28" t="str">
        <x:v>模型、监测与控制</x:v>
      </x:c>
      <x:c r="E297" s="28" t="str">
        <x:v>过程工程与控制</x:v>
      </x:c>
      <x:c r="F297" s="28" t="str">
        <x:v>段塞流</x:v>
      </x:c>
      <x:c r="G297" s="28" t="str">
        <x:v>将“段塞流”纳入反应器的质量、能量、传递与安全约束，形成可监测、可控制、可放大的过程窗口。</x:v>
      </x:c>
      <x:c r="H297" s="28" t="str">
        <x:v>关键过程变量、约束、联锁和尺度效应是否进入闭环模型？</x:v>
      </x:c>
      <x:c r="I297" s="28" t="str">
        <x:v>过程变量偏差；控制稳定时间；转化率/选择性；联锁响应；尺度一致性</x:v>
      </x:c>
      <x:c r="J297" s="64" t="str">
        <x:v>工程化关键</x:v>
      </x:c>
      <x:c r="K297" s="64" t="str">
        <x:v>P1</x:v>
      </x:c>
      <x:c r="L297" s="28" t="str">
        <x:v>S01; S19; S20; S58</x:v>
      </x:c>
      <x:c r="M297" s="28" t="str">
        <x:v>https://www.science.org/doi/10.1126/scirobotics.adm6991</x:v>
      </x:c>
    </x:row>
    <x:row r="298" ht="48" customHeight="1">
      <x:c r="A298" s="64" t="str">
        <x:v>T0297</x:v>
      </x:c>
      <x:c r="B298" s="28" t="str">
        <x:v>实验执行与具身自动化</x:v>
      </x:c>
      <x:c r="C298" s="28" t="str">
        <x:v>反应工程、流动化学与环境控制</x:v>
      </x:c>
      <x:c r="D298" s="28" t="str">
        <x:v>模型、监测与控制</x:v>
      </x:c>
      <x:c r="E298" s="28" t="str">
        <x:v>过程工程与控制</x:v>
      </x:c>
      <x:c r="F298" s="28" t="str">
        <x:v>连续搅拌釜</x:v>
      </x:c>
      <x:c r="G298" s="28" t="str">
        <x:v>将“连续搅拌釜”纳入反应器的质量、能量、传递与安全约束，形成可监测、可控制、可放大的过程窗口。</x:v>
      </x:c>
      <x:c r="H298" s="28" t="str">
        <x:v>关键过程变量、约束、联锁和尺度效应是否进入闭环模型？</x:v>
      </x:c>
      <x:c r="I298" s="28" t="str">
        <x:v>过程变量偏差；控制稳定时间；转化率/选择性；联锁响应；尺度一致性</x:v>
      </x:c>
      <x:c r="J298" s="64" t="str">
        <x:v>工程化关键</x:v>
      </x:c>
      <x:c r="K298" s="64" t="str">
        <x:v>P1</x:v>
      </x:c>
      <x:c r="L298" s="28" t="str">
        <x:v>S01; S19; S20; S58</x:v>
      </x:c>
      <x:c r="M298" s="28" t="str">
        <x:v>https://pubs.acs.org/doi/10.1021/acs.chemrev.4c00055</x:v>
      </x:c>
    </x:row>
    <x:row r="299" ht="48" customHeight="1">
      <x:c r="A299" s="64" t="str">
        <x:v>T0298</x:v>
      </x:c>
      <x:c r="B299" s="28" t="str">
        <x:v>实验执行与具身自动化</x:v>
      </x:c>
      <x:c r="C299" s="28" t="str">
        <x:v>反应工程、流动化学与环境控制</x:v>
      </x:c>
      <x:c r="D299" s="28" t="str">
        <x:v>模型、监测与控制</x:v>
      </x:c>
      <x:c r="E299" s="28" t="str">
        <x:v>过程工程与控制</x:v>
      </x:c>
      <x:c r="F299" s="28" t="str">
        <x:v>管式反应器</x:v>
      </x:c>
      <x:c r="G299" s="28" t="str">
        <x:v>将“管式反应器”纳入反应器的质量、能量、传递与安全约束，形成可监测、可控制、可放大的过程窗口。</x:v>
      </x:c>
      <x:c r="H299" s="28" t="str">
        <x:v>关键过程变量、约束、联锁和尺度效应是否进入闭环模型？</x:v>
      </x:c>
      <x:c r="I299" s="28" t="str">
        <x:v>过程变量偏差；控制稳定时间；转化率/选择性；联锁响应；尺度一致性</x:v>
      </x:c>
      <x:c r="J299" s="64" t="str">
        <x:v>工程化关键</x:v>
      </x:c>
      <x:c r="K299" s="64" t="str">
        <x:v>P1</x:v>
      </x:c>
      <x:c r="L299" s="28" t="str">
        <x:v>S01; S19; S20; S58</x:v>
      </x:c>
      <x:c r="M299" s="28" t="str">
        <x:v>https://www.nature.com/articles/s41467-024-47210-x</x:v>
      </x:c>
    </x:row>
    <x:row r="300" ht="48" customHeight="1">
      <x:c r="A300" s="64" t="str">
        <x:v>T0299</x:v>
      </x:c>
      <x:c r="B300" s="28" t="str">
        <x:v>实验执行与具身自动化</x:v>
      </x:c>
      <x:c r="C300" s="28" t="str">
        <x:v>反应工程、流动化学与环境控制</x:v>
      </x:c>
      <x:c r="D300" s="28" t="str">
        <x:v>模型、监测与控制</x:v>
      </x:c>
      <x:c r="E300" s="28" t="str">
        <x:v>过程工程与控制</x:v>
      </x:c>
      <x:c r="F300" s="28" t="str">
        <x:v>光化学</x:v>
      </x:c>
      <x:c r="G300" s="28" t="str">
        <x:v>将“光化学”纳入反应器的质量、能量、传递与安全约束，形成可监测、可控制、可放大的过程窗口。</x:v>
      </x:c>
      <x:c r="H300" s="28" t="str">
        <x:v>关键过程变量、约束、联锁和尺度效应是否进入闭环模型？</x:v>
      </x:c>
      <x:c r="I300" s="28" t="str">
        <x:v>过程变量偏差；控制稳定时间；转化率/选择性；联锁响应；尺度一致性</x:v>
      </x:c>
      <x:c r="J300" s="64" t="str">
        <x:v>工程化关键</x:v>
      </x:c>
      <x:c r="K300" s="64" t="str">
        <x:v>P1</x:v>
      </x:c>
      <x:c r="L300" s="28" t="str">
        <x:v>S01; S19; S20; S58</x:v>
      </x:c>
      <x:c r="M300" s="28" t="str">
        <x:v>https://www.science.org/doi/10.1126/sciadv.adu7426</x:v>
      </x:c>
    </x:row>
    <x:row r="301" ht="48" customHeight="1">
      <x:c r="A301" s="64" t="str">
        <x:v>T0300</x:v>
      </x:c>
      <x:c r="B301" s="28" t="str">
        <x:v>实验执行与具身自动化</x:v>
      </x:c>
      <x:c r="C301" s="28" t="str">
        <x:v>反应工程、流动化学与环境控制</x:v>
      </x:c>
      <x:c r="D301" s="28" t="str">
        <x:v>模型、监测与控制</x:v>
      </x:c>
      <x:c r="E301" s="28" t="str">
        <x:v>过程工程与控制</x:v>
      </x:c>
      <x:c r="F301" s="28" t="str">
        <x:v>电化学</x:v>
      </x:c>
      <x:c r="G301" s="28" t="str">
        <x:v>将“电化学”纳入反应器的质量、能量、传递与安全约束，形成可监测、可控制、可放大的过程窗口。</x:v>
      </x:c>
      <x:c r="H301" s="28" t="str">
        <x:v>关键过程变量、约束、联锁和尺度效应是否进入闭环模型？</x:v>
      </x:c>
      <x:c r="I301" s="28" t="str">
        <x:v>过程变量偏差；控制稳定时间；转化率/选择性；联锁响应；尺度一致性</x:v>
      </x:c>
      <x:c r="J301" s="64" t="str">
        <x:v>工程化关键</x:v>
      </x:c>
      <x:c r="K301" s="64" t="str">
        <x:v>P1</x:v>
      </x:c>
      <x:c r="L301" s="28" t="str">
        <x:v>S01; S19; S20; S58</x:v>
      </x:c>
      <x:c r="M301" s="28" t="str">
        <x:v>https://www.science.org/doi/10.1126/scirobotics.adm6991</x:v>
      </x:c>
    </x:row>
    <x:row r="302" ht="48" customHeight="1">
      <x:c r="A302" s="64" t="str">
        <x:v>T0301</x:v>
      </x:c>
      <x:c r="B302" s="28" t="str">
        <x:v>实验执行与具身自动化</x:v>
      </x:c>
      <x:c r="C302" s="28" t="str">
        <x:v>反应工程、流动化学与环境控制</x:v>
      </x:c>
      <x:c r="D302" s="28" t="str">
        <x:v>反应模态与多相体系</x:v>
      </x:c>
      <x:c r="E302" s="28" t="str">
        <x:v>过程工程与控制</x:v>
      </x:c>
      <x:c r="F302" s="28" t="str">
        <x:v>催化剂筛选</x:v>
      </x:c>
      <x:c r="G302" s="28" t="str">
        <x:v>将“催化剂筛选”纳入反应器的质量、能量、传递与安全约束，形成可监测、可控制、可放大的过程窗口。</x:v>
      </x:c>
      <x:c r="H302" s="28" t="str">
        <x:v>关键过程变量、约束、联锁和尺度效应是否进入闭环模型？</x:v>
      </x:c>
      <x:c r="I302" s="28" t="str">
        <x:v>过程变量偏差；控制稳定时间；转化率/选择性；联锁响应；尺度一致性</x:v>
      </x:c>
      <x:c r="J302" s="64" t="str">
        <x:v>工程化关键</x:v>
      </x:c>
      <x:c r="K302" s="64" t="str">
        <x:v>P1</x:v>
      </x:c>
      <x:c r="L302" s="28" t="str">
        <x:v>S01; S19; S20; S58</x:v>
      </x:c>
      <x:c r="M302" s="28" t="str">
        <x:v>https://pubs.acs.org/doi/10.1021/acs.chemrev.4c00055</x:v>
      </x:c>
    </x:row>
    <x:row r="303" ht="48" customHeight="1">
      <x:c r="A303" s="64" t="str">
        <x:v>T0302</x:v>
      </x:c>
      <x:c r="B303" s="28" t="str">
        <x:v>实验执行与具身自动化</x:v>
      </x:c>
      <x:c r="C303" s="28" t="str">
        <x:v>反应工程、流动化学与环境控制</x:v>
      </x:c>
      <x:c r="D303" s="28" t="str">
        <x:v>反应模态与多相体系</x:v>
      </x:c>
      <x:c r="E303" s="28" t="str">
        <x:v>过程工程与控制</x:v>
      </x:c>
      <x:c r="F303" s="28" t="str">
        <x:v>气液反应</x:v>
      </x:c>
      <x:c r="G303" s="28" t="str">
        <x:v>将“气液反应”纳入反应器的质量、能量、传递与安全约束，形成可监测、可控制、可放大的过程窗口。</x:v>
      </x:c>
      <x:c r="H303" s="28" t="str">
        <x:v>关键过程变量、约束、联锁和尺度效应是否进入闭环模型？</x:v>
      </x:c>
      <x:c r="I303" s="28" t="str">
        <x:v>过程变量偏差；控制稳定时间；转化率/选择性；联锁响应；尺度一致性</x:v>
      </x:c>
      <x:c r="J303" s="64" t="str">
        <x:v>工程化关键</x:v>
      </x:c>
      <x:c r="K303" s="64" t="str">
        <x:v>P1</x:v>
      </x:c>
      <x:c r="L303" s="28" t="str">
        <x:v>S01; S19; S20; S58</x:v>
      </x:c>
      <x:c r="M303" s="28" t="str">
        <x:v>https://www.nature.com/articles/s41467-024-47210-x</x:v>
      </x:c>
    </x:row>
    <x:row r="304" ht="48" customHeight="1">
      <x:c r="A304" s="64" t="str">
        <x:v>T0303</x:v>
      </x:c>
      <x:c r="B304" s="28" t="str">
        <x:v>实验执行与具身自动化</x:v>
      </x:c>
      <x:c r="C304" s="28" t="str">
        <x:v>反应工程、流动化学与环境控制</x:v>
      </x:c>
      <x:c r="D304" s="28" t="str">
        <x:v>反应模态与多相体系</x:v>
      </x:c>
      <x:c r="E304" s="28" t="str">
        <x:v>过程工程与控制</x:v>
      </x:c>
      <x:c r="F304" s="28" t="str">
        <x:v>液液反应</x:v>
      </x:c>
      <x:c r="G304" s="28" t="str">
        <x:v>将“液液反应”纳入反应器的质量、能量、传递与安全约束，形成可监测、可控制、可放大的过程窗口。</x:v>
      </x:c>
      <x:c r="H304" s="28" t="str">
        <x:v>关键过程变量、约束、联锁和尺度效应是否进入闭环模型？</x:v>
      </x:c>
      <x:c r="I304" s="28" t="str">
        <x:v>过程变量偏差；控制稳定时间；转化率/选择性；联锁响应；尺度一致性</x:v>
      </x:c>
      <x:c r="J304" s="64" t="str">
        <x:v>工程化关键</x:v>
      </x:c>
      <x:c r="K304" s="64" t="str">
        <x:v>P1</x:v>
      </x:c>
      <x:c r="L304" s="28" t="str">
        <x:v>S01; S19; S20; S58</x:v>
      </x:c>
      <x:c r="M304" s="28" t="str">
        <x:v>https://www.science.org/doi/10.1126/sciadv.adu7426</x:v>
      </x:c>
    </x:row>
    <x:row r="305" ht="48" customHeight="1">
      <x:c r="A305" s="64" t="str">
        <x:v>T0304</x:v>
      </x:c>
      <x:c r="B305" s="28" t="str">
        <x:v>实验执行与具身自动化</x:v>
      </x:c>
      <x:c r="C305" s="28" t="str">
        <x:v>反应工程、流动化学与环境控制</x:v>
      </x:c>
      <x:c r="D305" s="28" t="str">
        <x:v>反应模态与多相体系</x:v>
      </x:c>
      <x:c r="E305" s="28" t="str">
        <x:v>过程工程与控制</x:v>
      </x:c>
      <x:c r="F305" s="28" t="str">
        <x:v>多相反应</x:v>
      </x:c>
      <x:c r="G305" s="28" t="str">
        <x:v>将“多相反应”纳入反应器的质量、能量、传递与安全约束，形成可监测、可控制、可放大的过程窗口。</x:v>
      </x:c>
      <x:c r="H305" s="28" t="str">
        <x:v>关键过程变量、约束、联锁和尺度效应是否进入闭环模型？</x:v>
      </x:c>
      <x:c r="I305" s="28" t="str">
        <x:v>过程变量偏差；控制稳定时间；转化率/选择性；联锁响应；尺度一致性</x:v>
      </x:c>
      <x:c r="J305" s="64" t="str">
        <x:v>工程化关键</x:v>
      </x:c>
      <x:c r="K305" s="64" t="str">
        <x:v>P1</x:v>
      </x:c>
      <x:c r="L305" s="28" t="str">
        <x:v>S01; S19; S20; S58</x:v>
      </x:c>
      <x:c r="M305" s="28" t="str">
        <x:v>https://www.science.org/doi/10.1126/scirobotics.adm6991</x:v>
      </x:c>
    </x:row>
    <x:row r="306" ht="48" customHeight="1">
      <x:c r="A306" s="64" t="str">
        <x:v>T0305</x:v>
      </x:c>
      <x:c r="B306" s="28" t="str">
        <x:v>实验执行与具身自动化</x:v>
      </x:c>
      <x:c r="C306" s="28" t="str">
        <x:v>反应工程、流动化学与环境控制</x:v>
      </x:c>
      <x:c r="D306" s="28" t="str">
        <x:v>反应模态与多相体系</x:v>
      </x:c>
      <x:c r="E306" s="28" t="str">
        <x:v>过程工程与控制</x:v>
      </x:c>
      <x:c r="F306" s="28" t="str">
        <x:v>高压反应</x:v>
      </x:c>
      <x:c r="G306" s="28" t="str">
        <x:v>将“高压反应”纳入反应器的质量、能量、传递与安全约束，形成可监测、可控制、可放大的过程窗口。</x:v>
      </x:c>
      <x:c r="H306" s="28" t="str">
        <x:v>关键过程变量、约束、联锁和尺度效应是否进入闭环模型？</x:v>
      </x:c>
      <x:c r="I306" s="28" t="str">
        <x:v>过程变量偏差；控制稳定时间；转化率/选择性；联锁响应；尺度一致性</x:v>
      </x:c>
      <x:c r="J306" s="64" t="str">
        <x:v>工程化关键</x:v>
      </x:c>
      <x:c r="K306" s="64" t="str">
        <x:v>P1</x:v>
      </x:c>
      <x:c r="L306" s="28" t="str">
        <x:v>S01; S19; S20; S58</x:v>
      </x:c>
      <x:c r="M306" s="28" t="str">
        <x:v>https://pubs.acs.org/doi/10.1021/acs.chemrev.4c00055</x:v>
      </x:c>
    </x:row>
    <x:row r="307" ht="48" customHeight="1">
      <x:c r="A307" s="64" t="str">
        <x:v>T0306</x:v>
      </x:c>
      <x:c r="B307" s="28" t="str">
        <x:v>实验执行与具身自动化</x:v>
      </x:c>
      <x:c r="C307" s="28" t="str">
        <x:v>反应工程、流动化学与环境控制</x:v>
      </x:c>
      <x:c r="D307" s="28" t="str">
        <x:v>反应模态与多相体系</x:v>
      </x:c>
      <x:c r="E307" s="28" t="str">
        <x:v>过程工程与控制</x:v>
      </x:c>
      <x:c r="F307" s="28" t="str">
        <x:v>微波反应</x:v>
      </x:c>
      <x:c r="G307" s="28" t="str">
        <x:v>将“微波反应”纳入反应器的质量、能量、传递与安全约束，形成可监测、可控制、可放大的过程窗口。</x:v>
      </x:c>
      <x:c r="H307" s="28" t="str">
        <x:v>关键过程变量、约束、联锁和尺度效应是否进入闭环模型？</x:v>
      </x:c>
      <x:c r="I307" s="28" t="str">
        <x:v>过程变量偏差；控制稳定时间；转化率/选择性；联锁响应；尺度一致性</x:v>
      </x:c>
      <x:c r="J307" s="64" t="str">
        <x:v>工程化关键</x:v>
      </x:c>
      <x:c r="K307" s="64" t="str">
        <x:v>P1</x:v>
      </x:c>
      <x:c r="L307" s="28" t="str">
        <x:v>S01; S19; S20; S58</x:v>
      </x:c>
      <x:c r="M307" s="28" t="str">
        <x:v>https://www.nature.com/articles/s41467-024-47210-x</x:v>
      </x:c>
    </x:row>
    <x:row r="308" ht="48" customHeight="1">
      <x:c r="A308" s="64" t="str">
        <x:v>T0307</x:v>
      </x:c>
      <x:c r="B308" s="28" t="str">
        <x:v>实验执行与具身自动化</x:v>
      </x:c>
      <x:c r="C308" s="28" t="str">
        <x:v>反应工程、流动化学与环境控制</x:v>
      </x:c>
      <x:c r="D308" s="28" t="str">
        <x:v>反应模态与多相体系</x:v>
      </x:c>
      <x:c r="E308" s="28" t="str">
        <x:v>过程工程与控制</x:v>
      </x:c>
      <x:c r="F308" s="28" t="str">
        <x:v>超声反应</x:v>
      </x:c>
      <x:c r="G308" s="28" t="str">
        <x:v>将“超声反应”纳入反应器的质量、能量、传递与安全约束，形成可监测、可控制、可放大的过程窗口。</x:v>
      </x:c>
      <x:c r="H308" s="28" t="str">
        <x:v>关键过程变量、约束、联锁和尺度效应是否进入闭环模型？</x:v>
      </x:c>
      <x:c r="I308" s="28" t="str">
        <x:v>过程变量偏差；控制稳定时间；转化率/选择性；联锁响应；尺度一致性</x:v>
      </x:c>
      <x:c r="J308" s="64" t="str">
        <x:v>工程化关键</x:v>
      </x:c>
      <x:c r="K308" s="64" t="str">
        <x:v>P1</x:v>
      </x:c>
      <x:c r="L308" s="28" t="str">
        <x:v>S01; S19; S20; S58</x:v>
      </x:c>
      <x:c r="M308" s="28" t="str">
        <x:v>https://www.science.org/doi/10.1126/sciadv.adu7426</x:v>
      </x:c>
    </x:row>
    <x:row r="309" ht="48" customHeight="1">
      <x:c r="A309" s="64" t="str">
        <x:v>T0308</x:v>
      </x:c>
      <x:c r="B309" s="28" t="str">
        <x:v>实验执行与具身自动化</x:v>
      </x:c>
      <x:c r="C309" s="28" t="str">
        <x:v>反应工程、流动化学与环境控制</x:v>
      </x:c>
      <x:c r="D309" s="28" t="str">
        <x:v>反应模态与多相体系</x:v>
      </x:c>
      <x:c r="E309" s="28" t="str">
        <x:v>过程工程与控制</x:v>
      </x:c>
      <x:c r="F309" s="28" t="str">
        <x:v>等离子体反应</x:v>
      </x:c>
      <x:c r="G309" s="28" t="str">
        <x:v>将“等离子体反应”纳入反应器的质量、能量、传递与安全约束，形成可监测、可控制、可放大的过程窗口。</x:v>
      </x:c>
      <x:c r="H309" s="28" t="str">
        <x:v>关键过程变量、约束、联锁和尺度效应是否进入闭环模型？</x:v>
      </x:c>
      <x:c r="I309" s="28" t="str">
        <x:v>过程变量偏差；控制稳定时间；转化率/选择性；联锁响应；尺度一致性</x:v>
      </x:c>
      <x:c r="J309" s="64" t="str">
        <x:v>工程化关键</x:v>
      </x:c>
      <x:c r="K309" s="64" t="str">
        <x:v>P1</x:v>
      </x:c>
      <x:c r="L309" s="28" t="str">
        <x:v>S01; S19; S20; S58</x:v>
      </x:c>
      <x:c r="M309" s="28" t="str">
        <x:v>https://www.science.org/doi/10.1126/scirobotics.adm6991</x:v>
      </x:c>
    </x:row>
    <x:row r="310" ht="48" customHeight="1">
      <x:c r="A310" s="64" t="str">
        <x:v>T0309</x:v>
      </x:c>
      <x:c r="B310" s="28" t="str">
        <x:v>实验执行与具身自动化</x:v>
      </x:c>
      <x:c r="C310" s="28" t="str">
        <x:v>反应工程、流动化学与环境控制</x:v>
      </x:c>
      <x:c r="D310" s="28" t="str">
        <x:v>反应模态与多相体系</x:v>
      </x:c>
      <x:c r="E310" s="28" t="str">
        <x:v>过程工程与控制</x:v>
      </x:c>
      <x:c r="F310" s="28" t="str">
        <x:v>气氛控制</x:v>
      </x:c>
      <x:c r="G310" s="28" t="str">
        <x:v>将“气氛控制”纳入反应器的质量、能量、传递与安全约束，形成可监测、可控制、可放大的过程窗口。</x:v>
      </x:c>
      <x:c r="H310" s="28" t="str">
        <x:v>关键过程变量、约束、联锁和尺度效应是否进入闭环模型？</x:v>
      </x:c>
      <x:c r="I310" s="28" t="str">
        <x:v>过程变量偏差；控制稳定时间；转化率/选择性；联锁响应；尺度一致性</x:v>
      </x:c>
      <x:c r="J310" s="64" t="str">
        <x:v>进阶能力</x:v>
      </x:c>
      <x:c r="K310" s="64" t="str">
        <x:v>P2</x:v>
      </x:c>
      <x:c r="L310" s="28" t="str">
        <x:v>S01; S19; S20; S58</x:v>
      </x:c>
      <x:c r="M310" s="28" t="str">
        <x:v>https://pubs.acs.org/doi/10.1021/acs.chemrev.4c00055</x:v>
      </x:c>
    </x:row>
    <x:row r="311" ht="48" customHeight="1">
      <x:c r="A311" s="64" t="str">
        <x:v>T0310</x:v>
      </x:c>
      <x:c r="B311" s="28" t="str">
        <x:v>实验执行与具身自动化</x:v>
      </x:c>
      <x:c r="C311" s="28" t="str">
        <x:v>反应工程、流动化学与环境控制</x:v>
      </x:c>
      <x:c r="D311" s="28" t="str">
        <x:v>反应模态与多相体系</x:v>
      </x:c>
      <x:c r="E311" s="28" t="str">
        <x:v>过程工程与控制</x:v>
      </x:c>
      <x:c r="F311" s="28" t="str">
        <x:v>湿度控制</x:v>
      </x:c>
      <x:c r="G311" s="28" t="str">
        <x:v>将“湿度控制”纳入反应器的质量、能量、传递与安全约束，形成可监测、可控制、可放大的过程窗口。</x:v>
      </x:c>
      <x:c r="H311" s="28" t="str">
        <x:v>关键过程变量、约束、联锁和尺度效应是否进入闭环模型？</x:v>
      </x:c>
      <x:c r="I311" s="28" t="str">
        <x:v>过程变量偏差；控制稳定时间；转化率/选择性；联锁响应；尺度一致性</x:v>
      </x:c>
      <x:c r="J311" s="64" t="str">
        <x:v>进阶能力</x:v>
      </x:c>
      <x:c r="K311" s="64" t="str">
        <x:v>P2</x:v>
      </x:c>
      <x:c r="L311" s="28" t="str">
        <x:v>S01; S19; S20; S58</x:v>
      </x:c>
      <x:c r="M311" s="28" t="str">
        <x:v>https://www.nature.com/articles/s41467-024-47210-x</x:v>
      </x:c>
    </x:row>
    <x:row r="312" ht="48" customHeight="1">
      <x:c r="A312" s="64" t="str">
        <x:v>T0311</x:v>
      </x:c>
      <x:c r="B312" s="28" t="str">
        <x:v>实验执行与具身自动化</x:v>
      </x:c>
      <x:c r="C312" s="28" t="str">
        <x:v>反应工程、流动化学与环境控制</x:v>
      </x:c>
      <x:c r="D312" s="28" t="str">
        <x:v>环境、公用工程与放大</x:v>
      </x:c>
      <x:c r="E312" s="28" t="str">
        <x:v>过程工程与控制</x:v>
      </x:c>
      <x:c r="F312" s="28" t="str">
        <x:v>氧/水控制</x:v>
      </x:c>
      <x:c r="G312" s="28" t="str">
        <x:v>将“氧/水控制”纳入反应器的质量、能量、传递与安全约束，形成可监测、可控制、可放大的过程窗口。</x:v>
      </x:c>
      <x:c r="H312" s="28" t="str">
        <x:v>关键过程变量、约束、联锁和尺度效应是否进入闭环模型？</x:v>
      </x:c>
      <x:c r="I312" s="28" t="str">
        <x:v>过程变量偏差；控制稳定时间；转化率/选择性；联锁响应；尺度一致性</x:v>
      </x:c>
      <x:c r="J312" s="64" t="str">
        <x:v>进阶能力</x:v>
      </x:c>
      <x:c r="K312" s="64" t="str">
        <x:v>P2</x:v>
      </x:c>
      <x:c r="L312" s="28" t="str">
        <x:v>S01; S19; S20; S58</x:v>
      </x:c>
      <x:c r="M312" s="28" t="str">
        <x:v>https://www.science.org/doi/10.1126/sciadv.adu7426</x:v>
      </x:c>
    </x:row>
    <x:row r="313" ht="48" customHeight="1">
      <x:c r="A313" s="64" t="str">
        <x:v>T0312</x:v>
      </x:c>
      <x:c r="B313" s="28" t="str">
        <x:v>实验执行与具身自动化</x:v>
      </x:c>
      <x:c r="C313" s="28" t="str">
        <x:v>反应工程、流动化学与环境控制</x:v>
      </x:c>
      <x:c r="D313" s="28" t="str">
        <x:v>环境、公用工程与放大</x:v>
      </x:c>
      <x:c r="E313" s="28" t="str">
        <x:v>过程工程与控制</x:v>
      </x:c>
      <x:c r="F313" s="28" t="str">
        <x:v>洁净空气</x:v>
      </x:c>
      <x:c r="G313" s="28" t="str">
        <x:v>将“洁净空气”纳入反应器的质量、能量、传递与安全约束，形成可监测、可控制、可放大的过程窗口。</x:v>
      </x:c>
      <x:c r="H313" s="28" t="str">
        <x:v>关键过程变量、约束、联锁和尺度效应是否进入闭环模型？</x:v>
      </x:c>
      <x:c r="I313" s="28" t="str">
        <x:v>过程变量偏差；控制稳定时间；转化率/选择性；联锁响应；尺度一致性</x:v>
      </x:c>
      <x:c r="J313" s="64" t="str">
        <x:v>进阶能力</x:v>
      </x:c>
      <x:c r="K313" s="64" t="str">
        <x:v>P2</x:v>
      </x:c>
      <x:c r="L313" s="28" t="str">
        <x:v>S01; S19; S20; S58</x:v>
      </x:c>
      <x:c r="M313" s="28" t="str">
        <x:v>https://www.science.org/doi/10.1126/scirobotics.adm6991</x:v>
      </x:c>
    </x:row>
    <x:row r="314" ht="48" customHeight="1">
      <x:c r="A314" s="64" t="str">
        <x:v>T0313</x:v>
      </x:c>
      <x:c r="B314" s="28" t="str">
        <x:v>实验执行与具身自动化</x:v>
      </x:c>
      <x:c r="C314" s="28" t="str">
        <x:v>反应工程、流动化学与环境控制</x:v>
      </x:c>
      <x:c r="D314" s="28" t="str">
        <x:v>环境、公用工程与放大</x:v>
      </x:c>
      <x:c r="E314" s="28" t="str">
        <x:v>过程工程与控制</x:v>
      </x:c>
      <x:c r="F314" s="28" t="str">
        <x:v>振动控制</x:v>
      </x:c>
      <x:c r="G314" s="28" t="str">
        <x:v>将“振动控制”纳入反应器的质量、能量、传递与安全约束，形成可监测、可控制、可放大的过程窗口。</x:v>
      </x:c>
      <x:c r="H314" s="28" t="str">
        <x:v>关键过程变量、约束、联锁和尺度效应是否进入闭环模型？</x:v>
      </x:c>
      <x:c r="I314" s="28" t="str">
        <x:v>过程变量偏差；控制稳定时间；转化率/选择性；联锁响应；尺度一致性</x:v>
      </x:c>
      <x:c r="J314" s="64" t="str">
        <x:v>进阶能力</x:v>
      </x:c>
      <x:c r="K314" s="64" t="str">
        <x:v>P2</x:v>
      </x:c>
      <x:c r="L314" s="28" t="str">
        <x:v>S01; S19; S20; S58</x:v>
      </x:c>
      <x:c r="M314" s="28" t="str">
        <x:v>https://pubs.acs.org/doi/10.1021/acs.chemrev.4c00055</x:v>
      </x:c>
    </x:row>
    <x:row r="315" ht="48" customHeight="1">
      <x:c r="A315" s="64" t="str">
        <x:v>T0314</x:v>
      </x:c>
      <x:c r="B315" s="28" t="str">
        <x:v>实验执行与具身自动化</x:v>
      </x:c>
      <x:c r="C315" s="28" t="str">
        <x:v>反应工程、流动化学与环境控制</x:v>
      </x:c>
      <x:c r="D315" s="28" t="str">
        <x:v>环境、公用工程与放大</x:v>
      </x:c>
      <x:c r="E315" s="28" t="str">
        <x:v>过程工程与控制</x:v>
      </x:c>
      <x:c r="F315" s="28" t="str">
        <x:v>环境传感网络</x:v>
      </x:c>
      <x:c r="G315" s="28" t="str">
        <x:v>将“环境传感网络”纳入反应器的质量、能量、传递与安全约束，形成可监测、可控制、可放大的过程窗口。</x:v>
      </x:c>
      <x:c r="H315" s="28" t="str">
        <x:v>关键过程变量、约束、联锁和尺度效应是否进入闭环模型？</x:v>
      </x:c>
      <x:c r="I315" s="28" t="str">
        <x:v>过程变量偏差；控制稳定时间；转化率/选择性；联锁响应；尺度一致性</x:v>
      </x:c>
      <x:c r="J315" s="64" t="str">
        <x:v>进阶能力</x:v>
      </x:c>
      <x:c r="K315" s="64" t="str">
        <x:v>P2</x:v>
      </x:c>
      <x:c r="L315" s="28" t="str">
        <x:v>S01; S19; S20; S58</x:v>
      </x:c>
      <x:c r="M315" s="28" t="str">
        <x:v>https://www.nature.com/articles/s41467-024-47210-x</x:v>
      </x:c>
    </x:row>
    <x:row r="316" ht="48" customHeight="1">
      <x:c r="A316" s="64" t="str">
        <x:v>T0315</x:v>
      </x:c>
      <x:c r="B316" s="28" t="str">
        <x:v>实验执行与具身自动化</x:v>
      </x:c>
      <x:c r="C316" s="28" t="str">
        <x:v>反应工程、流动化学与环境控制</x:v>
      </x:c>
      <x:c r="D316" s="28" t="str">
        <x:v>环境、公用工程与放大</x:v>
      </x:c>
      <x:c r="E316" s="28" t="str">
        <x:v>过程工程与控制</x:v>
      </x:c>
      <x:c r="F316" s="28" t="str">
        <x:v>公用工程监测</x:v>
      </x:c>
      <x:c r="G316" s="28" t="str">
        <x:v>将“公用工程监测”纳入反应器的质量、能量、传递与安全约束，形成可监测、可控制、可放大的过程窗口。</x:v>
      </x:c>
      <x:c r="H316" s="28" t="str">
        <x:v>关键过程变量、约束、联锁和尺度效应是否进入闭环模型？</x:v>
      </x:c>
      <x:c r="I316" s="28" t="str">
        <x:v>过程变量偏差；控制稳定时间；转化率/选择性；联锁响应；尺度一致性</x:v>
      </x:c>
      <x:c r="J316" s="64" t="str">
        <x:v>进阶能力</x:v>
      </x:c>
      <x:c r="K316" s="64" t="str">
        <x:v>P2</x:v>
      </x:c>
      <x:c r="L316" s="28" t="str">
        <x:v>S01; S19; S20; S58</x:v>
      </x:c>
      <x:c r="M316" s="28" t="str">
        <x:v>https://www.science.org/doi/10.1126/sciadv.adu7426</x:v>
      </x:c>
    </x:row>
    <x:row r="317" ht="48" customHeight="1">
      <x:c r="A317" s="64" t="str">
        <x:v>T0316</x:v>
      </x:c>
      <x:c r="B317" s="28" t="str">
        <x:v>实验执行与具身自动化</x:v>
      </x:c>
      <x:c r="C317" s="28" t="str">
        <x:v>反应工程、流动化学与环境控制</x:v>
      </x:c>
      <x:c r="D317" s="28" t="str">
        <x:v>环境、公用工程与放大</x:v>
      </x:c>
      <x:c r="E317" s="28" t="str">
        <x:v>过程工程与控制</x:v>
      </x:c>
      <x:c r="F317" s="28" t="str">
        <x:v>溶剂自动供给</x:v>
      </x:c>
      <x:c r="G317" s="28" t="str">
        <x:v>将“溶剂自动供给”纳入反应器的质量、能量、传递与安全约束，形成可监测、可控制、可放大的过程窗口。</x:v>
      </x:c>
      <x:c r="H317" s="28" t="str">
        <x:v>关键过程变量、约束、联锁和尺度效应是否进入闭环模型？</x:v>
      </x:c>
      <x:c r="I317" s="28" t="str">
        <x:v>过程变量偏差；控制稳定时间；转化率/选择性；联锁响应；尺度一致性</x:v>
      </x:c>
      <x:c r="J317" s="64" t="str">
        <x:v>进阶能力</x:v>
      </x:c>
      <x:c r="K317" s="64" t="str">
        <x:v>P2</x:v>
      </x:c>
      <x:c r="L317" s="28" t="str">
        <x:v>S01; S19; S20; S58</x:v>
      </x:c>
      <x:c r="M317" s="28" t="str">
        <x:v>https://www.science.org/doi/10.1126/scirobotics.adm6991</x:v>
      </x:c>
    </x:row>
    <x:row r="318" ht="48" customHeight="1">
      <x:c r="A318" s="64" t="str">
        <x:v>T0317</x:v>
      </x:c>
      <x:c r="B318" s="28" t="str">
        <x:v>实验执行与具身自动化</x:v>
      </x:c>
      <x:c r="C318" s="28" t="str">
        <x:v>反应工程、流动化学与环境控制</x:v>
      </x:c>
      <x:c r="D318" s="28" t="str">
        <x:v>环境、公用工程与放大</x:v>
      </x:c>
      <x:c r="E318" s="28" t="str">
        <x:v>过程工程与控制</x:v>
      </x:c>
      <x:c r="F318" s="28" t="str">
        <x:v>试剂库存联动</x:v>
      </x:c>
      <x:c r="G318" s="28" t="str">
        <x:v>将“试剂库存联动”纳入反应器的质量、能量、传递与安全约束，形成可监测、可控制、可放大的过程窗口。</x:v>
      </x:c>
      <x:c r="H318" s="28" t="str">
        <x:v>关键过程变量、约束、联锁和尺度效应是否进入闭环模型？</x:v>
      </x:c>
      <x:c r="I318" s="28" t="str">
        <x:v>过程变量偏差；控制稳定时间；转化率/选择性；联锁响应；尺度一致性</x:v>
      </x:c>
      <x:c r="J318" s="64" t="str">
        <x:v>前沿能力</x:v>
      </x:c>
      <x:c r="K318" s="64" t="str">
        <x:v>P2</x:v>
      </x:c>
      <x:c r="L318" s="28" t="str">
        <x:v>S01; S19; S20; S58</x:v>
      </x:c>
      <x:c r="M318" s="28" t="str">
        <x:v>https://pubs.acs.org/doi/10.1021/acs.chemrev.4c00055</x:v>
      </x:c>
    </x:row>
    <x:row r="319" ht="48" customHeight="1">
      <x:c r="A319" s="64" t="str">
        <x:v>T0318</x:v>
      </x:c>
      <x:c r="B319" s="28" t="str">
        <x:v>实验执行与具身自动化</x:v>
      </x:c>
      <x:c r="C319" s="28" t="str">
        <x:v>反应工程、流动化学与环境控制</x:v>
      </x:c>
      <x:c r="D319" s="28" t="str">
        <x:v>环境、公用工程与放大</x:v>
      </x:c>
      <x:c r="E319" s="28" t="str">
        <x:v>过程工程与控制</x:v>
      </x:c>
      <x:c r="F319" s="28" t="str">
        <x:v>废液中和</x:v>
      </x:c>
      <x:c r="G319" s="28" t="str">
        <x:v>将“废液中和”纳入反应器的质量、能量、传递与安全约束，形成可监测、可控制、可放大的过程窗口。</x:v>
      </x:c>
      <x:c r="H319" s="28" t="str">
        <x:v>关键过程变量、约束、联锁和尺度效应是否进入闭环模型？</x:v>
      </x:c>
      <x:c r="I319" s="28" t="str">
        <x:v>过程变量偏差；控制稳定时间；转化率/选择性；联锁响应；尺度一致性</x:v>
      </x:c>
      <x:c r="J319" s="64" t="str">
        <x:v>前沿能力</x:v>
      </x:c>
      <x:c r="K319" s="64" t="str">
        <x:v>P2</x:v>
      </x:c>
      <x:c r="L319" s="28" t="str">
        <x:v>S01; S19; S20; S58</x:v>
      </x:c>
      <x:c r="M319" s="28" t="str">
        <x:v>https://www.nature.com/articles/s41467-024-47210-x</x:v>
      </x:c>
    </x:row>
    <x:row r="320" ht="48" customHeight="1">
      <x:c r="A320" s="64" t="str">
        <x:v>T0319</x:v>
      </x:c>
      <x:c r="B320" s="28" t="str">
        <x:v>实验执行与具身自动化</x:v>
      </x:c>
      <x:c r="C320" s="28" t="str">
        <x:v>反应工程、流动化学与环境控制</x:v>
      </x:c>
      <x:c r="D320" s="28" t="str">
        <x:v>环境、公用工程与放大</x:v>
      </x:c>
      <x:c r="E320" s="28" t="str">
        <x:v>过程工程与控制</x:v>
      </x:c>
      <x:c r="F320" s="28" t="str">
        <x:v>能源管理</x:v>
      </x:c>
      <x:c r="G320" s="28" t="str">
        <x:v>将“能源管理”纳入反应器的质量、能量、传递与安全约束，形成可监测、可控制、可放大的过程窗口。</x:v>
      </x:c>
      <x:c r="H320" s="28" t="str">
        <x:v>关键过程变量、约束、联锁和尺度效应是否进入闭环模型？</x:v>
      </x:c>
      <x:c r="I320" s="28" t="str">
        <x:v>过程变量偏差；控制稳定时间；转化率/选择性；联锁响应；尺度一致性</x:v>
      </x:c>
      <x:c r="J320" s="64" t="str">
        <x:v>前沿能力</x:v>
      </x:c>
      <x:c r="K320" s="64" t="str">
        <x:v>P2</x:v>
      </x:c>
      <x:c r="L320" s="28" t="str">
        <x:v>S01; S19; S20; S58</x:v>
      </x:c>
      <x:c r="M320" s="28" t="str">
        <x:v>https://www.science.org/doi/10.1126/sciadv.adu7426</x:v>
      </x:c>
    </x:row>
    <x:row r="321" ht="48" customHeight="1">
      <x:c r="A321" s="64" t="str">
        <x:v>T0320</x:v>
      </x:c>
      <x:c r="B321" s="28" t="str">
        <x:v>实验执行与具身自动化</x:v>
      </x:c>
      <x:c r="C321" s="28" t="str">
        <x:v>反应工程、流动化学与环境控制</x:v>
      </x:c>
      <x:c r="D321" s="28" t="str">
        <x:v>环境、公用工程与放大</x:v>
      </x:c>
      <x:c r="E321" s="28" t="str">
        <x:v>过程工程与控制</x:v>
      </x:c>
      <x:c r="F321" s="28" t="str">
        <x:v>放大/缩小准则</x:v>
      </x:c>
      <x:c r="G321" s="28" t="str">
        <x:v>将“放大/缩小准则”纳入反应器的质量、能量、传递与安全约束，形成可监测、可控制、可放大的过程窗口。</x:v>
      </x:c>
      <x:c r="H321" s="28" t="str">
        <x:v>关键过程变量、约束、联锁和尺度效应是否进入闭环模型？</x:v>
      </x:c>
      <x:c r="I321" s="28" t="str">
        <x:v>过程变量偏差；控制稳定时间；转化率/选择性；联锁响应；尺度一致性</x:v>
      </x:c>
      <x:c r="J321" s="64" t="str">
        <x:v>前沿能力</x:v>
      </x:c>
      <x:c r="K321" s="64" t="str">
        <x:v>P2</x:v>
      </x:c>
      <x:c r="L321" s="28" t="str">
        <x:v>S01; S19; S20; S58</x:v>
      </x:c>
      <x:c r="M321" s="28" t="str">
        <x:v>https://www.science.org/doi/10.1126/scirobotics.adm6991</x:v>
      </x:c>
    </x:row>
    <x:row r="322" ht="48" customHeight="1">
      <x:c r="A322" s="64" t="str">
        <x:v>T0321</x:v>
      </x:c>
      <x:c r="B322" s="28" t="str">
        <x:v>实验执行与具身自动化</x:v>
      </x:c>
      <x:c r="C322" s="28" t="str">
        <x:v>在线检测、分析仪器与计量</x:v>
      </x:c>
      <x:c r="D322" s="28" t="str">
        <x:v>PAT与光谱</x:v>
      </x:c>
      <x:c r="E322" s="28" t="str">
        <x:v>分析检测与计量</x:v>
      </x:c>
      <x:c r="F322" s="28" t="str">
        <x:v>过程分析技术PAT</x:v>
      </x:c>
      <x:c r="G322" s="28" t="str">
        <x:v>用“过程分析技术PAT”把化学/物理状态转成可追溯数字信号，并完成校准、质控、时间同步和不确定度表征。</x:v>
      </x:c>
      <x:c r="H322" s="28" t="str">
        <x:v>测量方法、校准状态、检出限、漂移与不确定度是否可追溯？</x:v>
      </x:c>
      <x:c r="I322" s="28" t="str">
        <x:v>准确度；精密度；LOD/LOQ；漂移；测量不确定度；校准有效率</x:v>
      </x:c>
      <x:c r="J322" s="64" t="str">
        <x:v>基础能力</x:v>
      </x:c>
      <x:c r="K322" s="64" t="str">
        <x:v>P0</x:v>
      </x:c>
      <x:c r="L322" s="28" t="str">
        <x:v>S01; S03; S07; S19</x:v>
      </x:c>
      <x:c r="M322" s="28" t="str">
        <x:v>https://pubs.acs.org/doi/10.1021/acs.chemrev.4c00055</x:v>
      </x:c>
    </x:row>
    <x:row r="323" ht="48" customHeight="1">
      <x:c r="A323" s="64" t="str">
        <x:v>T0322</x:v>
      </x:c>
      <x:c r="B323" s="28" t="str">
        <x:v>实验执行与具身自动化</x:v>
      </x:c>
      <x:c r="C323" s="28" t="str">
        <x:v>在线检测、分析仪器与计量</x:v>
      </x:c>
      <x:c r="D323" s="28" t="str">
        <x:v>PAT与光谱</x:v>
      </x:c>
      <x:c r="E323" s="28" t="str">
        <x:v>分析检测与计量</x:v>
      </x:c>
      <x:c r="F323" s="28" t="str">
        <x:v>在线检测</x:v>
      </x:c>
      <x:c r="G323" s="28" t="str">
        <x:v>用“在线检测”把化学/物理状态转成可追溯数字信号，并完成校准、质控、时间同步和不确定度表征。</x:v>
      </x:c>
      <x:c r="H323" s="28" t="str">
        <x:v>测量方法、校准状态、检出限、漂移与不确定度是否可追溯？</x:v>
      </x:c>
      <x:c r="I323" s="28" t="str">
        <x:v>准确度；精密度；LOD/LOQ；漂移；测量不确定度；校准有效率</x:v>
      </x:c>
      <x:c r="J323" s="64" t="str">
        <x:v>基础能力</x:v>
      </x:c>
      <x:c r="K323" s="64" t="str">
        <x:v>P0</x:v>
      </x:c>
      <x:c r="L323" s="28" t="str">
        <x:v>S01; S03; S07; S19</x:v>
      </x:c>
      <x:c r="M323" s="28" t="str">
        <x:v>https://www.nature.com/articles/s41467-024-45569-5</x:v>
      </x:c>
    </x:row>
    <x:row r="324" ht="48" customHeight="1">
      <x:c r="A324" s="64" t="str">
        <x:v>T0323</x:v>
      </x:c>
      <x:c r="B324" s="28" t="str">
        <x:v>实验执行与具身自动化</x:v>
      </x:c>
      <x:c r="C324" s="28" t="str">
        <x:v>在线检测、分析仪器与计量</x:v>
      </x:c>
      <x:c r="D324" s="28" t="str">
        <x:v>PAT与光谱</x:v>
      </x:c>
      <x:c r="E324" s="28" t="str">
        <x:v>分析检测与计量</x:v>
      </x:c>
      <x:c r="F324" s="28" t="str">
        <x:v>旁线检测</x:v>
      </x:c>
      <x:c r="G324" s="28" t="str">
        <x:v>用“旁线检测”把化学/物理状态转成可追溯数字信号，并完成校准、质控、时间同步和不确定度表征。</x:v>
      </x:c>
      <x:c r="H324" s="28" t="str">
        <x:v>测量方法、校准状态、检出限、漂移与不确定度是否可追溯？</x:v>
      </x:c>
      <x:c r="I324" s="28" t="str">
        <x:v>准确度；精密度；LOD/LOQ；漂移；测量不确定度；校准有效率</x:v>
      </x:c>
      <x:c r="J324" s="64" t="str">
        <x:v>基础能力</x:v>
      </x:c>
      <x:c r="K324" s="64" t="str">
        <x:v>P0</x:v>
      </x:c>
      <x:c r="L324" s="28" t="str">
        <x:v>S01; S03; S07; S19</x:v>
      </x:c>
      <x:c r="M324" s="28" t="str">
        <x:v>https://www.nature.com/articles/s41586-023-06734-w</x:v>
      </x:c>
    </x:row>
    <x:row r="325" ht="48" customHeight="1">
      <x:c r="A325" s="64" t="str">
        <x:v>T0324</x:v>
      </x:c>
      <x:c r="B325" s="28" t="str">
        <x:v>实验执行与具身自动化</x:v>
      </x:c>
      <x:c r="C325" s="28" t="str">
        <x:v>在线检测、分析仪器与计量</x:v>
      </x:c>
      <x:c r="D325" s="28" t="str">
        <x:v>PAT与光谱</x:v>
      </x:c>
      <x:c r="E325" s="28" t="str">
        <x:v>分析检测与计量</x:v>
      </x:c>
      <x:c r="F325" s="28" t="str">
        <x:v>近线检测</x:v>
      </x:c>
      <x:c r="G325" s="28" t="str">
        <x:v>用“近线检测”把化学/物理状态转成可追溯数字信号，并完成校准、质控、时间同步和不确定度表征。</x:v>
      </x:c>
      <x:c r="H325" s="28" t="str">
        <x:v>测量方法、校准状态、检出限、漂移与不确定度是否可追溯？</x:v>
      </x:c>
      <x:c r="I325" s="28" t="str">
        <x:v>准确度；精密度；LOD/LOQ；漂移；测量不确定度；校准有效率</x:v>
      </x:c>
      <x:c r="J325" s="64" t="str">
        <x:v>基础能力</x:v>
      </x:c>
      <x:c r="K325" s="64" t="str">
        <x:v>P0</x:v>
      </x:c>
      <x:c r="L325" s="28" t="str">
        <x:v>S01; S03; S07; S19</x:v>
      </x:c>
      <x:c r="M325" s="28" t="str">
        <x:v>https://www.nature.com/articles/s41467-024-47210-x</x:v>
      </x:c>
    </x:row>
    <x:row r="326" ht="48" customHeight="1">
      <x:c r="A326" s="64" t="str">
        <x:v>T0325</x:v>
      </x:c>
      <x:c r="B326" s="28" t="str">
        <x:v>实验执行与具身自动化</x:v>
      </x:c>
      <x:c r="C326" s="28" t="str">
        <x:v>在线检测、分析仪器与计量</x:v>
      </x:c>
      <x:c r="D326" s="28" t="str">
        <x:v>PAT与光谱</x:v>
      </x:c>
      <x:c r="E326" s="28" t="str">
        <x:v>分析检测与计量</x:v>
      </x:c>
      <x:c r="F326" s="28" t="str">
        <x:v>UV-Vis</x:v>
      </x:c>
      <x:c r="G326" s="28" t="str">
        <x:v>用“UV-Vis”把化学/物理状态转成可追溯数字信号，并完成校准、质控、时间同步和不确定度表征。</x:v>
      </x:c>
      <x:c r="H326" s="28" t="str">
        <x:v>测量方法、校准状态、检出限、漂移与不确定度是否可追溯？</x:v>
      </x:c>
      <x:c r="I326" s="28" t="str">
        <x:v>准确度；精密度；LOD/LOQ；漂移；测量不确定度；校准有效率</x:v>
      </x:c>
      <x:c r="J326" s="64" t="str">
        <x:v>基础能力</x:v>
      </x:c>
      <x:c r="K326" s="64" t="str">
        <x:v>P0</x:v>
      </x:c>
      <x:c r="L326" s="28" t="str">
        <x:v>S01; S03; S07; S19</x:v>
      </x:c>
      <x:c r="M326" s="28" t="str">
        <x:v>https://pubs.acs.org/doi/10.1021/acs.chemrev.4c00055</x:v>
      </x:c>
    </x:row>
    <x:row r="327" ht="48" customHeight="1">
      <x:c r="A327" s="64" t="str">
        <x:v>T0326</x:v>
      </x:c>
      <x:c r="B327" s="28" t="str">
        <x:v>实验执行与具身自动化</x:v>
      </x:c>
      <x:c r="C327" s="28" t="str">
        <x:v>在线检测、分析仪器与计量</x:v>
      </x:c>
      <x:c r="D327" s="28" t="str">
        <x:v>PAT与光谱</x:v>
      </x:c>
      <x:c r="E327" s="28" t="str">
        <x:v>分析检测与计量</x:v>
      </x:c>
      <x:c r="F327" s="28" t="str">
        <x:v>红外光谱</x:v>
      </x:c>
      <x:c r="G327" s="28" t="str">
        <x:v>用“红外光谱”把化学/物理状态转成可追溯数字信号，并完成校准、质控、时间同步和不确定度表征。</x:v>
      </x:c>
      <x:c r="H327" s="28" t="str">
        <x:v>测量方法、校准状态、检出限、漂移与不确定度是否可追溯？</x:v>
      </x:c>
      <x:c r="I327" s="28" t="str">
        <x:v>准确度；精密度；LOD/LOQ；漂移；测量不确定度；校准有效率</x:v>
      </x:c>
      <x:c r="J327" s="64" t="str">
        <x:v>基础能力</x:v>
      </x:c>
      <x:c r="K327" s="64" t="str">
        <x:v>P0</x:v>
      </x:c>
      <x:c r="L327" s="28" t="str">
        <x:v>S01; S03; S07; S19</x:v>
      </x:c>
      <x:c r="M327" s="28" t="str">
        <x:v>https://www.nature.com/articles/s41467-024-45569-5</x:v>
      </x:c>
    </x:row>
    <x:row r="328" ht="48" customHeight="1">
      <x:c r="A328" s="64" t="str">
        <x:v>T0327</x:v>
      </x:c>
      <x:c r="B328" s="28" t="str">
        <x:v>实验执行与具身自动化</x:v>
      </x:c>
      <x:c r="C328" s="28" t="str">
        <x:v>在线检测、分析仪器与计量</x:v>
      </x:c>
      <x:c r="D328" s="28" t="str">
        <x:v>PAT与光谱</x:v>
      </x:c>
      <x:c r="E328" s="28" t="str">
        <x:v>分析检测与计量</x:v>
      </x:c>
      <x:c r="F328" s="28" t="str">
        <x:v>拉曼光谱</x:v>
      </x:c>
      <x:c r="G328" s="28" t="str">
        <x:v>用“拉曼光谱”把化学/物理状态转成可追溯数字信号，并完成校准、质控、时间同步和不确定度表征。</x:v>
      </x:c>
      <x:c r="H328" s="28" t="str">
        <x:v>测量方法、校准状态、检出限、漂移与不确定度是否可追溯？</x:v>
      </x:c>
      <x:c r="I328" s="28" t="str">
        <x:v>准确度；精密度；LOD/LOQ；漂移；测量不确定度；校准有效率</x:v>
      </x:c>
      <x:c r="J328" s="64" t="str">
        <x:v>基础能力</x:v>
      </x:c>
      <x:c r="K328" s="64" t="str">
        <x:v>P0</x:v>
      </x:c>
      <x:c r="L328" s="28" t="str">
        <x:v>S01; S03; S07; S19</x:v>
      </x:c>
      <x:c r="M328" s="28" t="str">
        <x:v>https://www.nature.com/articles/s41586-023-06734-w</x:v>
      </x:c>
    </x:row>
    <x:row r="329" ht="48" customHeight="1">
      <x:c r="A329" s="64" t="str">
        <x:v>T0328</x:v>
      </x:c>
      <x:c r="B329" s="28" t="str">
        <x:v>实验执行与具身自动化</x:v>
      </x:c>
      <x:c r="C329" s="28" t="str">
        <x:v>在线检测、分析仪器与计量</x:v>
      </x:c>
      <x:c r="D329" s="28" t="str">
        <x:v>PAT与光谱</x:v>
      </x:c>
      <x:c r="E329" s="28" t="str">
        <x:v>分析检测与计量</x:v>
      </x:c>
      <x:c r="F329" s="28" t="str">
        <x:v>近红外光谱</x:v>
      </x:c>
      <x:c r="G329" s="28" t="str">
        <x:v>用“近红外光谱”把化学/物理状态转成可追溯数字信号，并完成校准、质控、时间同步和不确定度表征。</x:v>
      </x:c>
      <x:c r="H329" s="28" t="str">
        <x:v>测量方法、校准状态、检出限、漂移与不确定度是否可追溯？</x:v>
      </x:c>
      <x:c r="I329" s="28" t="str">
        <x:v>准确度；精密度；LOD/LOQ；漂移；测量不确定度；校准有效率</x:v>
      </x:c>
      <x:c r="J329" s="64" t="str">
        <x:v>基础能力</x:v>
      </x:c>
      <x:c r="K329" s="64" t="str">
        <x:v>P0</x:v>
      </x:c>
      <x:c r="L329" s="28" t="str">
        <x:v>S01; S03; S07; S19</x:v>
      </x:c>
      <x:c r="M329" s="28" t="str">
        <x:v>https://www.nature.com/articles/s41467-024-47210-x</x:v>
      </x:c>
    </x:row>
    <x:row r="330" ht="48" customHeight="1">
      <x:c r="A330" s="64" t="str">
        <x:v>T0329</x:v>
      </x:c>
      <x:c r="B330" s="28" t="str">
        <x:v>实验执行与具身自动化</x:v>
      </x:c>
      <x:c r="C330" s="28" t="str">
        <x:v>在线检测、分析仪器与计量</x:v>
      </x:c>
      <x:c r="D330" s="28" t="str">
        <x:v>PAT与光谱</x:v>
      </x:c>
      <x:c r="E330" s="28" t="str">
        <x:v>分析检测与计量</x:v>
      </x:c>
      <x:c r="F330" s="28" t="str">
        <x:v>荧光光谱</x:v>
      </x:c>
      <x:c r="G330" s="28" t="str">
        <x:v>用“荧光光谱”把化学/物理状态转成可追溯数字信号，并完成校准、质控、时间同步和不确定度表征。</x:v>
      </x:c>
      <x:c r="H330" s="28" t="str">
        <x:v>测量方法、校准状态、检出限、漂移与不确定度是否可追溯？</x:v>
      </x:c>
      <x:c r="I330" s="28" t="str">
        <x:v>准确度；精密度；LOD/LOQ；漂移；测量不确定度；校准有效率</x:v>
      </x:c>
      <x:c r="J330" s="64" t="str">
        <x:v>基础能力</x:v>
      </x:c>
      <x:c r="K330" s="64" t="str">
        <x:v>P0</x:v>
      </x:c>
      <x:c r="L330" s="28" t="str">
        <x:v>S01; S03; S07; S19</x:v>
      </x:c>
      <x:c r="M330" s="28" t="str">
        <x:v>https://pubs.acs.org/doi/10.1021/acs.chemrev.4c00055</x:v>
      </x:c>
    </x:row>
    <x:row r="331" ht="48" customHeight="1">
      <x:c r="A331" s="64" t="str">
        <x:v>T0330</x:v>
      </x:c>
      <x:c r="B331" s="28" t="str">
        <x:v>实验执行与具身自动化</x:v>
      </x:c>
      <x:c r="C331" s="28" t="str">
        <x:v>在线检测、分析仪器与计量</x:v>
      </x:c>
      <x:c r="D331" s="28" t="str">
        <x:v>PAT与光谱</x:v>
      </x:c>
      <x:c r="E331" s="28" t="str">
        <x:v>分析检测与计量</x:v>
      </x:c>
      <x:c r="F331" s="28" t="str">
        <x:v>质谱</x:v>
      </x:c>
      <x:c r="G331" s="28" t="str">
        <x:v>用“质谱”把化学/物理状态转成可追溯数字信号，并完成校准、质控、时间同步和不确定度表征。</x:v>
      </x:c>
      <x:c r="H331" s="28" t="str">
        <x:v>测量方法、校准状态、检出限、漂移与不确定度是否可追溯？</x:v>
      </x:c>
      <x:c r="I331" s="28" t="str">
        <x:v>准确度；精密度；LOD/LOQ；漂移；测量不确定度；校准有效率</x:v>
      </x:c>
      <x:c r="J331" s="64" t="str">
        <x:v>基础能力</x:v>
      </x:c>
      <x:c r="K331" s="64" t="str">
        <x:v>P0</x:v>
      </x:c>
      <x:c r="L331" s="28" t="str">
        <x:v>S01; S03; S07; S19</x:v>
      </x:c>
      <x:c r="M331" s="28" t="str">
        <x:v>https://www.nature.com/articles/s41467-024-45569-5</x:v>
      </x:c>
    </x:row>
    <x:row r="332" ht="48" customHeight="1">
      <x:c r="A332" s="64" t="str">
        <x:v>T0331</x:v>
      </x:c>
      <x:c r="B332" s="28" t="str">
        <x:v>实验执行与具身自动化</x:v>
      </x:c>
      <x:c r="C332" s="28" t="str">
        <x:v>在线检测、分析仪器与计量</x:v>
      </x:c>
      <x:c r="D332" s="28" t="str">
        <x:v>色谱、质谱与结构分析</x:v>
      </x:c>
      <x:c r="E332" s="28" t="str">
        <x:v>分析检测与计量</x:v>
      </x:c>
      <x:c r="F332" s="28" t="str">
        <x:v>气相色谱</x:v>
      </x:c>
      <x:c r="G332" s="28" t="str">
        <x:v>用“气相色谱”把化学/物理状态转成可追溯数字信号，并完成校准、质控、时间同步和不确定度表征。</x:v>
      </x:c>
      <x:c r="H332" s="28" t="str">
        <x:v>测量方法、校准状态、检出限、漂移与不确定度是否可追溯？</x:v>
      </x:c>
      <x:c r="I332" s="28" t="str">
        <x:v>准确度；精密度；LOD/LOQ；漂移；测量不确定度；校准有效率</x:v>
      </x:c>
      <x:c r="J332" s="64" t="str">
        <x:v>基础能力</x:v>
      </x:c>
      <x:c r="K332" s="64" t="str">
        <x:v>P1</x:v>
      </x:c>
      <x:c r="L332" s="28" t="str">
        <x:v>S01; S03; S07; S19</x:v>
      </x:c>
      <x:c r="M332" s="28" t="str">
        <x:v>https://www.nature.com/articles/s41586-023-06734-w</x:v>
      </x:c>
    </x:row>
    <x:row r="333" ht="48" customHeight="1">
      <x:c r="A333" s="64" t="str">
        <x:v>T0332</x:v>
      </x:c>
      <x:c r="B333" s="28" t="str">
        <x:v>实验执行与具身自动化</x:v>
      </x:c>
      <x:c r="C333" s="28" t="str">
        <x:v>在线检测、分析仪器与计量</x:v>
      </x:c>
      <x:c r="D333" s="28" t="str">
        <x:v>色谱、质谱与结构分析</x:v>
      </x:c>
      <x:c r="E333" s="28" t="str">
        <x:v>分析检测与计量</x:v>
      </x:c>
      <x:c r="F333" s="28" t="str">
        <x:v>液相色谱</x:v>
      </x:c>
      <x:c r="G333" s="28" t="str">
        <x:v>用“液相色谱”把化学/物理状态转成可追溯数字信号，并完成校准、质控、时间同步和不确定度表征。</x:v>
      </x:c>
      <x:c r="H333" s="28" t="str">
        <x:v>测量方法、校准状态、检出限、漂移与不确定度是否可追溯？</x:v>
      </x:c>
      <x:c r="I333" s="28" t="str">
        <x:v>准确度；精密度；LOD/LOQ；漂移；测量不确定度；校准有效率</x:v>
      </x:c>
      <x:c r="J333" s="64" t="str">
        <x:v>基础能力</x:v>
      </x:c>
      <x:c r="K333" s="64" t="str">
        <x:v>P1</x:v>
      </x:c>
      <x:c r="L333" s="28" t="str">
        <x:v>S01; S03; S07; S19</x:v>
      </x:c>
      <x:c r="M333" s="28" t="str">
        <x:v>https://www.nature.com/articles/s41467-024-47210-x</x:v>
      </x:c>
    </x:row>
    <x:row r="334" ht="48" customHeight="1">
      <x:c r="A334" s="64" t="str">
        <x:v>T0333</x:v>
      </x:c>
      <x:c r="B334" s="28" t="str">
        <x:v>实验执行与具身自动化</x:v>
      </x:c>
      <x:c r="C334" s="28" t="str">
        <x:v>在线检测、分析仪器与计量</x:v>
      </x:c>
      <x:c r="D334" s="28" t="str">
        <x:v>色谱、质谱与结构分析</x:v>
      </x:c>
      <x:c r="E334" s="28" t="str">
        <x:v>分析检测与计量</x:v>
      </x:c>
      <x:c r="F334" s="28" t="str">
        <x:v>核磁共振</x:v>
      </x:c>
      <x:c r="G334" s="28" t="str">
        <x:v>用“核磁共振”把化学/物理状态转成可追溯数字信号，并完成校准、质控、时间同步和不确定度表征。</x:v>
      </x:c>
      <x:c r="H334" s="28" t="str">
        <x:v>测量方法、校准状态、检出限、漂移与不确定度是否可追溯？</x:v>
      </x:c>
      <x:c r="I334" s="28" t="str">
        <x:v>准确度；精密度；LOD/LOQ；漂移；测量不确定度；校准有效率</x:v>
      </x:c>
      <x:c r="J334" s="64" t="str">
        <x:v>工程化关键</x:v>
      </x:c>
      <x:c r="K334" s="64" t="str">
        <x:v>P1</x:v>
      </x:c>
      <x:c r="L334" s="28" t="str">
        <x:v>S01; S03; S07; S19</x:v>
      </x:c>
      <x:c r="M334" s="28" t="str">
        <x:v>https://pubs.acs.org/doi/10.1021/acs.chemrev.4c00055</x:v>
      </x:c>
    </x:row>
    <x:row r="335" ht="48" customHeight="1">
      <x:c r="A335" s="64" t="str">
        <x:v>T0334</x:v>
      </x:c>
      <x:c r="B335" s="28" t="str">
        <x:v>实验执行与具身自动化</x:v>
      </x:c>
      <x:c r="C335" s="28" t="str">
        <x:v>在线检测、分析仪器与计量</x:v>
      </x:c>
      <x:c r="D335" s="28" t="str">
        <x:v>色谱、质谱与结构分析</x:v>
      </x:c>
      <x:c r="E335" s="28" t="str">
        <x:v>分析检测与计量</x:v>
      </x:c>
      <x:c r="F335" s="28" t="str">
        <x:v>X射线衍射</x:v>
      </x:c>
      <x:c r="G335" s="28" t="str">
        <x:v>用“X射线衍射”把化学/物理状态转成可追溯数字信号，并完成校准、质控、时间同步和不确定度表征。</x:v>
      </x:c>
      <x:c r="H335" s="28" t="str">
        <x:v>测量方法、校准状态、检出限、漂移与不确定度是否可追溯？</x:v>
      </x:c>
      <x:c r="I335" s="28" t="str">
        <x:v>准确度；精密度；LOD/LOQ；漂移；测量不确定度；校准有效率</x:v>
      </x:c>
      <x:c r="J335" s="64" t="str">
        <x:v>工程化关键</x:v>
      </x:c>
      <x:c r="K335" s="64" t="str">
        <x:v>P1</x:v>
      </x:c>
      <x:c r="L335" s="28" t="str">
        <x:v>S01; S03; S07; S19</x:v>
      </x:c>
      <x:c r="M335" s="28" t="str">
        <x:v>https://www.nature.com/articles/s41467-024-45569-5</x:v>
      </x:c>
    </x:row>
    <x:row r="336" ht="48" customHeight="1">
      <x:c r="A336" s="64" t="str">
        <x:v>T0335</x:v>
      </x:c>
      <x:c r="B336" s="28" t="str">
        <x:v>实验执行与具身自动化</x:v>
      </x:c>
      <x:c r="C336" s="28" t="str">
        <x:v>在线检测、分析仪器与计量</x:v>
      </x:c>
      <x:c r="D336" s="28" t="str">
        <x:v>色谱、质谱与结构分析</x:v>
      </x:c>
      <x:c r="E336" s="28" t="str">
        <x:v>分析检测与计量</x:v>
      </x:c>
      <x:c r="F336" s="28" t="str">
        <x:v>X射线荧光</x:v>
      </x:c>
      <x:c r="G336" s="28" t="str">
        <x:v>用“X射线荧光”把化学/物理状态转成可追溯数字信号，并完成校准、质控、时间同步和不确定度表征。</x:v>
      </x:c>
      <x:c r="H336" s="28" t="str">
        <x:v>测量方法、校准状态、检出限、漂移与不确定度是否可追溯？</x:v>
      </x:c>
      <x:c r="I336" s="28" t="str">
        <x:v>准确度；精密度；LOD/LOQ；漂移；测量不确定度；校准有效率</x:v>
      </x:c>
      <x:c r="J336" s="64" t="str">
        <x:v>工程化关键</x:v>
      </x:c>
      <x:c r="K336" s="64" t="str">
        <x:v>P1</x:v>
      </x:c>
      <x:c r="L336" s="28" t="str">
        <x:v>S01; S03; S07; S19</x:v>
      </x:c>
      <x:c r="M336" s="28" t="str">
        <x:v>https://www.nature.com/articles/s41586-023-06734-w</x:v>
      </x:c>
    </x:row>
    <x:row r="337" ht="48" customHeight="1">
      <x:c r="A337" s="64" t="str">
        <x:v>T0336</x:v>
      </x:c>
      <x:c r="B337" s="28" t="str">
        <x:v>实验执行与具身自动化</x:v>
      </x:c>
      <x:c r="C337" s="28" t="str">
        <x:v>在线检测、分析仪器与计量</x:v>
      </x:c>
      <x:c r="D337" s="28" t="str">
        <x:v>色谱、质谱与结构分析</x:v>
      </x:c>
      <x:c r="E337" s="28" t="str">
        <x:v>分析检测与计量</x:v>
      </x:c>
      <x:c r="F337" s="28" t="str">
        <x:v>XPS</x:v>
      </x:c>
      <x:c r="G337" s="28" t="str">
        <x:v>用“XPS”把化学/物理状态转成可追溯数字信号，并完成校准、质控、时间同步和不确定度表征。</x:v>
      </x:c>
      <x:c r="H337" s="28" t="str">
        <x:v>测量方法、校准状态、检出限、漂移与不确定度是否可追溯？</x:v>
      </x:c>
      <x:c r="I337" s="28" t="str">
        <x:v>准确度；精密度；LOD/LOQ；漂移；测量不确定度；校准有效率</x:v>
      </x:c>
      <x:c r="J337" s="64" t="str">
        <x:v>工程化关键</x:v>
      </x:c>
      <x:c r="K337" s="64" t="str">
        <x:v>P1</x:v>
      </x:c>
      <x:c r="L337" s="28" t="str">
        <x:v>S01; S03; S07; S19</x:v>
      </x:c>
      <x:c r="M337" s="28" t="str">
        <x:v>https://www.nature.com/articles/s41467-024-47210-x</x:v>
      </x:c>
    </x:row>
    <x:row r="338" ht="48" customHeight="1">
      <x:c r="A338" s="64" t="str">
        <x:v>T0337</x:v>
      </x:c>
      <x:c r="B338" s="28" t="str">
        <x:v>实验执行与具身自动化</x:v>
      </x:c>
      <x:c r="C338" s="28" t="str">
        <x:v>在线检测、分析仪器与计量</x:v>
      </x:c>
      <x:c r="D338" s="28" t="str">
        <x:v>色谱、质谱与结构分析</x:v>
      </x:c>
      <x:c r="E338" s="28" t="str">
        <x:v>分析检测与计量</x:v>
      </x:c>
      <x:c r="F338" s="28" t="str">
        <x:v>扫描电镜</x:v>
      </x:c>
      <x:c r="G338" s="28" t="str">
        <x:v>用“扫描电镜”把化学/物理状态转成可追溯数字信号，并完成校准、质控、时间同步和不确定度表征。</x:v>
      </x:c>
      <x:c r="H338" s="28" t="str">
        <x:v>测量方法、校准状态、检出限、漂移与不确定度是否可追溯？</x:v>
      </x:c>
      <x:c r="I338" s="28" t="str">
        <x:v>准确度；精密度；LOD/LOQ；漂移；测量不确定度；校准有效率</x:v>
      </x:c>
      <x:c r="J338" s="64" t="str">
        <x:v>工程化关键</x:v>
      </x:c>
      <x:c r="K338" s="64" t="str">
        <x:v>P1</x:v>
      </x:c>
      <x:c r="L338" s="28" t="str">
        <x:v>S01; S03; S07; S19</x:v>
      </x:c>
      <x:c r="M338" s="28" t="str">
        <x:v>https://pubs.acs.org/doi/10.1021/acs.chemrev.4c00055</x:v>
      </x:c>
    </x:row>
    <x:row r="339" ht="48" customHeight="1">
      <x:c r="A339" s="64" t="str">
        <x:v>T0338</x:v>
      </x:c>
      <x:c r="B339" s="28" t="str">
        <x:v>实验执行与具身自动化</x:v>
      </x:c>
      <x:c r="C339" s="28" t="str">
        <x:v>在线检测、分析仪器与计量</x:v>
      </x:c>
      <x:c r="D339" s="28" t="str">
        <x:v>色谱、质谱与结构分析</x:v>
      </x:c>
      <x:c r="E339" s="28" t="str">
        <x:v>分析检测与计量</x:v>
      </x:c>
      <x:c r="F339" s="28" t="str">
        <x:v>透射电镜</x:v>
      </x:c>
      <x:c r="G339" s="28" t="str">
        <x:v>用“透射电镜”把化学/物理状态转成可追溯数字信号，并完成校准、质控、时间同步和不确定度表征。</x:v>
      </x:c>
      <x:c r="H339" s="28" t="str">
        <x:v>测量方法、校准状态、检出限、漂移与不确定度是否可追溯？</x:v>
      </x:c>
      <x:c r="I339" s="28" t="str">
        <x:v>准确度；精密度；LOD/LOQ；漂移；测量不确定度；校准有效率</x:v>
      </x:c>
      <x:c r="J339" s="64" t="str">
        <x:v>工程化关键</x:v>
      </x:c>
      <x:c r="K339" s="64" t="str">
        <x:v>P1</x:v>
      </x:c>
      <x:c r="L339" s="28" t="str">
        <x:v>S01; S03; S07; S19</x:v>
      </x:c>
      <x:c r="M339" s="28" t="str">
        <x:v>https://www.nature.com/articles/s41467-024-45569-5</x:v>
      </x:c>
    </x:row>
    <x:row r="340" ht="48" customHeight="1">
      <x:c r="A340" s="64" t="str">
        <x:v>T0339</x:v>
      </x:c>
      <x:c r="B340" s="28" t="str">
        <x:v>实验执行与具身自动化</x:v>
      </x:c>
      <x:c r="C340" s="28" t="str">
        <x:v>在线检测、分析仪器与计量</x:v>
      </x:c>
      <x:c r="D340" s="28" t="str">
        <x:v>色谱、质谱与结构分析</x:v>
      </x:c>
      <x:c r="E340" s="28" t="str">
        <x:v>分析检测与计量</x:v>
      </x:c>
      <x:c r="F340" s="28" t="str">
        <x:v>原子力显微镜</x:v>
      </x:c>
      <x:c r="G340" s="28" t="str">
        <x:v>用“原子力显微镜”把化学/物理状态转成可追溯数字信号，并完成校准、质控、时间同步和不确定度表征。</x:v>
      </x:c>
      <x:c r="H340" s="28" t="str">
        <x:v>测量方法、校准状态、检出限、漂移与不确定度是否可追溯？</x:v>
      </x:c>
      <x:c r="I340" s="28" t="str">
        <x:v>准确度；精密度；LOD/LOQ；漂移；测量不确定度；校准有效率</x:v>
      </x:c>
      <x:c r="J340" s="64" t="str">
        <x:v>工程化关键</x:v>
      </x:c>
      <x:c r="K340" s="64" t="str">
        <x:v>P1</x:v>
      </x:c>
      <x:c r="L340" s="28" t="str">
        <x:v>S01; S03; S07; S19</x:v>
      </x:c>
      <x:c r="M340" s="28" t="str">
        <x:v>https://www.nature.com/articles/s41586-023-06734-w</x:v>
      </x:c>
    </x:row>
    <x:row r="341" ht="48" customHeight="1">
      <x:c r="A341" s="64" t="str">
        <x:v>T0340</x:v>
      </x:c>
      <x:c r="B341" s="28" t="str">
        <x:v>实验执行与具身自动化</x:v>
      </x:c>
      <x:c r="C341" s="28" t="str">
        <x:v>在线检测、分析仪器与计量</x:v>
      </x:c>
      <x:c r="D341" s="28" t="str">
        <x:v>色谱、质谱与结构分析</x:v>
      </x:c>
      <x:c r="E341" s="28" t="str">
        <x:v>分析检测与计量</x:v>
      </x:c>
      <x:c r="F341" s="28" t="str">
        <x:v>光学显微镜</x:v>
      </x:c>
      <x:c r="G341" s="28" t="str">
        <x:v>用“光学显微镜”把化学/物理状态转成可追溯数字信号，并完成校准、质控、时间同步和不确定度表征。</x:v>
      </x:c>
      <x:c r="H341" s="28" t="str">
        <x:v>测量方法、校准状态、检出限、漂移与不确定度是否可追溯？</x:v>
      </x:c>
      <x:c r="I341" s="28" t="str">
        <x:v>准确度；精密度；LOD/LOQ；漂移；测量不确定度；校准有效率</x:v>
      </x:c>
      <x:c r="J341" s="64" t="str">
        <x:v>工程化关键</x:v>
      </x:c>
      <x:c r="K341" s="64" t="str">
        <x:v>P1</x:v>
      </x:c>
      <x:c r="L341" s="28" t="str">
        <x:v>S01; S03; S07; S19</x:v>
      </x:c>
      <x:c r="M341" s="28" t="str">
        <x:v>https://www.nature.com/articles/s41467-024-47210-x</x:v>
      </x:c>
    </x:row>
    <x:row r="342" ht="48" customHeight="1">
      <x:c r="A342" s="64" t="str">
        <x:v>T0341</x:v>
      </x:c>
      <x:c r="B342" s="28" t="str">
        <x:v>实验执行与具身自动化</x:v>
      </x:c>
      <x:c r="C342" s="28" t="str">
        <x:v>在线检测、分析仪器与计量</x:v>
      </x:c>
      <x:c r="D342" s="28" t="str">
        <x:v>显微、粒径与电化学</x:v>
      </x:c>
      <x:c r="E342" s="28" t="str">
        <x:v>分析检测与计量</x:v>
      </x:c>
      <x:c r="F342" s="28" t="str">
        <x:v>高光谱成像</x:v>
      </x:c>
      <x:c r="G342" s="28" t="str">
        <x:v>用“高光谱成像”把化学/物理状态转成可追溯数字信号，并完成校准、质控、时间同步和不确定度表征。</x:v>
      </x:c>
      <x:c r="H342" s="28" t="str">
        <x:v>测量方法、校准状态、检出限、漂移与不确定度是否可追溯？</x:v>
      </x:c>
      <x:c r="I342" s="28" t="str">
        <x:v>准确度；精密度；LOD/LOQ；漂移；测量不确定度；校准有效率</x:v>
      </x:c>
      <x:c r="J342" s="64" t="str">
        <x:v>工程化关键</x:v>
      </x:c>
      <x:c r="K342" s="64" t="str">
        <x:v>P1</x:v>
      </x:c>
      <x:c r="L342" s="28" t="str">
        <x:v>S01; S03; S07; S19</x:v>
      </x:c>
      <x:c r="M342" s="28" t="str">
        <x:v>https://pubs.acs.org/doi/10.1021/acs.chemrev.4c00055</x:v>
      </x:c>
    </x:row>
    <x:row r="343" ht="48" customHeight="1">
      <x:c r="A343" s="64" t="str">
        <x:v>T0342</x:v>
      </x:c>
      <x:c r="B343" s="28" t="str">
        <x:v>实验执行与具身自动化</x:v>
      </x:c>
      <x:c r="C343" s="28" t="str">
        <x:v>在线检测、分析仪器与计量</x:v>
      </x:c>
      <x:c r="D343" s="28" t="str">
        <x:v>显微、粒径与电化学</x:v>
      </x:c>
      <x:c r="E343" s="28" t="str">
        <x:v>分析检测与计量</x:v>
      </x:c>
      <x:c r="F343" s="28" t="str">
        <x:v>红外热像</x:v>
      </x:c>
      <x:c r="G343" s="28" t="str">
        <x:v>用“红外热像”把化学/物理状态转成可追溯数字信号，并完成校准、质控、时间同步和不确定度表征。</x:v>
      </x:c>
      <x:c r="H343" s="28" t="str">
        <x:v>测量方法、校准状态、检出限、漂移与不确定度是否可追溯？</x:v>
      </x:c>
      <x:c r="I343" s="28" t="str">
        <x:v>准确度；精密度；LOD/LOQ；漂移；测量不确定度；校准有效率</x:v>
      </x:c>
      <x:c r="J343" s="64" t="str">
        <x:v>工程化关键</x:v>
      </x:c>
      <x:c r="K343" s="64" t="str">
        <x:v>P1</x:v>
      </x:c>
      <x:c r="L343" s="28" t="str">
        <x:v>S01; S03; S07; S19</x:v>
      </x:c>
      <x:c r="M343" s="28" t="str">
        <x:v>https://www.nature.com/articles/s41467-024-45569-5</x:v>
      </x:c>
    </x:row>
    <x:row r="344" ht="48" customHeight="1">
      <x:c r="A344" s="64" t="str">
        <x:v>T0343</x:v>
      </x:c>
      <x:c r="B344" s="28" t="str">
        <x:v>实验执行与具身自动化</x:v>
      </x:c>
      <x:c r="C344" s="28" t="str">
        <x:v>在线检测、分析仪器与计量</x:v>
      </x:c>
      <x:c r="D344" s="28" t="str">
        <x:v>显微、粒径与电化学</x:v>
      </x:c>
      <x:c r="E344" s="28" t="str">
        <x:v>分析检测与计量</x:v>
      </x:c>
      <x:c r="F344" s="28" t="str">
        <x:v>电化学工作站</x:v>
      </x:c>
      <x:c r="G344" s="28" t="str">
        <x:v>用“电化学工作站”把化学/物理状态转成可追溯数字信号，并完成校准、质控、时间同步和不确定度表征。</x:v>
      </x:c>
      <x:c r="H344" s="28" t="str">
        <x:v>测量方法、校准状态、检出限、漂移与不确定度是否可追溯？</x:v>
      </x:c>
      <x:c r="I344" s="28" t="str">
        <x:v>准确度；精密度；LOD/LOQ；漂移；测量不确定度；校准有效率</x:v>
      </x:c>
      <x:c r="J344" s="64" t="str">
        <x:v>工程化关键</x:v>
      </x:c>
      <x:c r="K344" s="64" t="str">
        <x:v>P1</x:v>
      </x:c>
      <x:c r="L344" s="28" t="str">
        <x:v>S01; S03; S07; S19</x:v>
      </x:c>
      <x:c r="M344" s="28" t="str">
        <x:v>https://www.nature.com/articles/s41586-023-06734-w</x:v>
      </x:c>
    </x:row>
    <x:row r="345" ht="48" customHeight="1">
      <x:c r="A345" s="64" t="str">
        <x:v>T0344</x:v>
      </x:c>
      <x:c r="B345" s="28" t="str">
        <x:v>实验执行与具身自动化</x:v>
      </x:c>
      <x:c r="C345" s="28" t="str">
        <x:v>在线检测、分析仪器与计量</x:v>
      </x:c>
      <x:c r="D345" s="28" t="str">
        <x:v>显微、粒径与电化学</x:v>
      </x:c>
      <x:c r="E345" s="28" t="str">
        <x:v>分析检测与计量</x:v>
      </x:c>
      <x:c r="F345" s="28" t="str">
        <x:v>流变仪</x:v>
      </x:c>
      <x:c r="G345" s="28" t="str">
        <x:v>用“流变仪”把化学/物理状态转成可追溯数字信号，并完成校准、质控、时间同步和不确定度表征。</x:v>
      </x:c>
      <x:c r="H345" s="28" t="str">
        <x:v>测量方法、校准状态、检出限、漂移与不确定度是否可追溯？</x:v>
      </x:c>
      <x:c r="I345" s="28" t="str">
        <x:v>准确度；精密度；LOD/LOQ；漂移；测量不确定度；校准有效率</x:v>
      </x:c>
      <x:c r="J345" s="64" t="str">
        <x:v>工程化关键</x:v>
      </x:c>
      <x:c r="K345" s="64" t="str">
        <x:v>P1</x:v>
      </x:c>
      <x:c r="L345" s="28" t="str">
        <x:v>S01; S03; S07; S19</x:v>
      </x:c>
      <x:c r="M345" s="28" t="str">
        <x:v>https://www.nature.com/articles/s41467-024-47210-x</x:v>
      </x:c>
    </x:row>
    <x:row r="346" ht="48" customHeight="1">
      <x:c r="A346" s="64" t="str">
        <x:v>T0345</x:v>
      </x:c>
      <x:c r="B346" s="28" t="str">
        <x:v>实验执行与具身自动化</x:v>
      </x:c>
      <x:c r="C346" s="28" t="str">
        <x:v>在线检测、分析仪器与计量</x:v>
      </x:c>
      <x:c r="D346" s="28" t="str">
        <x:v>显微、粒径与电化学</x:v>
      </x:c>
      <x:c r="E346" s="28" t="str">
        <x:v>分析检测与计量</x:v>
      </x:c>
      <x:c r="F346" s="28" t="str">
        <x:v>粒度仪</x:v>
      </x:c>
      <x:c r="G346" s="28" t="str">
        <x:v>用“粒度仪”把化学/物理状态转成可追溯数字信号，并完成校准、质控、时间同步和不确定度表征。</x:v>
      </x:c>
      <x:c r="H346" s="28" t="str">
        <x:v>测量方法、校准状态、检出限、漂移与不确定度是否可追溯？</x:v>
      </x:c>
      <x:c r="I346" s="28" t="str">
        <x:v>准确度；精密度；LOD/LOQ；漂移；测量不确定度；校准有效率</x:v>
      </x:c>
      <x:c r="J346" s="64" t="str">
        <x:v>工程化关键</x:v>
      </x:c>
      <x:c r="K346" s="64" t="str">
        <x:v>P1</x:v>
      </x:c>
      <x:c r="L346" s="28" t="str">
        <x:v>S01; S03; S07; S19</x:v>
      </x:c>
      <x:c r="M346" s="28" t="str">
        <x:v>https://pubs.acs.org/doi/10.1021/acs.chemrev.4c00055</x:v>
      </x:c>
    </x:row>
    <x:row r="347" ht="48" customHeight="1">
      <x:c r="A347" s="64" t="str">
        <x:v>T0346</x:v>
      </x:c>
      <x:c r="B347" s="28" t="str">
        <x:v>实验执行与具身自动化</x:v>
      </x:c>
      <x:c r="C347" s="28" t="str">
        <x:v>在线检测、分析仪器与计量</x:v>
      </x:c>
      <x:c r="D347" s="28" t="str">
        <x:v>显微、粒径与电化学</x:v>
      </x:c>
      <x:c r="E347" s="28" t="str">
        <x:v>分析检测与计量</x:v>
      </x:c>
      <x:c r="F347" s="28" t="str">
        <x:v>动态光散射</x:v>
      </x:c>
      <x:c r="G347" s="28" t="str">
        <x:v>用“动态光散射”把化学/物理状态转成可追溯数字信号，并完成校准、质控、时间同步和不确定度表征。</x:v>
      </x:c>
      <x:c r="H347" s="28" t="str">
        <x:v>测量方法、校准状态、检出限、漂移与不确定度是否可追溯？</x:v>
      </x:c>
      <x:c r="I347" s="28" t="str">
        <x:v>准确度；精密度；LOD/LOQ；漂移；测量不确定度；校准有效率</x:v>
      </x:c>
      <x:c r="J347" s="64" t="str">
        <x:v>工程化关键</x:v>
      </x:c>
      <x:c r="K347" s="64" t="str">
        <x:v>P1</x:v>
      </x:c>
      <x:c r="L347" s="28" t="str">
        <x:v>S01; S03; S07; S19</x:v>
      </x:c>
      <x:c r="M347" s="28" t="str">
        <x:v>https://www.nature.com/articles/s41467-024-45569-5</x:v>
      </x:c>
    </x:row>
    <x:row r="348" ht="48" customHeight="1">
      <x:c r="A348" s="64" t="str">
        <x:v>T0347</x:v>
      </x:c>
      <x:c r="B348" s="28" t="str">
        <x:v>实验执行与具身自动化</x:v>
      </x:c>
      <x:c r="C348" s="28" t="str">
        <x:v>在线检测、分析仪器与计量</x:v>
      </x:c>
      <x:c r="D348" s="28" t="str">
        <x:v>显微、粒径与电化学</x:v>
      </x:c>
      <x:c r="E348" s="28" t="str">
        <x:v>分析检测与计量</x:v>
      </x:c>
      <x:c r="F348" s="28" t="str">
        <x:v>Zeta电位</x:v>
      </x:c>
      <x:c r="G348" s="28" t="str">
        <x:v>用“Zeta电位”把化学/物理状态转成可追溯数字信号，并完成校准、质控、时间同步和不确定度表征。</x:v>
      </x:c>
      <x:c r="H348" s="28" t="str">
        <x:v>测量方法、校准状态、检出限、漂移与不确定度是否可追溯？</x:v>
      </x:c>
      <x:c r="I348" s="28" t="str">
        <x:v>准确度；精密度；LOD/LOQ；漂移；测量不确定度；校准有效率</x:v>
      </x:c>
      <x:c r="J348" s="64" t="str">
        <x:v>工程化关键</x:v>
      </x:c>
      <x:c r="K348" s="64" t="str">
        <x:v>P1</x:v>
      </x:c>
      <x:c r="L348" s="28" t="str">
        <x:v>S01; S03; S07; S19</x:v>
      </x:c>
      <x:c r="M348" s="28" t="str">
        <x:v>https://www.nature.com/articles/s41586-023-06734-w</x:v>
      </x:c>
    </x:row>
    <x:row r="349" ht="48" customHeight="1">
      <x:c r="A349" s="64" t="str">
        <x:v>T0348</x:v>
      </x:c>
      <x:c r="B349" s="28" t="str">
        <x:v>实验执行与具身自动化</x:v>
      </x:c>
      <x:c r="C349" s="28" t="str">
        <x:v>在线检测、分析仪器与计量</x:v>
      </x:c>
      <x:c r="D349" s="28" t="str">
        <x:v>显微、粒径与电化学</x:v>
      </x:c>
      <x:c r="E349" s="28" t="str">
        <x:v>分析检测与计量</x:v>
      </x:c>
      <x:c r="F349" s="28" t="str">
        <x:v>pH传感</x:v>
      </x:c>
      <x:c r="G349" s="28" t="str">
        <x:v>用“pH传感”把化学/物理状态转成可追溯数字信号，并完成校准、质控、时间同步和不确定度表征。</x:v>
      </x:c>
      <x:c r="H349" s="28" t="str">
        <x:v>测量方法、校准状态、检出限、漂移与不确定度是否可追溯？</x:v>
      </x:c>
      <x:c r="I349" s="28" t="str">
        <x:v>准确度；精密度；LOD/LOQ；漂移；测量不确定度；校准有效率</x:v>
      </x:c>
      <x:c r="J349" s="64" t="str">
        <x:v>工程化关键</x:v>
      </x:c>
      <x:c r="K349" s="64" t="str">
        <x:v>P1</x:v>
      </x:c>
      <x:c r="L349" s="28" t="str">
        <x:v>S01; S03; S07; S19</x:v>
      </x:c>
      <x:c r="M349" s="28" t="str">
        <x:v>https://www.nature.com/articles/s41467-024-47210-x</x:v>
      </x:c>
    </x:row>
    <x:row r="350" ht="48" customHeight="1">
      <x:c r="A350" s="64" t="str">
        <x:v>T0349</x:v>
      </x:c>
      <x:c r="B350" s="28" t="str">
        <x:v>实验执行与具身自动化</x:v>
      </x:c>
      <x:c r="C350" s="28" t="str">
        <x:v>在线检测、分析仪器与计量</x:v>
      </x:c>
      <x:c r="D350" s="28" t="str">
        <x:v>显微、粒径与电化学</x:v>
      </x:c>
      <x:c r="E350" s="28" t="str">
        <x:v>分析检测与计量</x:v>
      </x:c>
      <x:c r="F350" s="28" t="str">
        <x:v>电导率</x:v>
      </x:c>
      <x:c r="G350" s="28" t="str">
        <x:v>用“电导率”把化学/物理状态转成可追溯数字信号，并完成校准、质控、时间同步和不确定度表征。</x:v>
      </x:c>
      <x:c r="H350" s="28" t="str">
        <x:v>测量方法、校准状态、检出限、漂移与不确定度是否可追溯？</x:v>
      </x:c>
      <x:c r="I350" s="28" t="str">
        <x:v>准确度；精密度；LOD/LOQ；漂移；测量不确定度；校准有效率</x:v>
      </x:c>
      <x:c r="J350" s="64" t="str">
        <x:v>进阶能力</x:v>
      </x:c>
      <x:c r="K350" s="64" t="str">
        <x:v>P2</x:v>
      </x:c>
      <x:c r="L350" s="28" t="str">
        <x:v>S01; S03; S07; S19</x:v>
      </x:c>
      <x:c r="M350" s="28" t="str">
        <x:v>https://pubs.acs.org/doi/10.1021/acs.chemrev.4c00055</x:v>
      </x:c>
    </x:row>
    <x:row r="351" ht="48" customHeight="1">
      <x:c r="A351" s="64" t="str">
        <x:v>T0350</x:v>
      </x:c>
      <x:c r="B351" s="28" t="str">
        <x:v>实验执行与具身自动化</x:v>
      </x:c>
      <x:c r="C351" s="28" t="str">
        <x:v>在线检测、分析仪器与计量</x:v>
      </x:c>
      <x:c r="D351" s="28" t="str">
        <x:v>显微、粒径与电化学</x:v>
      </x:c>
      <x:c r="E351" s="28" t="str">
        <x:v>分析检测与计量</x:v>
      </x:c>
      <x:c r="F351" s="28" t="str">
        <x:v>溶解氧</x:v>
      </x:c>
      <x:c r="G351" s="28" t="str">
        <x:v>用“溶解氧”把化学/物理状态转成可追溯数字信号，并完成校准、质控、时间同步和不确定度表征。</x:v>
      </x:c>
      <x:c r="H351" s="28" t="str">
        <x:v>测量方法、校准状态、检出限、漂移与不确定度是否可追溯？</x:v>
      </x:c>
      <x:c r="I351" s="28" t="str">
        <x:v>准确度；精密度；LOD/LOQ；漂移；测量不确定度；校准有效率</x:v>
      </x:c>
      <x:c r="J351" s="64" t="str">
        <x:v>进阶能力</x:v>
      </x:c>
      <x:c r="K351" s="64" t="str">
        <x:v>P2</x:v>
      </x:c>
      <x:c r="L351" s="28" t="str">
        <x:v>S01; S03; S07; S19</x:v>
      </x:c>
      <x:c r="M351" s="28" t="str">
        <x:v>https://www.nature.com/articles/s41467-024-45569-5</x:v>
      </x:c>
    </x:row>
    <x:row r="352" ht="48" customHeight="1">
      <x:c r="A352" s="64" t="str">
        <x:v>T0351</x:v>
      </x:c>
      <x:c r="B352" s="28" t="str">
        <x:v>实验执行与具身自动化</x:v>
      </x:c>
      <x:c r="C352" s="28" t="str">
        <x:v>在线检测、分析仪器与计量</x:v>
      </x:c>
      <x:c r="D352" s="28" t="str">
        <x:v>基础传感与计量溯源</x:v>
      </x:c>
      <x:c r="E352" s="28" t="str">
        <x:v>分析检测与计量</x:v>
      </x:c>
      <x:c r="F352" s="28" t="str">
        <x:v>水分测定</x:v>
      </x:c>
      <x:c r="G352" s="28" t="str">
        <x:v>用“水分测定”把化学/物理状态转成可追溯数字信号，并完成校准、质控、时间同步和不确定度表征。</x:v>
      </x:c>
      <x:c r="H352" s="28" t="str">
        <x:v>测量方法、校准状态、检出限、漂移与不确定度是否可追溯？</x:v>
      </x:c>
      <x:c r="I352" s="28" t="str">
        <x:v>准确度；精密度；LOD/LOQ；漂移；测量不确定度；校准有效率</x:v>
      </x:c>
      <x:c r="J352" s="64" t="str">
        <x:v>进阶能力</x:v>
      </x:c>
      <x:c r="K352" s="64" t="str">
        <x:v>P2</x:v>
      </x:c>
      <x:c r="L352" s="28" t="str">
        <x:v>S01; S03; S07; S19</x:v>
      </x:c>
      <x:c r="M352" s="28" t="str">
        <x:v>https://www.nature.com/articles/s41586-023-06734-w</x:v>
      </x:c>
    </x:row>
    <x:row r="353" ht="48" customHeight="1">
      <x:c r="A353" s="64" t="str">
        <x:v>T0352</x:v>
      </x:c>
      <x:c r="B353" s="28" t="str">
        <x:v>实验执行与具身自动化</x:v>
      </x:c>
      <x:c r="C353" s="28" t="str">
        <x:v>在线检测、分析仪器与计量</x:v>
      </x:c>
      <x:c r="D353" s="28" t="str">
        <x:v>基础传感与计量溯源</x:v>
      </x:c>
      <x:c r="E353" s="28" t="str">
        <x:v>分析检测与计量</x:v>
      </x:c>
      <x:c r="F353" s="28" t="str">
        <x:v>压力计量</x:v>
      </x:c>
      <x:c r="G353" s="28" t="str">
        <x:v>用“压力计量”把化学/物理状态转成可追溯数字信号，并完成校准、质控、时间同步和不确定度表征。</x:v>
      </x:c>
      <x:c r="H353" s="28" t="str">
        <x:v>测量方法、校准状态、检出限、漂移与不确定度是否可追溯？</x:v>
      </x:c>
      <x:c r="I353" s="28" t="str">
        <x:v>准确度；精密度；LOD/LOQ；漂移；测量不确定度；校准有效率</x:v>
      </x:c>
      <x:c r="J353" s="64" t="str">
        <x:v>进阶能力</x:v>
      </x:c>
      <x:c r="K353" s="64" t="str">
        <x:v>P2</x:v>
      </x:c>
      <x:c r="L353" s="28" t="str">
        <x:v>S01; S03; S07; S19</x:v>
      </x:c>
      <x:c r="M353" s="28" t="str">
        <x:v>https://www.nature.com/articles/s41467-024-47210-x</x:v>
      </x:c>
    </x:row>
    <x:row r="354" ht="48" customHeight="1">
      <x:c r="A354" s="64" t="str">
        <x:v>T0353</x:v>
      </x:c>
      <x:c r="B354" s="28" t="str">
        <x:v>实验执行与具身自动化</x:v>
      </x:c>
      <x:c r="C354" s="28" t="str">
        <x:v>在线检测、分析仪器与计量</x:v>
      </x:c>
      <x:c r="D354" s="28" t="str">
        <x:v>基础传感与计量溯源</x:v>
      </x:c>
      <x:c r="E354" s="28" t="str">
        <x:v>分析检测与计量</x:v>
      </x:c>
      <x:c r="F354" s="28" t="str">
        <x:v>温度计量</x:v>
      </x:c>
      <x:c r="G354" s="28" t="str">
        <x:v>用“温度计量”把化学/物理状态转成可追溯数字信号，并完成校准、质控、时间同步和不确定度表征。</x:v>
      </x:c>
      <x:c r="H354" s="28" t="str">
        <x:v>测量方法、校准状态、检出限、漂移与不确定度是否可追溯？</x:v>
      </x:c>
      <x:c r="I354" s="28" t="str">
        <x:v>准确度；精密度；LOD/LOQ；漂移；测量不确定度；校准有效率</x:v>
      </x:c>
      <x:c r="J354" s="64" t="str">
        <x:v>进阶能力</x:v>
      </x:c>
      <x:c r="K354" s="64" t="str">
        <x:v>P2</x:v>
      </x:c>
      <x:c r="L354" s="28" t="str">
        <x:v>S01; S03; S07; S19</x:v>
      </x:c>
      <x:c r="M354" s="28" t="str">
        <x:v>https://pubs.acs.org/doi/10.1021/acs.chemrev.4c00055</x:v>
      </x:c>
    </x:row>
    <x:row r="355" ht="48" customHeight="1">
      <x:c r="A355" s="64" t="str">
        <x:v>T0354</x:v>
      </x:c>
      <x:c r="B355" s="28" t="str">
        <x:v>实验执行与具身自动化</x:v>
      </x:c>
      <x:c r="C355" s="28" t="str">
        <x:v>在线检测、分析仪器与计量</x:v>
      </x:c>
      <x:c r="D355" s="28" t="str">
        <x:v>基础传感与计量溯源</x:v>
      </x:c>
      <x:c r="E355" s="28" t="str">
        <x:v>分析检测与计量</x:v>
      </x:c>
      <x:c r="F355" s="28" t="str">
        <x:v>质量计量</x:v>
      </x:c>
      <x:c r="G355" s="28" t="str">
        <x:v>用“质量计量”把化学/物理状态转成可追溯数字信号，并完成校准、质控、时间同步和不确定度表征。</x:v>
      </x:c>
      <x:c r="H355" s="28" t="str">
        <x:v>测量方法、校准状态、检出限、漂移与不确定度是否可追溯？</x:v>
      </x:c>
      <x:c r="I355" s="28" t="str">
        <x:v>准确度；精密度；LOD/LOQ；漂移；测量不确定度；校准有效率</x:v>
      </x:c>
      <x:c r="J355" s="64" t="str">
        <x:v>进阶能力</x:v>
      </x:c>
      <x:c r="K355" s="64" t="str">
        <x:v>P2</x:v>
      </x:c>
      <x:c r="L355" s="28" t="str">
        <x:v>S01; S03; S07; S19</x:v>
      </x:c>
      <x:c r="M355" s="28" t="str">
        <x:v>https://www.nature.com/articles/s41467-024-45569-5</x:v>
      </x:c>
    </x:row>
    <x:row r="356" ht="48" customHeight="1">
      <x:c r="A356" s="64" t="str">
        <x:v>T0355</x:v>
      </x:c>
      <x:c r="B356" s="28" t="str">
        <x:v>实验执行与具身自动化</x:v>
      </x:c>
      <x:c r="C356" s="28" t="str">
        <x:v>在线检测、分析仪器与计量</x:v>
      </x:c>
      <x:c r="D356" s="28" t="str">
        <x:v>基础传感与计量溯源</x:v>
      </x:c>
      <x:c r="E356" s="28" t="str">
        <x:v>分析检测与计量</x:v>
      </x:c>
      <x:c r="F356" s="28" t="str">
        <x:v>流量计量</x:v>
      </x:c>
      <x:c r="G356" s="28" t="str">
        <x:v>用“流量计量”把化学/物理状态转成可追溯数字信号，并完成校准、质控、时间同步和不确定度表征。</x:v>
      </x:c>
      <x:c r="H356" s="28" t="str">
        <x:v>测量方法、校准状态、检出限、漂移与不确定度是否可追溯？</x:v>
      </x:c>
      <x:c r="I356" s="28" t="str">
        <x:v>准确度；精密度；LOD/LOQ；漂移；测量不确定度；校准有效率</x:v>
      </x:c>
      <x:c r="J356" s="64" t="str">
        <x:v>进阶能力</x:v>
      </x:c>
      <x:c r="K356" s="64" t="str">
        <x:v>P2</x:v>
      </x:c>
      <x:c r="L356" s="28" t="str">
        <x:v>S01; S03; S07; S19</x:v>
      </x:c>
      <x:c r="M356" s="28" t="str">
        <x:v>https://www.nature.com/articles/s41586-023-06734-w</x:v>
      </x:c>
    </x:row>
    <x:row r="357" ht="48" customHeight="1">
      <x:c r="A357" s="64" t="str">
        <x:v>T0356</x:v>
      </x:c>
      <x:c r="B357" s="28" t="str">
        <x:v>实验执行与具身自动化</x:v>
      </x:c>
      <x:c r="C357" s="28" t="str">
        <x:v>在线检测、分析仪器与计量</x:v>
      </x:c>
      <x:c r="D357" s="28" t="str">
        <x:v>基础传感与计量溯源</x:v>
      </x:c>
      <x:c r="E357" s="28" t="str">
        <x:v>分析检测与计量</x:v>
      </x:c>
      <x:c r="F357" s="28" t="str">
        <x:v>扭矩传感</x:v>
      </x:c>
      <x:c r="G357" s="28" t="str">
        <x:v>用“扭矩传感”把化学/物理状态转成可追溯数字信号，并完成校准、质控、时间同步和不确定度表征。</x:v>
      </x:c>
      <x:c r="H357" s="28" t="str">
        <x:v>测量方法、校准状态、检出限、漂移与不确定度是否可追溯？</x:v>
      </x:c>
      <x:c r="I357" s="28" t="str">
        <x:v>准确度；精密度；LOD/LOQ；漂移；测量不确定度；校准有效率</x:v>
      </x:c>
      <x:c r="J357" s="64" t="str">
        <x:v>进阶能力</x:v>
      </x:c>
      <x:c r="K357" s="64" t="str">
        <x:v>P2</x:v>
      </x:c>
      <x:c r="L357" s="28" t="str">
        <x:v>S01; S03; S07; S19</x:v>
      </x:c>
      <x:c r="M357" s="28" t="str">
        <x:v>https://www.nature.com/articles/s41467-024-47210-x</x:v>
      </x:c>
    </x:row>
    <x:row r="358" ht="48" customHeight="1">
      <x:c r="A358" s="64" t="str">
        <x:v>T0357</x:v>
      </x:c>
      <x:c r="B358" s="28" t="str">
        <x:v>实验执行与具身自动化</x:v>
      </x:c>
      <x:c r="C358" s="28" t="str">
        <x:v>在线检测、分析仪器与计量</x:v>
      </x:c>
      <x:c r="D358" s="28" t="str">
        <x:v>基础传感与计量溯源</x:v>
      </x:c>
      <x:c r="E358" s="28" t="str">
        <x:v>分析检测与计量</x:v>
      </x:c>
      <x:c r="F358" s="28" t="str">
        <x:v>声发射</x:v>
      </x:c>
      <x:c r="G358" s="28" t="str">
        <x:v>用“声发射”把化学/物理状态转成可追溯数字信号，并完成校准、质控、时间同步和不确定度表征。</x:v>
      </x:c>
      <x:c r="H358" s="28" t="str">
        <x:v>测量方法、校准状态、检出限、漂移与不确定度是否可追溯？</x:v>
      </x:c>
      <x:c r="I358" s="28" t="str">
        <x:v>准确度；精密度；LOD/LOQ；漂移；测量不确定度；校准有效率</x:v>
      </x:c>
      <x:c r="J358" s="64" t="str">
        <x:v>前沿能力</x:v>
      </x:c>
      <x:c r="K358" s="64" t="str">
        <x:v>P2</x:v>
      </x:c>
      <x:c r="L358" s="28" t="str">
        <x:v>S01; S03; S07; S19</x:v>
      </x:c>
      <x:c r="M358" s="28" t="str">
        <x:v>https://pubs.acs.org/doi/10.1021/acs.chemrev.4c00055</x:v>
      </x:c>
    </x:row>
    <x:row r="359" ht="48" customHeight="1">
      <x:c r="A359" s="64" t="str">
        <x:v>T0358</x:v>
      </x:c>
      <x:c r="B359" s="28" t="str">
        <x:v>实验执行与具身自动化</x:v>
      </x:c>
      <x:c r="C359" s="28" t="str">
        <x:v>在线检测、分析仪器与计量</x:v>
      </x:c>
      <x:c r="D359" s="28" t="str">
        <x:v>基础传感与计量溯源</x:v>
      </x:c>
      <x:c r="E359" s="28" t="str">
        <x:v>分析检测与计量</x:v>
      </x:c>
      <x:c r="F359" s="28" t="str">
        <x:v>气体传感器</x:v>
      </x:c>
      <x:c r="G359" s="28" t="str">
        <x:v>用“气体传感器”把化学/物理状态转成可追溯数字信号，并完成校准、质控、时间同步和不确定度表征。</x:v>
      </x:c>
      <x:c r="H359" s="28" t="str">
        <x:v>测量方法、校准状态、检出限、漂移与不确定度是否可追溯？</x:v>
      </x:c>
      <x:c r="I359" s="28" t="str">
        <x:v>准确度；精密度；LOD/LOQ；漂移；测量不确定度；校准有效率</x:v>
      </x:c>
      <x:c r="J359" s="64" t="str">
        <x:v>前沿能力</x:v>
      </x:c>
      <x:c r="K359" s="64" t="str">
        <x:v>P2</x:v>
      </x:c>
      <x:c r="L359" s="28" t="str">
        <x:v>S01; S03; S07; S19</x:v>
      </x:c>
      <x:c r="M359" s="28" t="str">
        <x:v>https://www.nature.com/articles/s41467-024-45569-5</x:v>
      </x:c>
    </x:row>
    <x:row r="360" ht="48" customHeight="1">
      <x:c r="A360" s="64" t="str">
        <x:v>T0359</x:v>
      </x:c>
      <x:c r="B360" s="28" t="str">
        <x:v>实验执行与具身自动化</x:v>
      </x:c>
      <x:c r="C360" s="28" t="str">
        <x:v>在线检测、分析仪器与计量</x:v>
      </x:c>
      <x:c r="D360" s="28" t="str">
        <x:v>基础传感与计量溯源</x:v>
      </x:c>
      <x:c r="E360" s="28" t="str">
        <x:v>分析检测与计量</x:v>
      </x:c>
      <x:c r="F360" s="28" t="str">
        <x:v>生物传感器</x:v>
      </x:c>
      <x:c r="G360" s="28" t="str">
        <x:v>用“生物传感器”把化学/物理状态转成可追溯数字信号，并完成校准、质控、时间同步和不确定度表征。</x:v>
      </x:c>
      <x:c r="H360" s="28" t="str">
        <x:v>测量方法、校准状态、检出限、漂移与不确定度是否可追溯？</x:v>
      </x:c>
      <x:c r="I360" s="28" t="str">
        <x:v>准确度；精密度；LOD/LOQ；漂移；测量不确定度；校准有效率</x:v>
      </x:c>
      <x:c r="J360" s="64" t="str">
        <x:v>前沿能力</x:v>
      </x:c>
      <x:c r="K360" s="64" t="str">
        <x:v>P2</x:v>
      </x:c>
      <x:c r="L360" s="28" t="str">
        <x:v>S01; S03; S07; S19</x:v>
      </x:c>
      <x:c r="M360" s="28" t="str">
        <x:v>https://www.nature.com/articles/s41586-023-06734-w</x:v>
      </x:c>
    </x:row>
    <x:row r="361" ht="48" customHeight="1">
      <x:c r="A361" s="64" t="str">
        <x:v>T0360</x:v>
      </x:c>
      <x:c r="B361" s="28" t="str">
        <x:v>实验执行与具身自动化</x:v>
      </x:c>
      <x:c r="C361" s="28" t="str">
        <x:v>在线检测、分析仪器与计量</x:v>
      </x:c>
      <x:c r="D361" s="28" t="str">
        <x:v>基础传感与计量溯源</x:v>
      </x:c>
      <x:c r="E361" s="28" t="str">
        <x:v>分析检测与计量</x:v>
      </x:c>
      <x:c r="F361" s="28" t="str">
        <x:v>计量溯源</x:v>
      </x:c>
      <x:c r="G361" s="28" t="str">
        <x:v>用“计量溯源”把化学/物理状态转成可追溯数字信号，并完成校准、质控、时间同步和不确定度表征。</x:v>
      </x:c>
      <x:c r="H361" s="28" t="str">
        <x:v>测量方法、校准状态、检出限、漂移与不确定度是否可追溯？</x:v>
      </x:c>
      <x:c r="I361" s="28" t="str">
        <x:v>准确度；精密度；LOD/LOQ；漂移；测量不确定度；校准有效率</x:v>
      </x:c>
      <x:c r="J361" s="64" t="str">
        <x:v>前沿能力</x:v>
      </x:c>
      <x:c r="K361" s="64" t="str">
        <x:v>P2</x:v>
      </x:c>
      <x:c r="L361" s="28" t="str">
        <x:v>S01; S03; S07; S19</x:v>
      </x:c>
      <x:c r="M361" s="28" t="str">
        <x:v>https://www.nature.com/articles/s41467-024-47210-x</x:v>
      </x:c>
    </x:row>
    <x:row r="362" ht="48" customHeight="1">
      <x:c r="A362" s="64" t="str">
        <x:v>T0361</x:v>
      </x:c>
      <x:c r="B362" s="28" t="str">
        <x:v>实验执行与具身自动化</x:v>
      </x:c>
      <x:c r="C362" s="28" t="str">
        <x:v>机器视觉、多模态感知与异常检测</x:v>
      </x:c>
      <x:c r="D362" s="28" t="str">
        <x:v>成像标定与几何感知</x:v>
      </x:c>
      <x:c r="E362" s="28" t="str">
        <x:v>机器视觉与感知</x:v>
      </x:c>
      <x:c r="F362" s="28" t="str">
        <x:v>相机几何标定</x:v>
      </x:c>
      <x:c r="G362" s="28" t="str">
        <x:v>围绕“相机几何标定”构建可在复杂光照、透明/反光对象和时序过程下稳定工作的多模态感知能力。</x:v>
      </x:c>
      <x:c r="H362" s="28" t="str">
        <x:v>在域偏移、遮挡和异常场景下，误检/漏检及拒绝机制是否达标？</x:v>
      </x:c>
      <x:c r="I362" s="28" t="str">
        <x:v>准确率/F1；漏检率；误报率；检测延迟；OOD拒绝率；边缘推理时延</x:v>
      </x:c>
      <x:c r="J362" s="64" t="str">
        <x:v>基础能力</x:v>
      </x:c>
      <x:c r="K362" s="64" t="str">
        <x:v>P0</x:v>
      </x:c>
      <x:c r="L362" s="28" t="str">
        <x:v>S09; S52; S53; S62</x:v>
      </x:c>
      <x:c r="M362" s="28" t="str">
        <x:v>https://www.nature.com/articles/s41586-024-08173-7</x:v>
      </x:c>
    </x:row>
    <x:row r="363" ht="48" customHeight="1">
      <x:c r="A363" s="64" t="str">
        <x:v>T0362</x:v>
      </x:c>
      <x:c r="B363" s="28" t="str">
        <x:v>实验执行与具身自动化</x:v>
      </x:c>
      <x:c r="C363" s="28" t="str">
        <x:v>机器视觉、多模态感知与异常检测</x:v>
      </x:c>
      <x:c r="D363" s="28" t="str">
        <x:v>成像标定与几何感知</x:v>
      </x:c>
      <x:c r="E363" s="28" t="str">
        <x:v>机器视觉与感知</x:v>
      </x:c>
      <x:c r="F363" s="28" t="str">
        <x:v>色彩标定</x:v>
      </x:c>
      <x:c r="G363" s="28" t="str">
        <x:v>围绕“色彩标定”构建可在复杂光照、透明/反光对象和时序过程下稳定工作的多模态感知能力。</x:v>
      </x:c>
      <x:c r="H363" s="28" t="str">
        <x:v>在域偏移、遮挡和异常场景下，误检/漏检及拒绝机制是否达标？</x:v>
      </x:c>
      <x:c r="I363" s="28" t="str">
        <x:v>准确率/F1；漏检率；误报率；检测延迟；OOD拒绝率；边缘推理时延</x:v>
      </x:c>
      <x:c r="J363" s="64" t="str">
        <x:v>基础能力</x:v>
      </x:c>
      <x:c r="K363" s="64" t="str">
        <x:v>P0</x:v>
      </x:c>
      <x:c r="L363" s="28" t="str">
        <x:v>S09; S52; S53; S62</x:v>
      </x:c>
      <x:c r="M363" s="28" t="str">
        <x:v>https://www.nature.com/articles/s42004-025-01770-1</x:v>
      </x:c>
    </x:row>
    <x:row r="364" ht="48" customHeight="1">
      <x:c r="A364" s="64" t="str">
        <x:v>T0363</x:v>
      </x:c>
      <x:c r="B364" s="28" t="str">
        <x:v>实验执行与具身自动化</x:v>
      </x:c>
      <x:c r="C364" s="28" t="str">
        <x:v>机器视觉、多模态感知与异常检测</x:v>
      </x:c>
      <x:c r="D364" s="28" t="str">
        <x:v>成像标定与几何感知</x:v>
      </x:c>
      <x:c r="E364" s="28" t="str">
        <x:v>机器视觉与感知</x:v>
      </x:c>
      <x:c r="F364" s="28" t="str">
        <x:v>受控照明</x:v>
      </x:c>
      <x:c r="G364" s="28" t="str">
        <x:v>围绕“受控照明”构建可在复杂光照、透明/反光对象和时序过程下稳定工作的多模态感知能力。</x:v>
      </x:c>
      <x:c r="H364" s="28" t="str">
        <x:v>在域偏移、遮挡和异常场景下，误检/漏检及拒绝机制是否达标？</x:v>
      </x:c>
      <x:c r="I364" s="28" t="str">
        <x:v>准确率/F1；漏检率；误报率；检测延迟；OOD拒绝率；边缘推理时延</x:v>
      </x:c>
      <x:c r="J364" s="64" t="str">
        <x:v>基础能力</x:v>
      </x:c>
      <x:c r="K364" s="64" t="str">
        <x:v>P0</x:v>
      </x:c>
      <x:c r="L364" s="28" t="str">
        <x:v>S09; S52; S53; S62</x:v>
      </x:c>
      <x:c r="M364" s="28" t="str">
        <x:v>https://www.nature.com/articles/s41597-025-06060-y</x:v>
      </x:c>
    </x:row>
    <x:row r="365" ht="48" customHeight="1">
      <x:c r="A365" s="64" t="str">
        <x:v>T0364</x:v>
      </x:c>
      <x:c r="B365" s="28" t="str">
        <x:v>实验执行与具身自动化</x:v>
      </x:c>
      <x:c r="C365" s="28" t="str">
        <x:v>机器视觉、多模态感知与异常检测</x:v>
      </x:c>
      <x:c r="D365" s="28" t="str">
        <x:v>成像标定与几何感知</x:v>
      </x:c>
      <x:c r="E365" s="28" t="str">
        <x:v>机器视觉与感知</x:v>
      </x:c>
      <x:c r="F365" s="28" t="str">
        <x:v>RGB-D感知</x:v>
      </x:c>
      <x:c r="G365" s="28" t="str">
        <x:v>围绕“RGB-D感知”构建可在复杂光照、透明/反光对象和时序过程下稳定工作的多模态感知能力。</x:v>
      </x:c>
      <x:c r="H365" s="28" t="str">
        <x:v>在域偏移、遮挡和异常场景下，误检/漏检及拒绝机制是否达标？</x:v>
      </x:c>
      <x:c r="I365" s="28" t="str">
        <x:v>准确率/F1；漏检率；误报率；检测延迟；OOD拒绝率；边缘推理时延</x:v>
      </x:c>
      <x:c r="J365" s="64" t="str">
        <x:v>基础能力</x:v>
      </x:c>
      <x:c r="K365" s="64" t="str">
        <x:v>P0</x:v>
      </x:c>
      <x:c r="L365" s="28" t="str">
        <x:v>S09; S52; S53; S62</x:v>
      </x:c>
      <x:c r="M365" s="28" t="str">
        <x:v>https://www.aas.net.cn/cn/article/doi/10.16383/j.aas.c240364?viewType=HTML</x:v>
      </x:c>
    </x:row>
    <x:row r="366" ht="48" customHeight="1">
      <x:c r="A366" s="64" t="str">
        <x:v>T0365</x:v>
      </x:c>
      <x:c r="B366" s="28" t="str">
        <x:v>实验执行与具身自动化</x:v>
      </x:c>
      <x:c r="C366" s="28" t="str">
        <x:v>机器视觉、多模态感知与异常检测</x:v>
      </x:c>
      <x:c r="D366" s="28" t="str">
        <x:v>成像标定与几何感知</x:v>
      </x:c>
      <x:c r="E366" s="28" t="str">
        <x:v>机器视觉与感知</x:v>
      </x:c>
      <x:c r="F366" s="28" t="str">
        <x:v>双目视觉</x:v>
      </x:c>
      <x:c r="G366" s="28" t="str">
        <x:v>围绕“双目视觉”构建可在复杂光照、透明/反光对象和时序过程下稳定工作的多模态感知能力。</x:v>
      </x:c>
      <x:c r="H366" s="28" t="str">
        <x:v>在域偏移、遮挡和异常场景下，误检/漏检及拒绝机制是否达标？</x:v>
      </x:c>
      <x:c r="I366" s="28" t="str">
        <x:v>准确率/F1；漏检率；误报率；检测延迟；OOD拒绝率；边缘推理时延</x:v>
      </x:c>
      <x:c r="J366" s="64" t="str">
        <x:v>基础能力</x:v>
      </x:c>
      <x:c r="K366" s="64" t="str">
        <x:v>P0</x:v>
      </x:c>
      <x:c r="L366" s="28" t="str">
        <x:v>S09; S52; S53; S62</x:v>
      </x:c>
      <x:c r="M366" s="28" t="str">
        <x:v>https://www.nature.com/articles/s41586-024-08173-7</x:v>
      </x:c>
    </x:row>
    <x:row r="367" ht="48" customHeight="1">
      <x:c r="A367" s="64" t="str">
        <x:v>T0366</x:v>
      </x:c>
      <x:c r="B367" s="28" t="str">
        <x:v>实验执行与具身自动化</x:v>
      </x:c>
      <x:c r="C367" s="28" t="str">
        <x:v>机器视觉、多模态感知与异常检测</x:v>
      </x:c>
      <x:c r="D367" s="28" t="str">
        <x:v>成像标定与几何感知</x:v>
      </x:c>
      <x:c r="E367" s="28" t="str">
        <x:v>机器视觉与感知</x:v>
      </x:c>
      <x:c r="F367" s="28" t="str">
        <x:v>深度估计</x:v>
      </x:c>
      <x:c r="G367" s="28" t="str">
        <x:v>围绕“深度估计”构建可在复杂光照、透明/反光对象和时序过程下稳定工作的多模态感知能力。</x:v>
      </x:c>
      <x:c r="H367" s="28" t="str">
        <x:v>在域偏移、遮挡和异常场景下，误检/漏检及拒绝机制是否达标？</x:v>
      </x:c>
      <x:c r="I367" s="28" t="str">
        <x:v>准确率/F1；漏检率；误报率；检测延迟；OOD拒绝率；边缘推理时延</x:v>
      </x:c>
      <x:c r="J367" s="64" t="str">
        <x:v>基础能力</x:v>
      </x:c>
      <x:c r="K367" s="64" t="str">
        <x:v>P0</x:v>
      </x:c>
      <x:c r="L367" s="28" t="str">
        <x:v>S09; S52; S53; S62</x:v>
      </x:c>
      <x:c r="M367" s="28" t="str">
        <x:v>https://www.nature.com/articles/s42004-025-01770-1</x:v>
      </x:c>
    </x:row>
    <x:row r="368" ht="48" customHeight="1">
      <x:c r="A368" s="64" t="str">
        <x:v>T0367</x:v>
      </x:c>
      <x:c r="B368" s="28" t="str">
        <x:v>实验执行与具身自动化</x:v>
      </x:c>
      <x:c r="C368" s="28" t="str">
        <x:v>机器视觉、多模态感知与异常检测</x:v>
      </x:c>
      <x:c r="D368" s="28" t="str">
        <x:v>成像标定与几何感知</x:v>
      </x:c>
      <x:c r="E368" s="28" t="str">
        <x:v>机器视觉与感知</x:v>
      </x:c>
      <x:c r="F368" s="28" t="str">
        <x:v>语义分割</x:v>
      </x:c>
      <x:c r="G368" s="28" t="str">
        <x:v>围绕“语义分割”构建可在复杂光照、透明/反光对象和时序过程下稳定工作的多模态感知能力。</x:v>
      </x:c>
      <x:c r="H368" s="28" t="str">
        <x:v>在域偏移、遮挡和异常场景下，误检/漏检及拒绝机制是否达标？</x:v>
      </x:c>
      <x:c r="I368" s="28" t="str">
        <x:v>准确率/F1；漏检率；误报率；检测延迟；OOD拒绝率；边缘推理时延</x:v>
      </x:c>
      <x:c r="J368" s="64" t="str">
        <x:v>基础能力</x:v>
      </x:c>
      <x:c r="K368" s="64" t="str">
        <x:v>P0</x:v>
      </x:c>
      <x:c r="L368" s="28" t="str">
        <x:v>S09; S52; S53; S62</x:v>
      </x:c>
      <x:c r="M368" s="28" t="str">
        <x:v>https://www.nature.com/articles/s41597-025-06060-y</x:v>
      </x:c>
    </x:row>
    <x:row r="369" ht="48" customHeight="1">
      <x:c r="A369" s="64" t="str">
        <x:v>T0368</x:v>
      </x:c>
      <x:c r="B369" s="28" t="str">
        <x:v>实验执行与具身自动化</x:v>
      </x:c>
      <x:c r="C369" s="28" t="str">
        <x:v>机器视觉、多模态感知与异常检测</x:v>
      </x:c>
      <x:c r="D369" s="28" t="str">
        <x:v>成像标定与几何感知</x:v>
      </x:c>
      <x:c r="E369" s="28" t="str">
        <x:v>机器视觉与感知</x:v>
      </x:c>
      <x:c r="F369" s="28" t="str">
        <x:v>实例分割</x:v>
      </x:c>
      <x:c r="G369" s="28" t="str">
        <x:v>围绕“实例分割”构建可在复杂光照、透明/反光对象和时序过程下稳定工作的多模态感知能力。</x:v>
      </x:c>
      <x:c r="H369" s="28" t="str">
        <x:v>在域偏移、遮挡和异常场景下，误检/漏检及拒绝机制是否达标？</x:v>
      </x:c>
      <x:c r="I369" s="28" t="str">
        <x:v>准确率/F1；漏检率；误报率；检测延迟；OOD拒绝率；边缘推理时延</x:v>
      </x:c>
      <x:c r="J369" s="64" t="str">
        <x:v>基础能力</x:v>
      </x:c>
      <x:c r="K369" s="64" t="str">
        <x:v>P0</x:v>
      </x:c>
      <x:c r="L369" s="28" t="str">
        <x:v>S09; S52; S53; S62</x:v>
      </x:c>
      <x:c r="M369" s="28" t="str">
        <x:v>https://www.aas.net.cn/cn/article/doi/10.16383/j.aas.c240364?viewType=HTML</x:v>
      </x:c>
    </x:row>
    <x:row r="370" ht="48" customHeight="1">
      <x:c r="A370" s="64" t="str">
        <x:v>T0369</x:v>
      </x:c>
      <x:c r="B370" s="28" t="str">
        <x:v>实验执行与具身自动化</x:v>
      </x:c>
      <x:c r="C370" s="28" t="str">
        <x:v>机器视觉、多模态感知与异常检测</x:v>
      </x:c>
      <x:c r="D370" s="28" t="str">
        <x:v>成像标定与几何感知</x:v>
      </x:c>
      <x:c r="E370" s="28" t="str">
        <x:v>机器视觉与感知</x:v>
      </x:c>
      <x:c r="F370" s="28" t="str">
        <x:v>目标检测</x:v>
      </x:c>
      <x:c r="G370" s="28" t="str">
        <x:v>围绕“目标检测”构建可在复杂光照、透明/反光对象和时序过程下稳定工作的多模态感知能力。</x:v>
      </x:c>
      <x:c r="H370" s="28" t="str">
        <x:v>在域偏移、遮挡和异常场景下，误检/漏检及拒绝机制是否达标？</x:v>
      </x:c>
      <x:c r="I370" s="28" t="str">
        <x:v>准确率/F1；漏检率；误报率；检测延迟；OOD拒绝率；边缘推理时延</x:v>
      </x:c>
      <x:c r="J370" s="64" t="str">
        <x:v>基础能力</x:v>
      </x:c>
      <x:c r="K370" s="64" t="str">
        <x:v>P0</x:v>
      </x:c>
      <x:c r="L370" s="28" t="str">
        <x:v>S09; S52; S53; S62</x:v>
      </x:c>
      <x:c r="M370" s="28" t="str">
        <x:v>https://www.nature.com/articles/s41586-024-08173-7</x:v>
      </x:c>
    </x:row>
    <x:row r="371" ht="48" customHeight="1">
      <x:c r="A371" s="64" t="str">
        <x:v>T0370</x:v>
      </x:c>
      <x:c r="B371" s="28" t="str">
        <x:v>实验执行与具身自动化</x:v>
      </x:c>
      <x:c r="C371" s="28" t="str">
        <x:v>机器视觉、多模态感知与异常检测</x:v>
      </x:c>
      <x:c r="D371" s="28" t="str">
        <x:v>成像标定与几何感知</x:v>
      </x:c>
      <x:c r="E371" s="28" t="str">
        <x:v>机器视觉与感知</x:v>
      </x:c>
      <x:c r="F371" s="28" t="str">
        <x:v>多目标跟踪</x:v>
      </x:c>
      <x:c r="G371" s="28" t="str">
        <x:v>围绕“多目标跟踪”构建可在复杂光照、透明/反光对象和时序过程下稳定工作的多模态感知能力。</x:v>
      </x:c>
      <x:c r="H371" s="28" t="str">
        <x:v>在域偏移、遮挡和异常场景下，误检/漏检及拒绝机制是否达标？</x:v>
      </x:c>
      <x:c r="I371" s="28" t="str">
        <x:v>准确率/F1；漏检率；误报率；检测延迟；OOD拒绝率；边缘推理时延</x:v>
      </x:c>
      <x:c r="J371" s="64" t="str">
        <x:v>基础能力</x:v>
      </x:c>
      <x:c r="K371" s="64" t="str">
        <x:v>P0</x:v>
      </x:c>
      <x:c r="L371" s="28" t="str">
        <x:v>S09; S52; S53; S62</x:v>
      </x:c>
      <x:c r="M371" s="28" t="str">
        <x:v>https://www.nature.com/articles/s42004-025-01770-1</x:v>
      </x:c>
    </x:row>
    <x:row r="372" ht="48" customHeight="1">
      <x:c r="A372" s="64" t="str">
        <x:v>T0371</x:v>
      </x:c>
      <x:c r="B372" s="28" t="str">
        <x:v>实验执行与具身自动化</x:v>
      </x:c>
      <x:c r="C372" s="28" t="str">
        <x:v>机器视觉、多模态感知与异常检测</x:v>
      </x:c>
      <x:c r="D372" s="28" t="str">
        <x:v>对象、液体与粉体视觉</x:v>
      </x:c>
      <x:c r="E372" s="28" t="str">
        <x:v>机器视觉与感知</x:v>
      </x:c>
      <x:c r="F372" s="28" t="str">
        <x:v>六自由度位姿估计</x:v>
      </x:c>
      <x:c r="G372" s="28" t="str">
        <x:v>围绕“六自由度位姿估计”构建可在复杂光照、透明/反光对象和时序过程下稳定工作的多模态感知能力。</x:v>
      </x:c>
      <x:c r="H372" s="28" t="str">
        <x:v>在域偏移、遮挡和异常场景下，误检/漏检及拒绝机制是否达标？</x:v>
      </x:c>
      <x:c r="I372" s="28" t="str">
        <x:v>准确率/F1；漏检率；误报率；检测延迟；OOD拒绝率；边缘推理时延</x:v>
      </x:c>
      <x:c r="J372" s="64" t="str">
        <x:v>基础能力</x:v>
      </x:c>
      <x:c r="K372" s="64" t="str">
        <x:v>P1</x:v>
      </x:c>
      <x:c r="L372" s="28" t="str">
        <x:v>S09; S52; S53; S62</x:v>
      </x:c>
      <x:c r="M372" s="28" t="str">
        <x:v>https://www.nature.com/articles/s41597-025-06060-y</x:v>
      </x:c>
    </x:row>
    <x:row r="373" ht="48" customHeight="1">
      <x:c r="A373" s="64" t="str">
        <x:v>T0372</x:v>
      </x:c>
      <x:c r="B373" s="28" t="str">
        <x:v>实验执行与具身自动化</x:v>
      </x:c>
      <x:c r="C373" s="28" t="str">
        <x:v>机器视觉、多模态感知与异常检测</x:v>
      </x:c>
      <x:c r="D373" s="28" t="str">
        <x:v>对象、液体与粉体视觉</x:v>
      </x:c>
      <x:c r="E373" s="28" t="str">
        <x:v>机器视觉与感知</x:v>
      </x:c>
      <x:c r="F373" s="28" t="str">
        <x:v>透明物体感知</x:v>
      </x:c>
      <x:c r="G373" s="28" t="str">
        <x:v>围绕“透明物体感知”构建可在复杂光照、透明/反光对象和时序过程下稳定工作的多模态感知能力。</x:v>
      </x:c>
      <x:c r="H373" s="28" t="str">
        <x:v>在域偏移、遮挡和异常场景下，误检/漏检及拒绝机制是否达标？</x:v>
      </x:c>
      <x:c r="I373" s="28" t="str">
        <x:v>准确率/F1；漏检率；误报率；检测延迟；OOD拒绝率；边缘推理时延</x:v>
      </x:c>
      <x:c r="J373" s="64" t="str">
        <x:v>基础能力</x:v>
      </x:c>
      <x:c r="K373" s="64" t="str">
        <x:v>P1</x:v>
      </x:c>
      <x:c r="L373" s="28" t="str">
        <x:v>S09; S52; S53; S62</x:v>
      </x:c>
      <x:c r="M373" s="28" t="str">
        <x:v>https://www.aas.net.cn/cn/article/doi/10.16383/j.aas.c240364?viewType=HTML</x:v>
      </x:c>
    </x:row>
    <x:row r="374" ht="48" customHeight="1">
      <x:c r="A374" s="64" t="str">
        <x:v>T0373</x:v>
      </x:c>
      <x:c r="B374" s="28" t="str">
        <x:v>实验执行与具身自动化</x:v>
      </x:c>
      <x:c r="C374" s="28" t="str">
        <x:v>机器视觉、多模态感知与异常检测</x:v>
      </x:c>
      <x:c r="D374" s="28" t="str">
        <x:v>对象、液体与粉体视觉</x:v>
      </x:c>
      <x:c r="E374" s="28" t="str">
        <x:v>机器视觉与感知</x:v>
      </x:c>
      <x:c r="F374" s="28" t="str">
        <x:v>反光物体感知</x:v>
      </x:c>
      <x:c r="G374" s="28" t="str">
        <x:v>围绕“反光物体感知”构建可在复杂光照、透明/反光对象和时序过程下稳定工作的多模态感知能力。</x:v>
      </x:c>
      <x:c r="H374" s="28" t="str">
        <x:v>在域偏移、遮挡和异常场景下，误检/漏检及拒绝机制是否达标？</x:v>
      </x:c>
      <x:c r="I374" s="28" t="str">
        <x:v>准确率/F1；漏检率；误报率；检测延迟；OOD拒绝率；边缘推理时延</x:v>
      </x:c>
      <x:c r="J374" s="64" t="str">
        <x:v>工程化关键</x:v>
      </x:c>
      <x:c r="K374" s="64" t="str">
        <x:v>P1</x:v>
      </x:c>
      <x:c r="L374" s="28" t="str">
        <x:v>S09; S52; S53; S62</x:v>
      </x:c>
      <x:c r="M374" s="28" t="str">
        <x:v>https://www.nature.com/articles/s41586-024-08173-7</x:v>
      </x:c>
    </x:row>
    <x:row r="375" ht="48" customHeight="1">
      <x:c r="A375" s="64" t="str">
        <x:v>T0374</x:v>
      </x:c>
      <x:c r="B375" s="28" t="str">
        <x:v>实验执行与具身自动化</x:v>
      </x:c>
      <x:c r="C375" s="28" t="str">
        <x:v>机器视觉、多模态感知与异常检测</x:v>
      </x:c>
      <x:c r="D375" s="28" t="str">
        <x:v>对象、液体与粉体视觉</x:v>
      </x:c>
      <x:c r="E375" s="28" t="str">
        <x:v>机器视觉与感知</x:v>
      </x:c>
      <x:c r="F375" s="28" t="str">
        <x:v>OCR与条码识别</x:v>
      </x:c>
      <x:c r="G375" s="28" t="str">
        <x:v>围绕“OCR与条码识别”构建可在复杂光照、透明/反光对象和时序过程下稳定工作的多模态感知能力。</x:v>
      </x:c>
      <x:c r="H375" s="28" t="str">
        <x:v>在域偏移、遮挡和异常场景下，误检/漏检及拒绝机制是否达标？</x:v>
      </x:c>
      <x:c r="I375" s="28" t="str">
        <x:v>准确率/F1；漏检率；误报率；检测延迟；OOD拒绝率；边缘推理时延</x:v>
      </x:c>
      <x:c r="J375" s="64" t="str">
        <x:v>工程化关键</x:v>
      </x:c>
      <x:c r="K375" s="64" t="str">
        <x:v>P1</x:v>
      </x:c>
      <x:c r="L375" s="28" t="str">
        <x:v>S09; S52; S53; S62</x:v>
      </x:c>
      <x:c r="M375" s="28" t="str">
        <x:v>https://www.nature.com/articles/s42004-025-01770-1</x:v>
      </x:c>
    </x:row>
    <x:row r="376" ht="48" customHeight="1">
      <x:c r="A376" s="64" t="str">
        <x:v>T0375</x:v>
      </x:c>
      <x:c r="B376" s="28" t="str">
        <x:v>实验执行与具身自动化</x:v>
      </x:c>
      <x:c r="C376" s="28" t="str">
        <x:v>机器视觉、多模态感知与异常检测</x:v>
      </x:c>
      <x:c r="D376" s="28" t="str">
        <x:v>对象、液体与粉体视觉</x:v>
      </x:c>
      <x:c r="E376" s="28" t="str">
        <x:v>机器视觉与感知</x:v>
      </x:c>
      <x:c r="F376" s="28" t="str">
        <x:v>弯月面识别</x:v>
      </x:c>
      <x:c r="G376" s="28" t="str">
        <x:v>围绕“弯月面识别”构建可在复杂光照、透明/反光对象和时序过程下稳定工作的多模态感知能力。</x:v>
      </x:c>
      <x:c r="H376" s="28" t="str">
        <x:v>在域偏移、遮挡和异常场景下，误检/漏检及拒绝机制是否达标？</x:v>
      </x:c>
      <x:c r="I376" s="28" t="str">
        <x:v>准确率/F1；漏检率；误报率；检测延迟；OOD拒绝率；边缘推理时延</x:v>
      </x:c>
      <x:c r="J376" s="64" t="str">
        <x:v>工程化关键</x:v>
      </x:c>
      <x:c r="K376" s="64" t="str">
        <x:v>P1</x:v>
      </x:c>
      <x:c r="L376" s="28" t="str">
        <x:v>S09; S52; S53; S62</x:v>
      </x:c>
      <x:c r="M376" s="28" t="str">
        <x:v>https://www.nature.com/articles/s41597-025-06060-y</x:v>
      </x:c>
    </x:row>
    <x:row r="377" ht="48" customHeight="1">
      <x:c r="A377" s="64" t="str">
        <x:v>T0376</x:v>
      </x:c>
      <x:c r="B377" s="28" t="str">
        <x:v>实验执行与具身自动化</x:v>
      </x:c>
      <x:c r="C377" s="28" t="str">
        <x:v>机器视觉、多模态感知与异常检测</x:v>
      </x:c>
      <x:c r="D377" s="28" t="str">
        <x:v>对象、液体与粉体视觉</x:v>
      </x:c>
      <x:c r="E377" s="28" t="str">
        <x:v>机器视觉与感知</x:v>
      </x:c>
      <x:c r="F377" s="28" t="str">
        <x:v>液位视觉测量</x:v>
      </x:c>
      <x:c r="G377" s="28" t="str">
        <x:v>围绕“液位视觉测量”构建可在复杂光照、透明/反光对象和时序过程下稳定工作的多模态感知能力。</x:v>
      </x:c>
      <x:c r="H377" s="28" t="str">
        <x:v>在域偏移、遮挡和异常场景下，误检/漏检及拒绝机制是否达标？</x:v>
      </x:c>
      <x:c r="I377" s="28" t="str">
        <x:v>准确率/F1；漏检率；误报率；检测延迟；OOD拒绝率；边缘推理时延</x:v>
      </x:c>
      <x:c r="J377" s="64" t="str">
        <x:v>工程化关键</x:v>
      </x:c>
      <x:c r="K377" s="64" t="str">
        <x:v>P1</x:v>
      </x:c>
      <x:c r="L377" s="28" t="str">
        <x:v>S09; S52; S53; S62</x:v>
      </x:c>
      <x:c r="M377" s="28" t="str">
        <x:v>https://www.aas.net.cn/cn/article/doi/10.16383/j.aas.c240364?viewType=HTML</x:v>
      </x:c>
    </x:row>
    <x:row r="378" ht="48" customHeight="1">
      <x:c r="A378" s="64" t="str">
        <x:v>T0377</x:v>
      </x:c>
      <x:c r="B378" s="28" t="str">
        <x:v>实验执行与具身自动化</x:v>
      </x:c>
      <x:c r="C378" s="28" t="str">
        <x:v>机器视觉、多模态感知与异常检测</x:v>
      </x:c>
      <x:c r="D378" s="28" t="str">
        <x:v>对象、液体与粉体视觉</x:v>
      </x:c>
      <x:c r="E378" s="28" t="str">
        <x:v>机器视觉与感知</x:v>
      </x:c>
      <x:c r="F378" s="28" t="str">
        <x:v>液滴检测</x:v>
      </x:c>
      <x:c r="G378" s="28" t="str">
        <x:v>围绕“液滴检测”构建可在复杂光照、透明/反光对象和时序过程下稳定工作的多模态感知能力。</x:v>
      </x:c>
      <x:c r="H378" s="28" t="str">
        <x:v>在域偏移、遮挡和异常场景下，误检/漏检及拒绝机制是否达标？</x:v>
      </x:c>
      <x:c r="I378" s="28" t="str">
        <x:v>准确率/F1；漏检率；误报率；检测延迟；OOD拒绝率；边缘推理时延</x:v>
      </x:c>
      <x:c r="J378" s="64" t="str">
        <x:v>工程化关键</x:v>
      </x:c>
      <x:c r="K378" s="64" t="str">
        <x:v>P1</x:v>
      </x:c>
      <x:c r="L378" s="28" t="str">
        <x:v>S09; S52; S53; S62</x:v>
      </x:c>
      <x:c r="M378" s="28" t="str">
        <x:v>https://www.nature.com/articles/s41586-024-08173-7</x:v>
      </x:c>
    </x:row>
    <x:row r="379" ht="48" customHeight="1">
      <x:c r="A379" s="64" t="str">
        <x:v>T0378</x:v>
      </x:c>
      <x:c r="B379" s="28" t="str">
        <x:v>实验执行与具身自动化</x:v>
      </x:c>
      <x:c r="C379" s="28" t="str">
        <x:v>机器视觉、多模态感知与异常检测</x:v>
      </x:c>
      <x:c r="D379" s="28" t="str">
        <x:v>对象、液体与粉体视觉</x:v>
      </x:c>
      <x:c r="E379" s="28" t="str">
        <x:v>机器视觉与感知</x:v>
      </x:c>
      <x:c r="F379" s="28" t="str">
        <x:v>粉体体积估计</x:v>
      </x:c>
      <x:c r="G379" s="28" t="str">
        <x:v>围绕“粉体体积估计”构建可在复杂光照、透明/反光对象和时序过程下稳定工作的多模态感知能力。</x:v>
      </x:c>
      <x:c r="H379" s="28" t="str">
        <x:v>在域偏移、遮挡和异常场景下，误检/漏检及拒绝机制是否达标？</x:v>
      </x:c>
      <x:c r="I379" s="28" t="str">
        <x:v>准确率/F1；漏检率；误报率；检测延迟；OOD拒绝率；边缘推理时延</x:v>
      </x:c>
      <x:c r="J379" s="64" t="str">
        <x:v>工程化关键</x:v>
      </x:c>
      <x:c r="K379" s="64" t="str">
        <x:v>P1</x:v>
      </x:c>
      <x:c r="L379" s="28" t="str">
        <x:v>S09; S52; S53; S62</x:v>
      </x:c>
      <x:c r="M379" s="28" t="str">
        <x:v>https://www.nature.com/articles/s42004-025-01770-1</x:v>
      </x:c>
    </x:row>
    <x:row r="380" ht="48" customHeight="1">
      <x:c r="A380" s="64" t="str">
        <x:v>T0379</x:v>
      </x:c>
      <x:c r="B380" s="28" t="str">
        <x:v>实验执行与具身自动化</x:v>
      </x:c>
      <x:c r="C380" s="28" t="str">
        <x:v>机器视觉、多模态感知与异常检测</x:v>
      </x:c>
      <x:c r="D380" s="28" t="str">
        <x:v>对象、液体与粉体视觉</x:v>
      </x:c>
      <x:c r="E380" s="28" t="str">
        <x:v>机器视觉与感知</x:v>
      </x:c>
      <x:c r="F380" s="28" t="str">
        <x:v>泡沫检测</x:v>
      </x:c>
      <x:c r="G380" s="28" t="str">
        <x:v>围绕“泡沫检测”构建可在复杂光照、透明/反光对象和时序过程下稳定工作的多模态感知能力。</x:v>
      </x:c>
      <x:c r="H380" s="28" t="str">
        <x:v>在域偏移、遮挡和异常场景下，误检/漏检及拒绝机制是否达标？</x:v>
      </x:c>
      <x:c r="I380" s="28" t="str">
        <x:v>准确率/F1；漏检率；误报率；检测延迟；OOD拒绝率；边缘推理时延</x:v>
      </x:c>
      <x:c r="J380" s="64" t="str">
        <x:v>工程化关键</x:v>
      </x:c>
      <x:c r="K380" s="64" t="str">
        <x:v>P1</x:v>
      </x:c>
      <x:c r="L380" s="28" t="str">
        <x:v>S09; S52; S53; S62</x:v>
      </x:c>
      <x:c r="M380" s="28" t="str">
        <x:v>https://www.nature.com/articles/s41597-025-06060-y</x:v>
      </x:c>
    </x:row>
    <x:row r="381" ht="48" customHeight="1">
      <x:c r="A381" s="64" t="str">
        <x:v>T0380</x:v>
      </x:c>
      <x:c r="B381" s="28" t="str">
        <x:v>实验执行与具身自动化</x:v>
      </x:c>
      <x:c r="C381" s="28" t="str">
        <x:v>机器视觉、多模态感知与异常检测</x:v>
      </x:c>
      <x:c r="D381" s="28" t="str">
        <x:v>对象、液体与粉体视觉</x:v>
      </x:c>
      <x:c r="E381" s="28" t="str">
        <x:v>机器视觉与感知</x:v>
      </x:c>
      <x:c r="F381" s="28" t="str">
        <x:v>沉淀检测</x:v>
      </x:c>
      <x:c r="G381" s="28" t="str">
        <x:v>围绕“沉淀检测”构建可在复杂光照、透明/反光对象和时序过程下稳定工作的多模态感知能力。</x:v>
      </x:c>
      <x:c r="H381" s="28" t="str">
        <x:v>在域偏移、遮挡和异常场景下，误检/漏检及拒绝机制是否达标？</x:v>
      </x:c>
      <x:c r="I381" s="28" t="str">
        <x:v>准确率/F1；漏检率；误报率；检测延迟；OOD拒绝率；边缘推理时延</x:v>
      </x:c>
      <x:c r="J381" s="64" t="str">
        <x:v>工程化关键</x:v>
      </x:c>
      <x:c r="K381" s="64" t="str">
        <x:v>P1</x:v>
      </x:c>
      <x:c r="L381" s="28" t="str">
        <x:v>S09; S52; S53; S62</x:v>
      </x:c>
      <x:c r="M381" s="28" t="str">
        <x:v>https://www.aas.net.cn/cn/article/doi/10.16383/j.aas.c240364?viewType=HTML</x:v>
      </x:c>
    </x:row>
    <x:row r="382" ht="48" customHeight="1">
      <x:c r="A382" s="64" t="str">
        <x:v>T0381</x:v>
      </x:c>
      <x:c r="B382" s="28" t="str">
        <x:v>实验执行与具身自动化</x:v>
      </x:c>
      <x:c r="C382" s="28" t="str">
        <x:v>机器视觉、多模态感知与异常检测</x:v>
      </x:c>
      <x:c r="D382" s="28" t="str">
        <x:v>过程、安全与动作验收</x:v>
      </x:c>
      <x:c r="E382" s="28" t="str">
        <x:v>机器视觉与感知</x:v>
      </x:c>
      <x:c r="F382" s="28" t="str">
        <x:v>颜色变化检测</x:v>
      </x:c>
      <x:c r="G382" s="28" t="str">
        <x:v>围绕“颜色变化检测”构建可在复杂光照、透明/反光对象和时序过程下稳定工作的多模态感知能力。</x:v>
      </x:c>
      <x:c r="H382" s="28" t="str">
        <x:v>在域偏移、遮挡和异常场景下，误检/漏检及拒绝机制是否达标？</x:v>
      </x:c>
      <x:c r="I382" s="28" t="str">
        <x:v>准确率/F1；漏检率；误报率；检测延迟；OOD拒绝率；边缘推理时延</x:v>
      </x:c>
      <x:c r="J382" s="64" t="str">
        <x:v>工程化关键</x:v>
      </x:c>
      <x:c r="K382" s="64" t="str">
        <x:v>P1</x:v>
      </x:c>
      <x:c r="L382" s="28" t="str">
        <x:v>S09; S52; S53; S62</x:v>
      </x:c>
      <x:c r="M382" s="28" t="str">
        <x:v>https://www.nature.com/articles/s41586-024-08173-7</x:v>
      </x:c>
    </x:row>
    <x:row r="383" ht="48" customHeight="1">
      <x:c r="A383" s="64" t="str">
        <x:v>T0382</x:v>
      </x:c>
      <x:c r="B383" s="28" t="str">
        <x:v>实验执行与具身自动化</x:v>
      </x:c>
      <x:c r="C383" s="28" t="str">
        <x:v>机器视觉、多模态感知与异常检测</x:v>
      </x:c>
      <x:c r="D383" s="28" t="str">
        <x:v>过程、安全与动作验收</x:v>
      </x:c>
      <x:c r="E383" s="28" t="str">
        <x:v>机器视觉与感知</x:v>
      </x:c>
      <x:c r="F383" s="28" t="str">
        <x:v>晶体形貌分析</x:v>
      </x:c>
      <x:c r="G383" s="28" t="str">
        <x:v>围绕“晶体形貌分析”构建可在复杂光照、透明/反光对象和时序过程下稳定工作的多模态感知能力。</x:v>
      </x:c>
      <x:c r="H383" s="28" t="str">
        <x:v>在域偏移、遮挡和异常场景下，误检/漏检及拒绝机制是否达标？</x:v>
      </x:c>
      <x:c r="I383" s="28" t="str">
        <x:v>准确率/F1；漏检率；误报率；检测延迟；OOD拒绝率；边缘推理时延</x:v>
      </x:c>
      <x:c r="J383" s="64" t="str">
        <x:v>工程化关键</x:v>
      </x:c>
      <x:c r="K383" s="64" t="str">
        <x:v>P1</x:v>
      </x:c>
      <x:c r="L383" s="28" t="str">
        <x:v>S09; S52; S53; S62</x:v>
      </x:c>
      <x:c r="M383" s="28" t="str">
        <x:v>https://www.nature.com/articles/s42004-025-01770-1</x:v>
      </x:c>
    </x:row>
    <x:row r="384" ht="48" customHeight="1">
      <x:c r="A384" s="64" t="str">
        <x:v>T0383</x:v>
      </x:c>
      <x:c r="B384" s="28" t="str">
        <x:v>实验执行与具身自动化</x:v>
      </x:c>
      <x:c r="C384" s="28" t="str">
        <x:v>机器视觉、多模态感知与异常检测</x:v>
      </x:c>
      <x:c r="D384" s="28" t="str">
        <x:v>过程、安全与动作验收</x:v>
      </x:c>
      <x:c r="E384" s="28" t="str">
        <x:v>机器视觉与感知</x:v>
      </x:c>
      <x:c r="F384" s="28" t="str">
        <x:v>反应终点识别</x:v>
      </x:c>
      <x:c r="G384" s="28" t="str">
        <x:v>围绕“反应终点识别”构建可在复杂光照、透明/反光对象和时序过程下稳定工作的多模态感知能力。</x:v>
      </x:c>
      <x:c r="H384" s="28" t="str">
        <x:v>在域偏移、遮挡和异常场景下，误检/漏检及拒绝机制是否达标？</x:v>
      </x:c>
      <x:c r="I384" s="28" t="str">
        <x:v>准确率/F1；漏检率；误报率；检测延迟；OOD拒绝率；边缘推理时延</x:v>
      </x:c>
      <x:c r="J384" s="64" t="str">
        <x:v>工程化关键</x:v>
      </x:c>
      <x:c r="K384" s="64" t="str">
        <x:v>P1</x:v>
      </x:c>
      <x:c r="L384" s="28" t="str">
        <x:v>S09; S52; S53; S62</x:v>
      </x:c>
      <x:c r="M384" s="28" t="str">
        <x:v>https://www.nature.com/articles/s41597-025-06060-y</x:v>
      </x:c>
    </x:row>
    <x:row r="385" ht="48" customHeight="1">
      <x:c r="A385" s="64" t="str">
        <x:v>T0384</x:v>
      </x:c>
      <x:c r="B385" s="28" t="str">
        <x:v>实验执行与具身自动化</x:v>
      </x:c>
      <x:c r="C385" s="28" t="str">
        <x:v>机器视觉、多模态感知与异常检测</x:v>
      </x:c>
      <x:c r="D385" s="28" t="str">
        <x:v>过程、安全与动作验收</x:v>
      </x:c>
      <x:c r="E385" s="28" t="str">
        <x:v>机器视觉与感知</x:v>
      </x:c>
      <x:c r="F385" s="28" t="str">
        <x:v>火焰/烟雾检测</x:v>
      </x:c>
      <x:c r="G385" s="28" t="str">
        <x:v>围绕“火焰/烟雾检测”构建可在复杂光照、透明/反光对象和时序过程下稳定工作的多模态感知能力。</x:v>
      </x:c>
      <x:c r="H385" s="28" t="str">
        <x:v>在域偏移、遮挡和异常场景下，误检/漏检及拒绝机制是否达标？</x:v>
      </x:c>
      <x:c r="I385" s="28" t="str">
        <x:v>准确率/F1；漏检率；误报率；检测延迟；OOD拒绝率；边缘推理时延</x:v>
      </x:c>
      <x:c r="J385" s="64" t="str">
        <x:v>工程化关键</x:v>
      </x:c>
      <x:c r="K385" s="64" t="str">
        <x:v>P1</x:v>
      </x:c>
      <x:c r="L385" s="28" t="str">
        <x:v>S09; S52; S53; S62</x:v>
      </x:c>
      <x:c r="M385" s="28" t="str">
        <x:v>https://www.aas.net.cn/cn/article/doi/10.16383/j.aas.c240364?viewType=HTML</x:v>
      </x:c>
    </x:row>
    <x:row r="386" ht="48" customHeight="1">
      <x:c r="A386" s="64" t="str">
        <x:v>T0385</x:v>
      </x:c>
      <x:c r="B386" s="28" t="str">
        <x:v>实验执行与具身自动化</x:v>
      </x:c>
      <x:c r="C386" s="28" t="str">
        <x:v>机器视觉、多模态感知与异常检测</x:v>
      </x:c>
      <x:c r="D386" s="28" t="str">
        <x:v>过程、安全与动作验收</x:v>
      </x:c>
      <x:c r="E386" s="28" t="str">
        <x:v>机器视觉与感知</x:v>
      </x:c>
      <x:c r="F386" s="28" t="str">
        <x:v>泄漏/溢洒检测</x:v>
      </x:c>
      <x:c r="G386" s="28" t="str">
        <x:v>围绕“泄漏/溢洒检测”构建可在复杂光照、透明/反光对象和时序过程下稳定工作的多模态感知能力。</x:v>
      </x:c>
      <x:c r="H386" s="28" t="str">
        <x:v>在域偏移、遮挡和异常场景下，误检/漏检及拒绝机制是否达标？</x:v>
      </x:c>
      <x:c r="I386" s="28" t="str">
        <x:v>准确率/F1；漏检率；误报率；检测延迟；OOD拒绝率；边缘推理时延</x:v>
      </x:c>
      <x:c r="J386" s="64" t="str">
        <x:v>工程化关键</x:v>
      </x:c>
      <x:c r="K386" s="64" t="str">
        <x:v>P1</x:v>
      </x:c>
      <x:c r="L386" s="28" t="str">
        <x:v>S09; S52; S53; S62</x:v>
      </x:c>
      <x:c r="M386" s="28" t="str">
        <x:v>https://www.nature.com/articles/s41586-024-08173-7</x:v>
      </x:c>
    </x:row>
    <x:row r="387" ht="48" customHeight="1">
      <x:c r="A387" s="64" t="str">
        <x:v>T0386</x:v>
      </x:c>
      <x:c r="B387" s="28" t="str">
        <x:v>实验执行与具身自动化</x:v>
      </x:c>
      <x:c r="C387" s="28" t="str">
        <x:v>机器视觉、多模态感知与异常检测</x:v>
      </x:c>
      <x:c r="D387" s="28" t="str">
        <x:v>过程、安全与动作验收</x:v>
      </x:c>
      <x:c r="E387" s="28" t="str">
        <x:v>机器视觉与感知</x:v>
      </x:c>
      <x:c r="F387" s="28" t="str">
        <x:v>人员/PPE检测</x:v>
      </x:c>
      <x:c r="G387" s="28" t="str">
        <x:v>围绕“人员/PPE检测”构建可在复杂光照、透明/反光对象和时序过程下稳定工作的多模态感知能力。</x:v>
      </x:c>
      <x:c r="H387" s="28" t="str">
        <x:v>在域偏移、遮挡和异常场景下，误检/漏检及拒绝机制是否达标？</x:v>
      </x:c>
      <x:c r="I387" s="28" t="str">
        <x:v>准确率/F1；漏检率；误报率；检测延迟；OOD拒绝率；边缘推理时延</x:v>
      </x:c>
      <x:c r="J387" s="64" t="str">
        <x:v>工程化关键</x:v>
      </x:c>
      <x:c r="K387" s="64" t="str">
        <x:v>P1</x:v>
      </x:c>
      <x:c r="L387" s="28" t="str">
        <x:v>S09; S52; S53; S62</x:v>
      </x:c>
      <x:c r="M387" s="28" t="str">
        <x:v>https://www.nature.com/articles/s42004-025-01770-1</x:v>
      </x:c>
    </x:row>
    <x:row r="388" ht="48" customHeight="1">
      <x:c r="A388" s="64" t="str">
        <x:v>T0387</x:v>
      </x:c>
      <x:c r="B388" s="28" t="str">
        <x:v>实验执行与具身自动化</x:v>
      </x:c>
      <x:c r="C388" s="28" t="str">
        <x:v>机器视觉、多模态感知与异常检测</x:v>
      </x:c>
      <x:c r="D388" s="28" t="str">
        <x:v>过程、安全与动作验收</x:v>
      </x:c>
      <x:c r="E388" s="28" t="str">
        <x:v>机器视觉与感知</x:v>
      </x:c>
      <x:c r="F388" s="28" t="str">
        <x:v>机器人动作视觉验收</x:v>
      </x:c>
      <x:c r="G388" s="28" t="str">
        <x:v>围绕“机器人动作视觉验收”构建可在复杂光照、透明/反光对象和时序过程下稳定工作的多模态感知能力。</x:v>
      </x:c>
      <x:c r="H388" s="28" t="str">
        <x:v>在域偏移、遮挡和异常场景下，误检/漏检及拒绝机制是否达标？</x:v>
      </x:c>
      <x:c r="I388" s="28" t="str">
        <x:v>准确率/F1；漏检率；误报率；检测延迟；OOD拒绝率；边缘推理时延</x:v>
      </x:c>
      <x:c r="J388" s="64" t="str">
        <x:v>工程化关键</x:v>
      </x:c>
      <x:c r="K388" s="64" t="str">
        <x:v>P1</x:v>
      </x:c>
      <x:c r="L388" s="28" t="str">
        <x:v>S09; S52; S53; S62</x:v>
      </x:c>
      <x:c r="M388" s="28" t="str">
        <x:v>https://www.nature.com/articles/s41597-025-06060-y</x:v>
      </x:c>
    </x:row>
    <x:row r="389" ht="48" customHeight="1">
      <x:c r="A389" s="64" t="str">
        <x:v>T0388</x:v>
      </x:c>
      <x:c r="B389" s="28" t="str">
        <x:v>实验执行与具身自动化</x:v>
      </x:c>
      <x:c r="C389" s="28" t="str">
        <x:v>机器视觉、多模态感知与异常检测</x:v>
      </x:c>
      <x:c r="D389" s="28" t="str">
        <x:v>过程、安全与动作验收</x:v>
      </x:c>
      <x:c r="E389" s="28" t="str">
        <x:v>机器视觉与感知</x:v>
      </x:c>
      <x:c r="F389" s="28" t="str">
        <x:v>仪器屏幕读取</x:v>
      </x:c>
      <x:c r="G389" s="28" t="str">
        <x:v>围绕“仪器屏幕读取”构建可在复杂光照、透明/反光对象和时序过程下稳定工作的多模态感知能力。</x:v>
      </x:c>
      <x:c r="H389" s="28" t="str">
        <x:v>在域偏移、遮挡和异常场景下，误检/漏检及拒绝机制是否达标？</x:v>
      </x:c>
      <x:c r="I389" s="28" t="str">
        <x:v>准确率/F1；漏检率；误报率；检测延迟；OOD拒绝率；边缘推理时延</x:v>
      </x:c>
      <x:c r="J389" s="64" t="str">
        <x:v>工程化关键</x:v>
      </x:c>
      <x:c r="K389" s="64" t="str">
        <x:v>P1</x:v>
      </x:c>
      <x:c r="L389" s="28" t="str">
        <x:v>S09; S52; S53; S62</x:v>
      </x:c>
      <x:c r="M389" s="28" t="str">
        <x:v>https://www.aas.net.cn/cn/article/doi/10.16383/j.aas.c240364?viewType=HTML</x:v>
      </x:c>
    </x:row>
    <x:row r="390" ht="48" customHeight="1">
      <x:c r="A390" s="64" t="str">
        <x:v>T0389</x:v>
      </x:c>
      <x:c r="B390" s="28" t="str">
        <x:v>实验执行与具身自动化</x:v>
      </x:c>
      <x:c r="C390" s="28" t="str">
        <x:v>机器视觉、多模态感知与异常检测</x:v>
      </x:c>
      <x:c r="D390" s="28" t="str">
        <x:v>过程、安全与动作验收</x:v>
      </x:c>
      <x:c r="E390" s="28" t="str">
        <x:v>机器视觉与感知</x:v>
      </x:c>
      <x:c r="F390" s="28" t="str">
        <x:v>多模态传感融合</x:v>
      </x:c>
      <x:c r="G390" s="28" t="str">
        <x:v>围绕“多模态传感融合”构建可在复杂光照、透明/反光对象和时序过程下稳定工作的多模态感知能力。</x:v>
      </x:c>
      <x:c r="H390" s="28" t="str">
        <x:v>在域偏移、遮挡和异常场景下，误检/漏检及拒绝机制是否达标？</x:v>
      </x:c>
      <x:c r="I390" s="28" t="str">
        <x:v>准确率/F1；漏检率；误报率；检测延迟；OOD拒绝率；边缘推理时延</x:v>
      </x:c>
      <x:c r="J390" s="64" t="str">
        <x:v>进阶能力</x:v>
      </x:c>
      <x:c r="K390" s="64" t="str">
        <x:v>P2</x:v>
      </x:c>
      <x:c r="L390" s="28" t="str">
        <x:v>S09; S52; S53; S62</x:v>
      </x:c>
      <x:c r="M390" s="28" t="str">
        <x:v>https://www.nature.com/articles/s41586-024-08173-7</x:v>
      </x:c>
    </x:row>
    <x:row r="391" ht="48" customHeight="1">
      <x:c r="A391" s="64" t="str">
        <x:v>T0390</x:v>
      </x:c>
      <x:c r="B391" s="28" t="str">
        <x:v>实验执行与具身自动化</x:v>
      </x:c>
      <x:c r="C391" s="28" t="str">
        <x:v>机器视觉、多模态感知与异常检测</x:v>
      </x:c>
      <x:c r="D391" s="28" t="str">
        <x:v>过程、安全与动作验收</x:v>
      </x:c>
      <x:c r="E391" s="28" t="str">
        <x:v>机器视觉与感知</x:v>
      </x:c>
      <x:c r="F391" s="28" t="str">
        <x:v>视觉语言模型</x:v>
      </x:c>
      <x:c r="G391" s="28" t="str">
        <x:v>围绕“视觉语言模型”构建可在复杂光照、透明/反光对象和时序过程下稳定工作的多模态感知能力。</x:v>
      </x:c>
      <x:c r="H391" s="28" t="str">
        <x:v>在域偏移、遮挡和异常场景下，误检/漏检及拒绝机制是否达标？</x:v>
      </x:c>
      <x:c r="I391" s="28" t="str">
        <x:v>准确率/F1；漏检率；误报率；检测延迟；OOD拒绝率；边缘推理时延</x:v>
      </x:c>
      <x:c r="J391" s="64" t="str">
        <x:v>进阶能力</x:v>
      </x:c>
      <x:c r="K391" s="64" t="str">
        <x:v>P2</x:v>
      </x:c>
      <x:c r="L391" s="28" t="str">
        <x:v>S09; S52; S53; S62</x:v>
      </x:c>
      <x:c r="M391" s="28" t="str">
        <x:v>https://www.nature.com/articles/s42004-025-01770-1</x:v>
      </x:c>
    </x:row>
    <x:row r="392" ht="48" customHeight="1">
      <x:c r="A392" s="64" t="str">
        <x:v>T0391</x:v>
      </x:c>
      <x:c r="B392" s="28" t="str">
        <x:v>实验执行与具身自动化</x:v>
      </x:c>
      <x:c r="C392" s="28" t="str">
        <x:v>机器视觉、多模态感知与异常检测</x:v>
      </x:c>
      <x:c r="D392" s="28" t="str">
        <x:v>多模态、异常与主动感知</x:v>
      </x:c>
      <x:c r="E392" s="28" t="str">
        <x:v>机器视觉与感知</x:v>
      </x:c>
      <x:c r="F392" s="28" t="str">
        <x:v>视觉问答</x:v>
      </x:c>
      <x:c r="G392" s="28" t="str">
        <x:v>围绕“视觉问答”构建可在复杂光照、透明/反光对象和时序过程下稳定工作的多模态感知能力。</x:v>
      </x:c>
      <x:c r="H392" s="28" t="str">
        <x:v>在域偏移、遮挡和异常场景下，误检/漏检及拒绝机制是否达标？</x:v>
      </x:c>
      <x:c r="I392" s="28" t="str">
        <x:v>准确率/F1；漏检率；误报率；检测延迟；OOD拒绝率；边缘推理时延</x:v>
      </x:c>
      <x:c r="J392" s="64" t="str">
        <x:v>进阶能力</x:v>
      </x:c>
      <x:c r="K392" s="64" t="str">
        <x:v>P2</x:v>
      </x:c>
      <x:c r="L392" s="28" t="str">
        <x:v>S09; S52; S53; S62</x:v>
      </x:c>
      <x:c r="M392" s="28" t="str">
        <x:v>https://www.nature.com/articles/s41597-025-06060-y</x:v>
      </x:c>
    </x:row>
    <x:row r="393" ht="48" customHeight="1">
      <x:c r="A393" s="64" t="str">
        <x:v>T0392</x:v>
      </x:c>
      <x:c r="B393" s="28" t="str">
        <x:v>实验执行与具身自动化</x:v>
      </x:c>
      <x:c r="C393" s="28" t="str">
        <x:v>机器视觉、多模态感知与异常检测</x:v>
      </x:c>
      <x:c r="D393" s="28" t="str">
        <x:v>多模态、异常与主动感知</x:v>
      </x:c>
      <x:c r="E393" s="28" t="str">
        <x:v>机器视觉与感知</x:v>
      </x:c>
      <x:c r="F393" s="28" t="str">
        <x:v>异常检测</x:v>
      </x:c>
      <x:c r="G393" s="28" t="str">
        <x:v>围绕“异常检测”构建可在复杂光照、透明/反光对象和时序过程下稳定工作的多模态感知能力。</x:v>
      </x:c>
      <x:c r="H393" s="28" t="str">
        <x:v>在域偏移、遮挡和异常场景下，误检/漏检及拒绝机制是否达标？</x:v>
      </x:c>
      <x:c r="I393" s="28" t="str">
        <x:v>准确率/F1；漏检率；误报率；检测延迟；OOD拒绝率；边缘推理时延</x:v>
      </x:c>
      <x:c r="J393" s="64" t="str">
        <x:v>进阶能力</x:v>
      </x:c>
      <x:c r="K393" s="64" t="str">
        <x:v>P2</x:v>
      </x:c>
      <x:c r="L393" s="28" t="str">
        <x:v>S09; S52; S53; S62</x:v>
      </x:c>
      <x:c r="M393" s="28" t="str">
        <x:v>https://www.aas.net.cn/cn/article/doi/10.16383/j.aas.c240364?viewType=HTML</x:v>
      </x:c>
    </x:row>
    <x:row r="394" ht="48" customHeight="1">
      <x:c r="A394" s="64" t="str">
        <x:v>T0393</x:v>
      </x:c>
      <x:c r="B394" s="28" t="str">
        <x:v>实验执行与具身自动化</x:v>
      </x:c>
      <x:c r="C394" s="28" t="str">
        <x:v>机器视觉、多模态感知与异常检测</x:v>
      </x:c>
      <x:c r="D394" s="28" t="str">
        <x:v>多模态、异常与主动感知</x:v>
      </x:c>
      <x:c r="E394" s="28" t="str">
        <x:v>机器视觉与感知</x:v>
      </x:c>
      <x:c r="F394" s="28" t="str">
        <x:v>自监督异常学习</x:v>
      </x:c>
      <x:c r="G394" s="28" t="str">
        <x:v>围绕“自监督异常学习”构建可在复杂光照、透明/反光对象和时序过程下稳定工作的多模态感知能力。</x:v>
      </x:c>
      <x:c r="H394" s="28" t="str">
        <x:v>在域偏移、遮挡和异常场景下，误检/漏检及拒绝机制是否达标？</x:v>
      </x:c>
      <x:c r="I394" s="28" t="str">
        <x:v>准确率/F1；漏检率；误报率；检测延迟；OOD拒绝率；边缘推理时延</x:v>
      </x:c>
      <x:c r="J394" s="64" t="str">
        <x:v>进阶能力</x:v>
      </x:c>
      <x:c r="K394" s="64" t="str">
        <x:v>P2</x:v>
      </x:c>
      <x:c r="L394" s="28" t="str">
        <x:v>S09; S52; S53; S62</x:v>
      </x:c>
      <x:c r="M394" s="28" t="str">
        <x:v>https://www.nature.com/articles/s41586-024-08173-7</x:v>
      </x:c>
    </x:row>
    <x:row r="395" ht="48" customHeight="1">
      <x:c r="A395" s="64" t="str">
        <x:v>T0394</x:v>
      </x:c>
      <x:c r="B395" s="28" t="str">
        <x:v>实验执行与具身自动化</x:v>
      </x:c>
      <x:c r="C395" s="28" t="str">
        <x:v>机器视觉、多模态感知与异常检测</x:v>
      </x:c>
      <x:c r="D395" s="28" t="str">
        <x:v>多模态、异常与主动感知</x:v>
      </x:c>
      <x:c r="E395" s="28" t="str">
        <x:v>机器视觉与感知</x:v>
      </x:c>
      <x:c r="F395" s="28" t="str">
        <x:v>少样本异常检测</x:v>
      </x:c>
      <x:c r="G395" s="28" t="str">
        <x:v>围绕“少样本异常检测”构建可在复杂光照、透明/反光对象和时序过程下稳定工作的多模态感知能力。</x:v>
      </x:c>
      <x:c r="H395" s="28" t="str">
        <x:v>在域偏移、遮挡和异常场景下，误检/漏检及拒绝机制是否达标？</x:v>
      </x:c>
      <x:c r="I395" s="28" t="str">
        <x:v>准确率/F1；漏检率；误报率；检测延迟；OOD拒绝率；边缘推理时延</x:v>
      </x:c>
      <x:c r="J395" s="64" t="str">
        <x:v>进阶能力</x:v>
      </x:c>
      <x:c r="K395" s="64" t="str">
        <x:v>P2</x:v>
      </x:c>
      <x:c r="L395" s="28" t="str">
        <x:v>S09; S52; S53; S62</x:v>
      </x:c>
      <x:c r="M395" s="28" t="str">
        <x:v>https://www.nature.com/articles/s42004-025-01770-1</x:v>
      </x:c>
    </x:row>
    <x:row r="396" ht="48" customHeight="1">
      <x:c r="A396" s="64" t="str">
        <x:v>T0395</x:v>
      </x:c>
      <x:c r="B396" s="28" t="str">
        <x:v>实验执行与具身自动化</x:v>
      </x:c>
      <x:c r="C396" s="28" t="str">
        <x:v>机器视觉、多模态感知与异常检测</x:v>
      </x:c>
      <x:c r="D396" s="28" t="str">
        <x:v>多模态、异常与主动感知</x:v>
      </x:c>
      <x:c r="E396" s="28" t="str">
        <x:v>机器视觉与感知</x:v>
      </x:c>
      <x:c r="F396" s="28" t="str">
        <x:v>时序异常检测</x:v>
      </x:c>
      <x:c r="G396" s="28" t="str">
        <x:v>围绕“时序异常检测”构建可在复杂光照、透明/反光对象和时序过程下稳定工作的多模态感知能力。</x:v>
      </x:c>
      <x:c r="H396" s="28" t="str">
        <x:v>在域偏移、遮挡和异常场景下，误检/漏检及拒绝机制是否达标？</x:v>
      </x:c>
      <x:c r="I396" s="28" t="str">
        <x:v>准确率/F1；漏检率；误报率；检测延迟；OOD拒绝率；边缘推理时延</x:v>
      </x:c>
      <x:c r="J396" s="64" t="str">
        <x:v>进阶能力</x:v>
      </x:c>
      <x:c r="K396" s="64" t="str">
        <x:v>P2</x:v>
      </x:c>
      <x:c r="L396" s="28" t="str">
        <x:v>S09; S52; S53; S62</x:v>
      </x:c>
      <x:c r="M396" s="28" t="str">
        <x:v>https://www.nature.com/articles/s41597-025-06060-y</x:v>
      </x:c>
    </x:row>
    <x:row r="397" ht="48" customHeight="1">
      <x:c r="A397" s="64" t="str">
        <x:v>T0396</x:v>
      </x:c>
      <x:c r="B397" s="28" t="str">
        <x:v>实验执行与具身自动化</x:v>
      </x:c>
      <x:c r="C397" s="28" t="str">
        <x:v>机器视觉、多模态感知与异常检测</x:v>
      </x:c>
      <x:c r="D397" s="28" t="str">
        <x:v>多模态、异常与主动感知</x:v>
      </x:c>
      <x:c r="E397" s="28" t="str">
        <x:v>机器视觉与感知</x:v>
      </x:c>
      <x:c r="F397" s="28" t="str">
        <x:v>变化点检测</x:v>
      </x:c>
      <x:c r="G397" s="28" t="str">
        <x:v>围绕“变化点检测”构建可在复杂光照、透明/反光对象和时序过程下稳定工作的多模态感知能力。</x:v>
      </x:c>
      <x:c r="H397" s="28" t="str">
        <x:v>在域偏移、遮挡和异常场景下，误检/漏检及拒绝机制是否达标？</x:v>
      </x:c>
      <x:c r="I397" s="28" t="str">
        <x:v>准确率/F1；漏检率；误报率；检测延迟；OOD拒绝率；边缘推理时延</x:v>
      </x:c>
      <x:c r="J397" s="64" t="str">
        <x:v>进阶能力</x:v>
      </x:c>
      <x:c r="K397" s="64" t="str">
        <x:v>P2</x:v>
      </x:c>
      <x:c r="L397" s="28" t="str">
        <x:v>S09; S52; S53; S62</x:v>
      </x:c>
      <x:c r="M397" s="28" t="str">
        <x:v>https://www.aas.net.cn/cn/article/doi/10.16383/j.aas.c240364?viewType=HTML</x:v>
      </x:c>
    </x:row>
    <x:row r="398" ht="48" customHeight="1">
      <x:c r="A398" s="64" t="str">
        <x:v>T0397</x:v>
      </x:c>
      <x:c r="B398" s="28" t="str">
        <x:v>实验执行与具身自动化</x:v>
      </x:c>
      <x:c r="C398" s="28" t="str">
        <x:v>机器视觉、多模态感知与异常检测</x:v>
      </x:c>
      <x:c r="D398" s="28" t="str">
        <x:v>多模态、异常与主动感知</x:v>
      </x:c>
      <x:c r="E398" s="28" t="str">
        <x:v>机器视觉与感知</x:v>
      </x:c>
      <x:c r="F398" s="28" t="str">
        <x:v>视觉根因推理</x:v>
      </x:c>
      <x:c r="G398" s="28" t="str">
        <x:v>围绕“视觉根因推理”构建可在复杂光照、透明/反光对象和时序过程下稳定工作的多模态感知能力。</x:v>
      </x:c>
      <x:c r="H398" s="28" t="str">
        <x:v>在域偏移、遮挡和异常场景下，误检/漏检及拒绝机制是否达标？</x:v>
      </x:c>
      <x:c r="I398" s="28" t="str">
        <x:v>准确率/F1；漏检率；误报率；检测延迟；OOD拒绝率；边缘推理时延</x:v>
      </x:c>
      <x:c r="J398" s="64" t="str">
        <x:v>前沿能力</x:v>
      </x:c>
      <x:c r="K398" s="64" t="str">
        <x:v>P2</x:v>
      </x:c>
      <x:c r="L398" s="28" t="str">
        <x:v>S09; S52; S53; S62</x:v>
      </x:c>
      <x:c r="M398" s="28" t="str">
        <x:v>https://www.nature.com/articles/s41586-024-08173-7</x:v>
      </x:c>
    </x:row>
    <x:row r="399" ht="48" customHeight="1">
      <x:c r="A399" s="64" t="str">
        <x:v>T0398</x:v>
      </x:c>
      <x:c r="B399" s="28" t="str">
        <x:v>实验执行与具身自动化</x:v>
      </x:c>
      <x:c r="C399" s="28" t="str">
        <x:v>机器视觉、多模态感知与异常检测</x:v>
      </x:c>
      <x:c r="D399" s="28" t="str">
        <x:v>多模态、异常与主动感知</x:v>
      </x:c>
      <x:c r="E399" s="28" t="str">
        <x:v>机器视觉与感知</x:v>
      </x:c>
      <x:c r="F399" s="28" t="str">
        <x:v>主动感知</x:v>
      </x:c>
      <x:c r="G399" s="28" t="str">
        <x:v>围绕“主动感知”构建可在复杂光照、透明/反光对象和时序过程下稳定工作的多模态感知能力。</x:v>
      </x:c>
      <x:c r="H399" s="28" t="str">
        <x:v>在域偏移、遮挡和异常场景下，误检/漏检及拒绝机制是否达标？</x:v>
      </x:c>
      <x:c r="I399" s="28" t="str">
        <x:v>准确率/F1；漏检率；误报率；检测延迟；OOD拒绝率；边缘推理时延</x:v>
      </x:c>
      <x:c r="J399" s="64" t="str">
        <x:v>前沿能力</x:v>
      </x:c>
      <x:c r="K399" s="64" t="str">
        <x:v>P2</x:v>
      </x:c>
      <x:c r="L399" s="28" t="str">
        <x:v>S09; S52; S53; S62</x:v>
      </x:c>
      <x:c r="M399" s="28" t="str">
        <x:v>https://www.nature.com/articles/s42004-025-01770-1</x:v>
      </x:c>
    </x:row>
    <x:row r="400" ht="48" customHeight="1">
      <x:c r="A400" s="64" t="str">
        <x:v>T0399</x:v>
      </x:c>
      <x:c r="B400" s="28" t="str">
        <x:v>实验执行与具身自动化</x:v>
      </x:c>
      <x:c r="C400" s="28" t="str">
        <x:v>机器视觉、多模态感知与异常检测</x:v>
      </x:c>
      <x:c r="D400" s="28" t="str">
        <x:v>多模态、异常与主动感知</x:v>
      </x:c>
      <x:c r="E400" s="28" t="str">
        <x:v>机器视觉与感知</x:v>
      </x:c>
      <x:c r="F400" s="28" t="str">
        <x:v>视角规划</x:v>
      </x:c>
      <x:c r="G400" s="28" t="str">
        <x:v>围绕“视角规划”构建可在复杂光照、透明/反光对象和时序过程下稳定工作的多模态感知能力。</x:v>
      </x:c>
      <x:c r="H400" s="28" t="str">
        <x:v>在域偏移、遮挡和异常场景下，误检/漏检及拒绝机制是否达标？</x:v>
      </x:c>
      <x:c r="I400" s="28" t="str">
        <x:v>准确率/F1；漏检率；误报率；检测延迟；OOD拒绝率；边缘推理时延</x:v>
      </x:c>
      <x:c r="J400" s="64" t="str">
        <x:v>前沿能力</x:v>
      </x:c>
      <x:c r="K400" s="64" t="str">
        <x:v>P2</x:v>
      </x:c>
      <x:c r="L400" s="28" t="str">
        <x:v>S09; S52; S53; S62</x:v>
      </x:c>
      <x:c r="M400" s="28" t="str">
        <x:v>https://www.nature.com/articles/s41597-025-06060-y</x:v>
      </x:c>
    </x:row>
    <x:row r="401" ht="48" customHeight="1">
      <x:c r="A401" s="64" t="str">
        <x:v>T0400</x:v>
      </x:c>
      <x:c r="B401" s="28" t="str">
        <x:v>实验执行与具身自动化</x:v>
      </x:c>
      <x:c r="C401" s="28" t="str">
        <x:v>机器视觉、多模态感知与异常检测</x:v>
      </x:c>
      <x:c r="D401" s="28" t="str">
        <x:v>多模态、异常与主动感知</x:v>
      </x:c>
      <x:c r="E401" s="28" t="str">
        <x:v>机器视觉与感知</x:v>
      </x:c>
      <x:c r="F401" s="28" t="str">
        <x:v>边缘视觉推理</x:v>
      </x:c>
      <x:c r="G401" s="28" t="str">
        <x:v>围绕“边缘视觉推理”构建可在复杂光照、透明/反光对象和时序过程下稳定工作的多模态感知能力。</x:v>
      </x:c>
      <x:c r="H401" s="28" t="str">
        <x:v>在域偏移、遮挡和异常场景下，误检/漏检及拒绝机制是否达标？</x:v>
      </x:c>
      <x:c r="I401" s="28" t="str">
        <x:v>准确率/F1；漏检率；误报率；检测延迟；OOD拒绝率；边缘推理时延</x:v>
      </x:c>
      <x:c r="J401" s="64" t="str">
        <x:v>前沿能力</x:v>
      </x:c>
      <x:c r="K401" s="64" t="str">
        <x:v>P2</x:v>
      </x:c>
      <x:c r="L401" s="28" t="str">
        <x:v>S09; S52; S53; S62</x:v>
      </x:c>
      <x:c r="M401" s="28" t="str">
        <x:v>https://www.aas.net.cn/cn/article/doi/10.16383/j.aas.c240364?viewType=HTML</x:v>
      </x:c>
    </x:row>
    <x:row r="402" ht="48" customHeight="1">
      <x:c r="A402" s="64" t="str">
        <x:v>T0401</x:v>
      </x:c>
      <x:c r="B402" s="28" t="str">
        <x:v>数据与互操作基础设施</x:v>
      </x:c>
      <x:c r="C402" s="28" t="str">
        <x:v>数据基础设施、FAIR、语义与溯源</x:v>
      </x:c>
      <x:c r="D402" s="28" t="str">
        <x:v>FAIR、元数据与语义</x:v>
      </x:c>
      <x:c r="E402" s="28" t="str">
        <x:v>数据与知识基础设施</x:v>
      </x:c>
      <x:c r="F402" s="28" t="str">
        <x:v>FAIR-可发现</x:v>
      </x:c>
      <x:c r="G402" s="28" t="str">
        <x:v>通过“FAIR-可发现”让样品、协议、仪器、模型与结果在全生命周期内可发现、可解释、可复用和可审计。</x:v>
      </x:c>
      <x:c r="H402" s="28" t="str">
        <x:v>数据是否具备唯一身份、上下文、版本、血缘、质量和访问策略？</x:v>
      </x:c>
      <x:c r="I402" s="28" t="str">
        <x:v>元数据完整率；可检索率；血缘覆盖率；数据质量规则通过率；复用率</x:v>
      </x:c>
      <x:c r="J402" s="64" t="str">
        <x:v>基础能力</x:v>
      </x:c>
      <x:c r="K402" s="64" t="str">
        <x:v>P0</x:v>
      </x:c>
      <x:c r="L402" s="28" t="str">
        <x:v>S23; S24; S25; S27; S28</x:v>
      </x:c>
      <x:c r="M402" s="28" t="str">
        <x:v>https://www.nature.com/articles/sdata201618</x:v>
      </x:c>
    </x:row>
    <x:row r="403" ht="48" customHeight="1">
      <x:c r="A403" s="64" t="str">
        <x:v>T0402</x:v>
      </x:c>
      <x:c r="B403" s="28" t="str">
        <x:v>数据与互操作基础设施</x:v>
      </x:c>
      <x:c r="C403" s="28" t="str">
        <x:v>数据基础设施、FAIR、语义与溯源</x:v>
      </x:c>
      <x:c r="D403" s="28" t="str">
        <x:v>FAIR、元数据与语义</x:v>
      </x:c>
      <x:c r="E403" s="28" t="str">
        <x:v>数据与知识基础设施</x:v>
      </x:c>
      <x:c r="F403" s="28" t="str">
        <x:v>FAIR-可访问</x:v>
      </x:c>
      <x:c r="G403" s="28" t="str">
        <x:v>通过“FAIR-可访问”让样品、协议、仪器、模型与结果在全生命周期内可发现、可解释、可复用和可审计。</x:v>
      </x:c>
      <x:c r="H403" s="28" t="str">
        <x:v>数据是否具备唯一身份、上下文、版本、血缘、质量和访问策略？</x:v>
      </x:c>
      <x:c r="I403" s="28" t="str">
        <x:v>元数据完整率；可检索率；血缘覆盖率；数据质量规则通过率；复用率</x:v>
      </x:c>
      <x:c r="J403" s="64" t="str">
        <x:v>基础能力</x:v>
      </x:c>
      <x:c r="K403" s="64" t="str">
        <x:v>P0</x:v>
      </x:c>
      <x:c r="L403" s="28" t="str">
        <x:v>S23; S24; S25; S27; S28</x:v>
      </x:c>
      <x:c r="M403" s="28" t="str">
        <x:v>https://www.w3.org/TR/prov-o/</x:v>
      </x:c>
    </x:row>
    <x:row r="404" ht="48" customHeight="1">
      <x:c r="A404" s="64" t="str">
        <x:v>T0403</x:v>
      </x:c>
      <x:c r="B404" s="28" t="str">
        <x:v>数据与互操作基础设施</x:v>
      </x:c>
      <x:c r="C404" s="28" t="str">
        <x:v>数据基础设施、FAIR、语义与溯源</x:v>
      </x:c>
      <x:c r="D404" s="28" t="str">
        <x:v>FAIR、元数据与语义</x:v>
      </x:c>
      <x:c r="E404" s="28" t="str">
        <x:v>数据与知识基础设施</x:v>
      </x:c>
      <x:c r="F404" s="28" t="str">
        <x:v>FAIR-互操作</x:v>
      </x:c>
      <x:c r="G404" s="28" t="str">
        <x:v>通过“FAIR-互操作”让样品、协议、仪器、模型与结果在全生命周期内可发现、可解释、可复用和可审计。</x:v>
      </x:c>
      <x:c r="H404" s="28" t="str">
        <x:v>数据是否具备唯一身份、上下文、版本、血缘、质量和访问策略？</x:v>
      </x:c>
      <x:c r="I404" s="28" t="str">
        <x:v>元数据完整率；可检索率；血缘覆盖率；数据质量规则通过率；复用率</x:v>
      </x:c>
      <x:c r="J404" s="64" t="str">
        <x:v>基础能力</x:v>
      </x:c>
      <x:c r="K404" s="64" t="str">
        <x:v>P0</x:v>
      </x:c>
      <x:c r="L404" s="28" t="str">
        <x:v>S23; S24; S25; S27; S28</x:v>
      </x:c>
      <x:c r="M404" s="28" t="str">
        <x:v>https://www.researchobject.org/ro-crate/specification/1.1/provenance.html</x:v>
      </x:c>
    </x:row>
    <x:row r="405" ht="48" customHeight="1">
      <x:c r="A405" s="64" t="str">
        <x:v>T0404</x:v>
      </x:c>
      <x:c r="B405" s="28" t="str">
        <x:v>数据与互操作基础设施</x:v>
      </x:c>
      <x:c r="C405" s="28" t="str">
        <x:v>数据基础设施、FAIR、语义与溯源</x:v>
      </x:c>
      <x:c r="D405" s="28" t="str">
        <x:v>FAIR、元数据与语义</x:v>
      </x:c>
      <x:c r="E405" s="28" t="str">
        <x:v>数据与知识基础设施</x:v>
      </x:c>
      <x:c r="F405" s="28" t="str">
        <x:v>FAIR-可复用</x:v>
      </x:c>
      <x:c r="G405" s="28" t="str">
        <x:v>通过“FAIR-可复用”让样品、协议、仪器、模型与结果在全生命周期内可发现、可解释、可复用和可审计。</x:v>
      </x:c>
      <x:c r="H405" s="28" t="str">
        <x:v>数据是否具备唯一身份、上下文、版本、血缘、质量和访问策略？</x:v>
      </x:c>
      <x:c r="I405" s="28" t="str">
        <x:v>元数据完整率；可检索率；血缘覆盖率；数据质量规则通过率；复用率</x:v>
      </x:c>
      <x:c r="J405" s="64" t="str">
        <x:v>基础能力</x:v>
      </x:c>
      <x:c r="K405" s="64" t="str">
        <x:v>P0</x:v>
      </x:c>
      <x:c r="L405" s="28" t="str">
        <x:v>S23; S24; S25; S27; S28</x:v>
      </x:c>
      <x:c r="M405" s="28" t="str">
        <x:v>https://www.allotrope.org/</x:v>
      </x:c>
    </x:row>
    <x:row r="406" ht="48" customHeight="1">
      <x:c r="A406" s="64" t="str">
        <x:v>T0405</x:v>
      </x:c>
      <x:c r="B406" s="28" t="str">
        <x:v>数据与互操作基础设施</x:v>
      </x:c>
      <x:c r="C406" s="28" t="str">
        <x:v>数据基础设施、FAIR、语义与溯源</x:v>
      </x:c>
      <x:c r="D406" s="28" t="str">
        <x:v>FAIR、元数据与语义</x:v>
      </x:c>
      <x:c r="E406" s="28" t="str">
        <x:v>数据与知识基础设施</x:v>
      </x:c>
      <x:c r="F406" s="28" t="str">
        <x:v>元数据模式</x:v>
      </x:c>
      <x:c r="G406" s="28" t="str">
        <x:v>通过“元数据模式”让样品、协议、仪器、模型与结果在全生命周期内可发现、可解释、可复用和可审计。</x:v>
      </x:c>
      <x:c r="H406" s="28" t="str">
        <x:v>数据是否具备唯一身份、上下文、版本、血缘、质量和访问策略？</x:v>
      </x:c>
      <x:c r="I406" s="28" t="str">
        <x:v>元数据完整率；可检索率；血缘覆盖率；数据质量规则通过率；复用率</x:v>
      </x:c>
      <x:c r="J406" s="64" t="str">
        <x:v>基础能力</x:v>
      </x:c>
      <x:c r="K406" s="64" t="str">
        <x:v>P0</x:v>
      </x:c>
      <x:c r="L406" s="28" t="str">
        <x:v>S23; S24; S25; S27; S28</x:v>
      </x:c>
      <x:c r="M406" s="28" t="str">
        <x:v>https://www.animl.org/</x:v>
      </x:c>
    </x:row>
    <x:row r="407" ht="48" customHeight="1">
      <x:c r="A407" s="64" t="str">
        <x:v>T0406</x:v>
      </x:c>
      <x:c r="B407" s="28" t="str">
        <x:v>数据与互操作基础设施</x:v>
      </x:c>
      <x:c r="C407" s="28" t="str">
        <x:v>数据基础设施、FAIR、语义与溯源</x:v>
      </x:c>
      <x:c r="D407" s="28" t="str">
        <x:v>FAIR、元数据与语义</x:v>
      </x:c>
      <x:c r="E407" s="28" t="str">
        <x:v>数据与知识基础设施</x:v>
      </x:c>
      <x:c r="F407" s="28" t="str">
        <x:v>领域本体</x:v>
      </x:c>
      <x:c r="G407" s="28" t="str">
        <x:v>通过“领域本体”让样品、协议、仪器、模型与结果在全生命周期内可发现、可解释、可复用和可审计。</x:v>
      </x:c>
      <x:c r="H407" s="28" t="str">
        <x:v>数据是否具备唯一身份、上下文、版本、血缘、质量和访问策略？</x:v>
      </x:c>
      <x:c r="I407" s="28" t="str">
        <x:v>元数据完整率；可检索率；血缘覆盖率；数据质量规则通过率；复用率</x:v>
      </x:c>
      <x:c r="J407" s="64" t="str">
        <x:v>基础能力</x:v>
      </x:c>
      <x:c r="K407" s="64" t="str">
        <x:v>P0</x:v>
      </x:c>
      <x:c r="L407" s="28" t="str">
        <x:v>S23; S24; S25; S27; S28</x:v>
      </x:c>
      <x:c r="M407" s="28" t="str">
        <x:v>https://www.nature.com/articles/sdata201618</x:v>
      </x:c>
    </x:row>
    <x:row r="408" ht="48" customHeight="1">
      <x:c r="A408" s="64" t="str">
        <x:v>T0407</x:v>
      </x:c>
      <x:c r="B408" s="28" t="str">
        <x:v>数据与互操作基础设施</x:v>
      </x:c>
      <x:c r="C408" s="28" t="str">
        <x:v>数据基础设施、FAIR、语义与溯源</x:v>
      </x:c>
      <x:c r="D408" s="28" t="str">
        <x:v>FAIR、元数据与语义</x:v>
      </x:c>
      <x:c r="E408" s="28" t="str">
        <x:v>数据与知识基础设施</x:v>
      </x:c>
      <x:c r="F408" s="28" t="str">
        <x:v>受控词表</x:v>
      </x:c>
      <x:c r="G408" s="28" t="str">
        <x:v>通过“受控词表”让样品、协议、仪器、模型与结果在全生命周期内可发现、可解释、可复用和可审计。</x:v>
      </x:c>
      <x:c r="H408" s="28" t="str">
        <x:v>数据是否具备唯一身份、上下文、版本、血缘、质量和访问策略？</x:v>
      </x:c>
      <x:c r="I408" s="28" t="str">
        <x:v>元数据完整率；可检索率；血缘覆盖率；数据质量规则通过率；复用率</x:v>
      </x:c>
      <x:c r="J408" s="64" t="str">
        <x:v>基础能力</x:v>
      </x:c>
      <x:c r="K408" s="64" t="str">
        <x:v>P0</x:v>
      </x:c>
      <x:c r="L408" s="28" t="str">
        <x:v>S23; S24; S25; S27; S28</x:v>
      </x:c>
      <x:c r="M408" s="28" t="str">
        <x:v>https://www.w3.org/TR/prov-o/</x:v>
      </x:c>
    </x:row>
    <x:row r="409" ht="48" customHeight="1">
      <x:c r="A409" s="64" t="str">
        <x:v>T0408</x:v>
      </x:c>
      <x:c r="B409" s="28" t="str">
        <x:v>数据与互操作基础设施</x:v>
      </x:c>
      <x:c r="C409" s="28" t="str">
        <x:v>数据基础设施、FAIR、语义与溯源</x:v>
      </x:c>
      <x:c r="D409" s="28" t="str">
        <x:v>FAIR、元数据与语义</x:v>
      </x:c>
      <x:c r="E409" s="28" t="str">
        <x:v>数据与知识基础设施</x:v>
      </x:c>
      <x:c r="F409" s="28" t="str">
        <x:v>科学知识图谱</x:v>
      </x:c>
      <x:c r="G409" s="28" t="str">
        <x:v>通过“科学知识图谱”让样品、协议、仪器、模型与结果在全生命周期内可发现、可解释、可复用和可审计。</x:v>
      </x:c>
      <x:c r="H409" s="28" t="str">
        <x:v>数据是否具备唯一身份、上下文、版本、血缘、质量和访问策略？</x:v>
      </x:c>
      <x:c r="I409" s="28" t="str">
        <x:v>元数据完整率；可检索率；血缘覆盖率；数据质量规则通过率；复用率</x:v>
      </x:c>
      <x:c r="J409" s="64" t="str">
        <x:v>基础能力</x:v>
      </x:c>
      <x:c r="K409" s="64" t="str">
        <x:v>P0</x:v>
      </x:c>
      <x:c r="L409" s="28" t="str">
        <x:v>S23; S24; S25; S27; S28</x:v>
      </x:c>
      <x:c r="M409" s="28" t="str">
        <x:v>https://www.researchobject.org/ro-crate/specification/1.1/provenance.html</x:v>
      </x:c>
    </x:row>
    <x:row r="410" ht="48" customHeight="1">
      <x:c r="A410" s="64" t="str">
        <x:v>T0409</x:v>
      </x:c>
      <x:c r="B410" s="28" t="str">
        <x:v>数据与互操作基础设施</x:v>
      </x:c>
      <x:c r="C410" s="28" t="str">
        <x:v>数据基础设施、FAIR、语义与溯源</x:v>
      </x:c>
      <x:c r="D410" s="28" t="str">
        <x:v>FAIR、元数据与语义</x:v>
      </x:c>
      <x:c r="E410" s="28" t="str">
        <x:v>数据与知识基础设施</x:v>
      </x:c>
      <x:c r="F410" s="28" t="str">
        <x:v>实体消歧</x:v>
      </x:c>
      <x:c r="G410" s="28" t="str">
        <x:v>通过“实体消歧”让样品、协议、仪器、模型与结果在全生命周期内可发现、可解释、可复用和可审计。</x:v>
      </x:c>
      <x:c r="H410" s="28" t="str">
        <x:v>数据是否具备唯一身份、上下文、版本、血缘、质量和访问策略？</x:v>
      </x:c>
      <x:c r="I410" s="28" t="str">
        <x:v>元数据完整率；可检索率；血缘覆盖率；数据质量规则通过率；复用率</x:v>
      </x:c>
      <x:c r="J410" s="64" t="str">
        <x:v>基础能力</x:v>
      </x:c>
      <x:c r="K410" s="64" t="str">
        <x:v>P0</x:v>
      </x:c>
      <x:c r="L410" s="28" t="str">
        <x:v>S23; S24; S25; S27; S28</x:v>
      </x:c>
      <x:c r="M410" s="28" t="str">
        <x:v>https://www.allotrope.org/</x:v>
      </x:c>
    </x:row>
    <x:row r="411" ht="48" customHeight="1">
      <x:c r="A411" s="64" t="str">
        <x:v>T0410</x:v>
      </x:c>
      <x:c r="B411" s="28" t="str">
        <x:v>数据与互操作基础设施</x:v>
      </x:c>
      <x:c r="C411" s="28" t="str">
        <x:v>数据基础设施、FAIR、语义与溯源</x:v>
      </x:c>
      <x:c r="D411" s="28" t="str">
        <x:v>FAIR、元数据与语义</x:v>
      </x:c>
      <x:c r="E411" s="28" t="str">
        <x:v>数据与知识基础设施</x:v>
      </x:c>
      <x:c r="F411" s="28" t="str">
        <x:v>持久标识符</x:v>
      </x:c>
      <x:c r="G411" s="28" t="str">
        <x:v>通过“持久标识符”让样品、协议、仪器、模型与结果在全生命周期内可发现、可解释、可复用和可审计。</x:v>
      </x:c>
      <x:c r="H411" s="28" t="str">
        <x:v>数据是否具备唯一身份、上下文、版本、血缘、质量和访问策略？</x:v>
      </x:c>
      <x:c r="I411" s="28" t="str">
        <x:v>元数据完整率；可检索率；血缘覆盖率；数据质量规则通过率；复用率</x:v>
      </x:c>
      <x:c r="J411" s="64" t="str">
        <x:v>基础能力</x:v>
      </x:c>
      <x:c r="K411" s="64" t="str">
        <x:v>P0</x:v>
      </x:c>
      <x:c r="L411" s="28" t="str">
        <x:v>S23; S24; S25; S27; S28</x:v>
      </x:c>
      <x:c r="M411" s="28" t="str">
        <x:v>https://www.animl.org/</x:v>
      </x:c>
    </x:row>
    <x:row r="412" ht="48" customHeight="1">
      <x:c r="A412" s="64" t="str">
        <x:v>T0411</x:v>
      </x:c>
      <x:c r="B412" s="28" t="str">
        <x:v>数据与互操作基础设施</x:v>
      </x:c>
      <x:c r="C412" s="28" t="str">
        <x:v>数据基础设施、FAIR、语义与溯源</x:v>
      </x:c>
      <x:c r="D412" s="28" t="str">
        <x:v>标识、时间与溯源</x:v>
      </x:c>
      <x:c r="E412" s="28" t="str">
        <x:v>数据与知识基础设施</x:v>
      </x:c>
      <x:c r="F412" s="28" t="str">
        <x:v>样品唯一ID</x:v>
      </x:c>
      <x:c r="G412" s="28" t="str">
        <x:v>通过“样品唯一ID”让样品、协议、仪器、模型与结果在全生命周期内可发现、可解释、可复用和可审计。</x:v>
      </x:c>
      <x:c r="H412" s="28" t="str">
        <x:v>数据是否具备唯一身份、上下文、版本、血缘、质量和访问策略？</x:v>
      </x:c>
      <x:c r="I412" s="28" t="str">
        <x:v>元数据完整率；可检索率；血缘覆盖率；数据质量规则通过率；复用率</x:v>
      </x:c>
      <x:c r="J412" s="64" t="str">
        <x:v>基础能力</x:v>
      </x:c>
      <x:c r="K412" s="64" t="str">
        <x:v>P1</x:v>
      </x:c>
      <x:c r="L412" s="28" t="str">
        <x:v>S23; S24; S25; S27; S28</x:v>
      </x:c>
      <x:c r="M412" s="28" t="str">
        <x:v>https://www.nature.com/articles/sdata201618</x:v>
      </x:c>
    </x:row>
    <x:row r="413" ht="48" customHeight="1">
      <x:c r="A413" s="64" t="str">
        <x:v>T0412</x:v>
      </x:c>
      <x:c r="B413" s="28" t="str">
        <x:v>数据与互操作基础设施</x:v>
      </x:c>
      <x:c r="C413" s="28" t="str">
        <x:v>数据基础设施、FAIR、语义与溯源</x:v>
      </x:c>
      <x:c r="D413" s="28" t="str">
        <x:v>标识、时间与溯源</x:v>
      </x:c>
      <x:c r="E413" s="28" t="str">
        <x:v>数据与知识基础设施</x:v>
      </x:c>
      <x:c r="F413" s="28" t="str">
        <x:v>材料唯一ID</x:v>
      </x:c>
      <x:c r="G413" s="28" t="str">
        <x:v>通过“材料唯一ID”让样品、协议、仪器、模型与结果在全生命周期内可发现、可解释、可复用和可审计。</x:v>
      </x:c>
      <x:c r="H413" s="28" t="str">
        <x:v>数据是否具备唯一身份、上下文、版本、血缘、质量和访问策略？</x:v>
      </x:c>
      <x:c r="I413" s="28" t="str">
        <x:v>元数据完整率；可检索率；血缘覆盖率；数据质量规则通过率；复用率</x:v>
      </x:c>
      <x:c r="J413" s="64" t="str">
        <x:v>基础能力</x:v>
      </x:c>
      <x:c r="K413" s="64" t="str">
        <x:v>P1</x:v>
      </x:c>
      <x:c r="L413" s="28" t="str">
        <x:v>S23; S24; S25; S27; S28</x:v>
      </x:c>
      <x:c r="M413" s="28" t="str">
        <x:v>https://www.w3.org/TR/prov-o/</x:v>
      </x:c>
    </x:row>
    <x:row r="414" ht="48" customHeight="1">
      <x:c r="A414" s="64" t="str">
        <x:v>T0413</x:v>
      </x:c>
      <x:c r="B414" s="28" t="str">
        <x:v>数据与互操作基础设施</x:v>
      </x:c>
      <x:c r="C414" s="28" t="str">
        <x:v>数据基础设施、FAIR、语义与溯源</x:v>
      </x:c>
      <x:c r="D414" s="28" t="str">
        <x:v>标识、时间与溯源</x:v>
      </x:c>
      <x:c r="E414" s="28" t="str">
        <x:v>数据与知识基础设施</x:v>
      </x:c>
      <x:c r="F414" s="28" t="str">
        <x:v>设备唯一ID</x:v>
      </x:c>
      <x:c r="G414" s="28" t="str">
        <x:v>通过“设备唯一ID”让样品、协议、仪器、模型与结果在全生命周期内可发现、可解释、可复用和可审计。</x:v>
      </x:c>
      <x:c r="H414" s="28" t="str">
        <x:v>数据是否具备唯一身份、上下文、版本、血缘、质量和访问策略？</x:v>
      </x:c>
      <x:c r="I414" s="28" t="str">
        <x:v>元数据完整率；可检索率；血缘覆盖率；数据质量规则通过率；复用率</x:v>
      </x:c>
      <x:c r="J414" s="64" t="str">
        <x:v>工程化关键</x:v>
      </x:c>
      <x:c r="K414" s="64" t="str">
        <x:v>P1</x:v>
      </x:c>
      <x:c r="L414" s="28" t="str">
        <x:v>S23; S24; S25; S27; S28</x:v>
      </x:c>
      <x:c r="M414" s="28" t="str">
        <x:v>https://www.researchobject.org/ro-crate/specification/1.1/provenance.html</x:v>
      </x:c>
    </x:row>
    <x:row r="415" ht="48" customHeight="1">
      <x:c r="A415" s="64" t="str">
        <x:v>T0414</x:v>
      </x:c>
      <x:c r="B415" s="28" t="str">
        <x:v>数据与互操作基础设施</x:v>
      </x:c>
      <x:c r="C415" s="28" t="str">
        <x:v>数据基础设施、FAIR、语义与溯源</x:v>
      </x:c>
      <x:c r="D415" s="28" t="str">
        <x:v>标识、时间与溯源</x:v>
      </x:c>
      <x:c r="E415" s="28" t="str">
        <x:v>数据与知识基础设施</x:v>
      </x:c>
      <x:c r="F415" s="28" t="str">
        <x:v>协议唯一ID</x:v>
      </x:c>
      <x:c r="G415" s="28" t="str">
        <x:v>通过“协议唯一ID”让样品、协议、仪器、模型与结果在全生命周期内可发现、可解释、可复用和可审计。</x:v>
      </x:c>
      <x:c r="H415" s="28" t="str">
        <x:v>数据是否具备唯一身份、上下文、版本、血缘、质量和访问策略？</x:v>
      </x:c>
      <x:c r="I415" s="28" t="str">
        <x:v>元数据完整率；可检索率；血缘覆盖率；数据质量规则通过率；复用率</x:v>
      </x:c>
      <x:c r="J415" s="64" t="str">
        <x:v>工程化关键</x:v>
      </x:c>
      <x:c r="K415" s="64" t="str">
        <x:v>P1</x:v>
      </x:c>
      <x:c r="L415" s="28" t="str">
        <x:v>S23; S24; S25; S27; S28</x:v>
      </x:c>
      <x:c r="M415" s="28" t="str">
        <x:v>https://www.allotrope.org/</x:v>
      </x:c>
    </x:row>
    <x:row r="416" ht="48" customHeight="1">
      <x:c r="A416" s="64" t="str">
        <x:v>T0415</x:v>
      </x:c>
      <x:c r="B416" s="28" t="str">
        <x:v>数据与互操作基础设施</x:v>
      </x:c>
      <x:c r="C416" s="28" t="str">
        <x:v>数据基础设施、FAIR、语义与溯源</x:v>
      </x:c>
      <x:c r="D416" s="28" t="str">
        <x:v>标识、时间与溯源</x:v>
      </x:c>
      <x:c r="E416" s="28" t="str">
        <x:v>数据与知识基础设施</x:v>
      </x:c>
      <x:c r="F416" s="28" t="str">
        <x:v>语义版本</x:v>
      </x:c>
      <x:c r="G416" s="28" t="str">
        <x:v>通过“语义版本”让样品、协议、仪器、模型与结果在全生命周期内可发现、可解释、可复用和可审计。</x:v>
      </x:c>
      <x:c r="H416" s="28" t="str">
        <x:v>数据是否具备唯一身份、上下文、版本、血缘、质量和访问策略？</x:v>
      </x:c>
      <x:c r="I416" s="28" t="str">
        <x:v>元数据完整率；可检索率；血缘覆盖率；数据质量规则通过率；复用率</x:v>
      </x:c>
      <x:c r="J416" s="64" t="str">
        <x:v>工程化关键</x:v>
      </x:c>
      <x:c r="K416" s="64" t="str">
        <x:v>P1</x:v>
      </x:c>
      <x:c r="L416" s="28" t="str">
        <x:v>S23; S24; S25; S27; S28</x:v>
      </x:c>
      <x:c r="M416" s="28" t="str">
        <x:v>https://www.animl.org/</x:v>
      </x:c>
    </x:row>
    <x:row r="417" ht="48" customHeight="1">
      <x:c r="A417" s="64" t="str">
        <x:v>T0416</x:v>
      </x:c>
      <x:c r="B417" s="28" t="str">
        <x:v>数据与互操作基础设施</x:v>
      </x:c>
      <x:c r="C417" s="28" t="str">
        <x:v>数据基础设施、FAIR、语义与溯源</x:v>
      </x:c>
      <x:c r="D417" s="28" t="str">
        <x:v>标识、时间与溯源</x:v>
      </x:c>
      <x:c r="E417" s="28" t="str">
        <x:v>数据与知识基础设施</x:v>
      </x:c>
      <x:c r="F417" s="28" t="str">
        <x:v>高精度时间戳</x:v>
      </x:c>
      <x:c r="G417" s="28" t="str">
        <x:v>通过“高精度时间戳”让样品、协议、仪器、模型与结果在全生命周期内可发现、可解释、可复用和可审计。</x:v>
      </x:c>
      <x:c r="H417" s="28" t="str">
        <x:v>数据是否具备唯一身份、上下文、版本、血缘、质量和访问策略？</x:v>
      </x:c>
      <x:c r="I417" s="28" t="str">
        <x:v>元数据完整率；可检索率；血缘覆盖率；数据质量规则通过率；复用率</x:v>
      </x:c>
      <x:c r="J417" s="64" t="str">
        <x:v>工程化关键</x:v>
      </x:c>
      <x:c r="K417" s="64" t="str">
        <x:v>P1</x:v>
      </x:c>
      <x:c r="L417" s="28" t="str">
        <x:v>S23; S24; S25; S27; S28</x:v>
      </x:c>
      <x:c r="M417" s="28" t="str">
        <x:v>https://www.nature.com/articles/sdata201618</x:v>
      </x:c>
    </x:row>
    <x:row r="418" ht="48" customHeight="1">
      <x:c r="A418" s="64" t="str">
        <x:v>T0417</x:v>
      </x:c>
      <x:c r="B418" s="28" t="str">
        <x:v>数据与互操作基础设施</x:v>
      </x:c>
      <x:c r="C418" s="28" t="str">
        <x:v>数据基础设施、FAIR、语义与溯源</x:v>
      </x:c>
      <x:c r="D418" s="28" t="str">
        <x:v>标识、时间与溯源</x:v>
      </x:c>
      <x:c r="E418" s="28" t="str">
        <x:v>数据与知识基础设施</x:v>
      </x:c>
      <x:c r="F418" s="28" t="str">
        <x:v>时钟同步</x:v>
      </x:c>
      <x:c r="G418" s="28" t="str">
        <x:v>通过“时钟同步”让样品、协议、仪器、模型与结果在全生命周期内可发现、可解释、可复用和可审计。</x:v>
      </x:c>
      <x:c r="H418" s="28" t="str">
        <x:v>数据是否具备唯一身份、上下文、版本、血缘、质量和访问策略？</x:v>
      </x:c>
      <x:c r="I418" s="28" t="str">
        <x:v>元数据完整率；可检索率；血缘覆盖率；数据质量规则通过率；复用率</x:v>
      </x:c>
      <x:c r="J418" s="64" t="str">
        <x:v>工程化关键</x:v>
      </x:c>
      <x:c r="K418" s="64" t="str">
        <x:v>P1</x:v>
      </x:c>
      <x:c r="L418" s="28" t="str">
        <x:v>S23; S24; S25; S27; S28</x:v>
      </x:c>
      <x:c r="M418" s="28" t="str">
        <x:v>https://www.w3.org/TR/prov-o/</x:v>
      </x:c>
    </x:row>
    <x:row r="419" ht="48" customHeight="1">
      <x:c r="A419" s="64" t="str">
        <x:v>T0418</x:v>
      </x:c>
      <x:c r="B419" s="28" t="str">
        <x:v>数据与互操作基础设施</x:v>
      </x:c>
      <x:c r="C419" s="28" t="str">
        <x:v>数据基础设施、FAIR、语义与溯源</x:v>
      </x:c>
      <x:c r="D419" s="28" t="str">
        <x:v>标识、时间与溯源</x:v>
      </x:c>
      <x:c r="E419" s="28" t="str">
        <x:v>数据与知识基础设施</x:v>
      </x:c>
      <x:c r="F419" s="28" t="str">
        <x:v>W3C PROV溯源</x:v>
      </x:c>
      <x:c r="G419" s="28" t="str">
        <x:v>通过“W3C PROV溯源”让样品、协议、仪器、模型与结果在全生命周期内可发现、可解释、可复用和可审计。</x:v>
      </x:c>
      <x:c r="H419" s="28" t="str">
        <x:v>数据是否具备唯一身份、上下文、版本、血缘、质量和访问策略？</x:v>
      </x:c>
      <x:c r="I419" s="28" t="str">
        <x:v>元数据完整率；可检索率；血缘覆盖率；数据质量规则通过率；复用率</x:v>
      </x:c>
      <x:c r="J419" s="64" t="str">
        <x:v>工程化关键</x:v>
      </x:c>
      <x:c r="K419" s="64" t="str">
        <x:v>P1</x:v>
      </x:c>
      <x:c r="L419" s="28" t="str">
        <x:v>S23; S24; S25; S27; S28</x:v>
      </x:c>
      <x:c r="M419" s="28" t="str">
        <x:v>https://www.researchobject.org/ro-crate/specification/1.1/provenance.html</x:v>
      </x:c>
    </x:row>
    <x:row r="420" ht="48" customHeight="1">
      <x:c r="A420" s="64" t="str">
        <x:v>T0419</x:v>
      </x:c>
      <x:c r="B420" s="28" t="str">
        <x:v>数据与互操作基础设施</x:v>
      </x:c>
      <x:c r="C420" s="28" t="str">
        <x:v>数据基础设施、FAIR、语义与溯源</x:v>
      </x:c>
      <x:c r="D420" s="28" t="str">
        <x:v>标识、时间与溯源</x:v>
      </x:c>
      <x:c r="E420" s="28" t="str">
        <x:v>数据与知识基础设施</x:v>
      </x:c>
      <x:c r="F420" s="28" t="str">
        <x:v>RO-Crate封装</x:v>
      </x:c>
      <x:c r="G420" s="28" t="str">
        <x:v>通过“RO-Crate封装”让样品、协议、仪器、模型与结果在全生命周期内可发现、可解释、可复用和可审计。</x:v>
      </x:c>
      <x:c r="H420" s="28" t="str">
        <x:v>数据是否具备唯一身份、上下文、版本、血缘、质量和访问策略？</x:v>
      </x:c>
      <x:c r="I420" s="28" t="str">
        <x:v>元数据完整率；可检索率；血缘覆盖率；数据质量规则通过率；复用率</x:v>
      </x:c>
      <x:c r="J420" s="64" t="str">
        <x:v>工程化关键</x:v>
      </x:c>
      <x:c r="K420" s="64" t="str">
        <x:v>P1</x:v>
      </x:c>
      <x:c r="L420" s="28" t="str">
        <x:v>S23; S24; S25; S27; S28</x:v>
      </x:c>
      <x:c r="M420" s="28" t="str">
        <x:v>https://www.allotrope.org/</x:v>
      </x:c>
    </x:row>
    <x:row r="421" ht="48" customHeight="1">
      <x:c r="A421" s="64" t="str">
        <x:v>T0420</x:v>
      </x:c>
      <x:c r="B421" s="28" t="str">
        <x:v>数据与互操作基础设施</x:v>
      </x:c>
      <x:c r="C421" s="28" t="str">
        <x:v>数据基础设施、FAIR、语义与溯源</x:v>
      </x:c>
      <x:c r="D421" s="28" t="str">
        <x:v>标识、时间与溯源</x:v>
      </x:c>
      <x:c r="E421" s="28" t="str">
        <x:v>数据与知识基础设施</x:v>
      </x:c>
      <x:c r="F421" s="28" t="str">
        <x:v>数据血缘</x:v>
      </x:c>
      <x:c r="G421" s="28" t="str">
        <x:v>通过“数据血缘”让样品、协议、仪器、模型与结果在全生命周期内可发现、可解释、可复用和可审计。</x:v>
      </x:c>
      <x:c r="H421" s="28" t="str">
        <x:v>数据是否具备唯一身份、上下文、版本、血缘、质量和访问策略？</x:v>
      </x:c>
      <x:c r="I421" s="28" t="str">
        <x:v>元数据完整率；可检索率；血缘覆盖率；数据质量规则通过率；复用率</x:v>
      </x:c>
      <x:c r="J421" s="64" t="str">
        <x:v>工程化关键</x:v>
      </x:c>
      <x:c r="K421" s="64" t="str">
        <x:v>P1</x:v>
      </x:c>
      <x:c r="L421" s="28" t="str">
        <x:v>S23; S24; S25; S27; S28</x:v>
      </x:c>
      <x:c r="M421" s="28" t="str">
        <x:v>https://www.animl.org/</x:v>
      </x:c>
    </x:row>
    <x:row r="422" ht="48" customHeight="1">
      <x:c r="A422" s="64" t="str">
        <x:v>T0421</x:v>
      </x:c>
      <x:c r="B422" s="28" t="str">
        <x:v>数据与互操作基础设施</x:v>
      </x:c>
      <x:c r="C422" s="28" t="str">
        <x:v>数据基础设施、FAIR、语义与溯源</x:v>
      </x:c>
      <x:c r="D422" s="28" t="str">
        <x:v>存储与数据平台</x:v>
      </x:c>
      <x:c r="E422" s="28" t="str">
        <x:v>数据与知识基础设施</x:v>
      </x:c>
      <x:c r="F422" s="28" t="str">
        <x:v>原始数据不可变</x:v>
      </x:c>
      <x:c r="G422" s="28" t="str">
        <x:v>通过“原始数据不可变”让样品、协议、仪器、模型与结果在全生命周期内可发现、可解释、可复用和可审计。</x:v>
      </x:c>
      <x:c r="H422" s="28" t="str">
        <x:v>数据是否具备唯一身份、上下文、版本、血缘、质量和访问策略？</x:v>
      </x:c>
      <x:c r="I422" s="28" t="str">
        <x:v>元数据完整率；可检索率；血缘覆盖率；数据质量规则通过率；复用率</x:v>
      </x:c>
      <x:c r="J422" s="64" t="str">
        <x:v>工程化关键</x:v>
      </x:c>
      <x:c r="K422" s="64" t="str">
        <x:v>P1</x:v>
      </x:c>
      <x:c r="L422" s="28" t="str">
        <x:v>S23; S24; S25; S27; S28</x:v>
      </x:c>
      <x:c r="M422" s="28" t="str">
        <x:v>https://www.nature.com/articles/sdata201618</x:v>
      </x:c>
    </x:row>
    <x:row r="423" ht="48" customHeight="1">
      <x:c r="A423" s="64" t="str">
        <x:v>T0422</x:v>
      </x:c>
      <x:c r="B423" s="28" t="str">
        <x:v>数据与互操作基础设施</x:v>
      </x:c>
      <x:c r="C423" s="28" t="str">
        <x:v>数据基础设施、FAIR、语义与溯源</x:v>
      </x:c>
      <x:c r="D423" s="28" t="str">
        <x:v>存储与数据平台</x:v>
      </x:c>
      <x:c r="E423" s="28" t="str">
        <x:v>数据与知识基础设施</x:v>
      </x:c>
      <x:c r="F423" s="28" t="str">
        <x:v>校验和</x:v>
      </x:c>
      <x:c r="G423" s="28" t="str">
        <x:v>通过“校验和”让样品、协议、仪器、模型与结果在全生命周期内可发现、可解释、可复用和可审计。</x:v>
      </x:c>
      <x:c r="H423" s="28" t="str">
        <x:v>数据是否具备唯一身份、上下文、版本、血缘、质量和访问策略？</x:v>
      </x:c>
      <x:c r="I423" s="28" t="str">
        <x:v>元数据完整率；可检索率；血缘覆盖率；数据质量规则通过率；复用率</x:v>
      </x:c>
      <x:c r="J423" s="64" t="str">
        <x:v>工程化关键</x:v>
      </x:c>
      <x:c r="K423" s="64" t="str">
        <x:v>P1</x:v>
      </x:c>
      <x:c r="L423" s="28" t="str">
        <x:v>S23; S24; S25; S27; S28</x:v>
      </x:c>
      <x:c r="M423" s="28" t="str">
        <x:v>https://www.w3.org/TR/prov-o/</x:v>
      </x:c>
    </x:row>
    <x:row r="424" ht="48" customHeight="1">
      <x:c r="A424" s="64" t="str">
        <x:v>T0423</x:v>
      </x:c>
      <x:c r="B424" s="28" t="str">
        <x:v>数据与互操作基础设施</x:v>
      </x:c>
      <x:c r="C424" s="28" t="str">
        <x:v>数据基础设施、FAIR、语义与溯源</x:v>
      </x:c>
      <x:c r="D424" s="28" t="str">
        <x:v>存储与数据平台</x:v>
      </x:c>
      <x:c r="E424" s="28" t="str">
        <x:v>数据与知识基础设施</x:v>
      </x:c>
      <x:c r="F424" s="28" t="str">
        <x:v>数据湖仓</x:v>
      </x:c>
      <x:c r="G424" s="28" t="str">
        <x:v>通过“数据湖仓”让样品、协议、仪器、模型与结果在全生命周期内可发现、可解释、可复用和可审计。</x:v>
      </x:c>
      <x:c r="H424" s="28" t="str">
        <x:v>数据是否具备唯一身份、上下文、版本、血缘、质量和访问策略？</x:v>
      </x:c>
      <x:c r="I424" s="28" t="str">
        <x:v>元数据完整率；可检索率；血缘覆盖率；数据质量规则通过率；复用率</x:v>
      </x:c>
      <x:c r="J424" s="64" t="str">
        <x:v>工程化关键</x:v>
      </x:c>
      <x:c r="K424" s="64" t="str">
        <x:v>P1</x:v>
      </x:c>
      <x:c r="L424" s="28" t="str">
        <x:v>S23; S24; S25; S27; S28</x:v>
      </x:c>
      <x:c r="M424" s="28" t="str">
        <x:v>https://www.researchobject.org/ro-crate/specification/1.1/provenance.html</x:v>
      </x:c>
    </x:row>
    <x:row r="425" ht="48" customHeight="1">
      <x:c r="A425" s="64" t="str">
        <x:v>T0424</x:v>
      </x:c>
      <x:c r="B425" s="28" t="str">
        <x:v>数据与互操作基础设施</x:v>
      </x:c>
      <x:c r="C425" s="28" t="str">
        <x:v>数据基础设施、FAIR、语义与溯源</x:v>
      </x:c>
      <x:c r="D425" s="28" t="str">
        <x:v>存储与数据平台</x:v>
      </x:c>
      <x:c r="E425" s="28" t="str">
        <x:v>数据与知识基础设施</x:v>
      </x:c>
      <x:c r="F425" s="28" t="str">
        <x:v>时序数据库</x:v>
      </x:c>
      <x:c r="G425" s="28" t="str">
        <x:v>通过“时序数据库”让样品、协议、仪器、模型与结果在全生命周期内可发现、可解释、可复用和可审计。</x:v>
      </x:c>
      <x:c r="H425" s="28" t="str">
        <x:v>数据是否具备唯一身份、上下文、版本、血缘、质量和访问策略？</x:v>
      </x:c>
      <x:c r="I425" s="28" t="str">
        <x:v>元数据完整率；可检索率；血缘覆盖率；数据质量规则通过率；复用率</x:v>
      </x:c>
      <x:c r="J425" s="64" t="str">
        <x:v>工程化关键</x:v>
      </x:c>
      <x:c r="K425" s="64" t="str">
        <x:v>P1</x:v>
      </x:c>
      <x:c r="L425" s="28" t="str">
        <x:v>S23; S24; S25; S27; S28</x:v>
      </x:c>
      <x:c r="M425" s="28" t="str">
        <x:v>https://www.allotrope.org/</x:v>
      </x:c>
    </x:row>
    <x:row r="426" ht="48" customHeight="1">
      <x:c r="A426" s="64" t="str">
        <x:v>T0425</x:v>
      </x:c>
      <x:c r="B426" s="28" t="str">
        <x:v>数据与互操作基础设施</x:v>
      </x:c>
      <x:c r="C426" s="28" t="str">
        <x:v>数据基础设施、FAIR、语义与溯源</x:v>
      </x:c>
      <x:c r="D426" s="28" t="str">
        <x:v>存储与数据平台</x:v>
      </x:c>
      <x:c r="E426" s="28" t="str">
        <x:v>数据与知识基础设施</x:v>
      </x:c>
      <x:c r="F426" s="28" t="str">
        <x:v>对象存储</x:v>
      </x:c>
      <x:c r="G426" s="28" t="str">
        <x:v>通过“对象存储”让样品、协议、仪器、模型与结果在全生命周期内可发现、可解释、可复用和可审计。</x:v>
      </x:c>
      <x:c r="H426" s="28" t="str">
        <x:v>数据是否具备唯一身份、上下文、版本、血缘、质量和访问策略？</x:v>
      </x:c>
      <x:c r="I426" s="28" t="str">
        <x:v>元数据完整率；可检索率；血缘覆盖率；数据质量规则通过率；复用率</x:v>
      </x:c>
      <x:c r="J426" s="64" t="str">
        <x:v>工程化关键</x:v>
      </x:c>
      <x:c r="K426" s="64" t="str">
        <x:v>P1</x:v>
      </x:c>
      <x:c r="L426" s="28" t="str">
        <x:v>S23; S24; S25; S27; S28</x:v>
      </x:c>
      <x:c r="M426" s="28" t="str">
        <x:v>https://www.animl.org/</x:v>
      </x:c>
    </x:row>
    <x:row r="427" ht="48" customHeight="1">
      <x:c r="A427" s="64" t="str">
        <x:v>T0426</x:v>
      </x:c>
      <x:c r="B427" s="28" t="str">
        <x:v>数据与互操作基础设施</x:v>
      </x:c>
      <x:c r="C427" s="28" t="str">
        <x:v>数据基础设施、FAIR、语义与溯源</x:v>
      </x:c>
      <x:c r="D427" s="28" t="str">
        <x:v>存储与数据平台</x:v>
      </x:c>
      <x:c r="E427" s="28" t="str">
        <x:v>数据与知识基础设施</x:v>
      </x:c>
      <x:c r="F427" s="28" t="str">
        <x:v>关系数据库</x:v>
      </x:c>
      <x:c r="G427" s="28" t="str">
        <x:v>通过“关系数据库”让样品、协议、仪器、模型与结果在全生命周期内可发现、可解释、可复用和可审计。</x:v>
      </x:c>
      <x:c r="H427" s="28" t="str">
        <x:v>数据是否具备唯一身份、上下文、版本、血缘、质量和访问策略？</x:v>
      </x:c>
      <x:c r="I427" s="28" t="str">
        <x:v>元数据完整率；可检索率；血缘覆盖率；数据质量规则通过率；复用率</x:v>
      </x:c>
      <x:c r="J427" s="64" t="str">
        <x:v>工程化关键</x:v>
      </x:c>
      <x:c r="K427" s="64" t="str">
        <x:v>P1</x:v>
      </x:c>
      <x:c r="L427" s="28" t="str">
        <x:v>S23; S24; S25; S27; S28</x:v>
      </x:c>
      <x:c r="M427" s="28" t="str">
        <x:v>https://www.nature.com/articles/sdata201618</x:v>
      </x:c>
    </x:row>
    <x:row r="428" ht="48" customHeight="1">
      <x:c r="A428" s="64" t="str">
        <x:v>T0427</x:v>
      </x:c>
      <x:c r="B428" s="28" t="str">
        <x:v>数据与互操作基础设施</x:v>
      </x:c>
      <x:c r="C428" s="28" t="str">
        <x:v>数据基础设施、FAIR、语义与溯源</x:v>
      </x:c>
      <x:c r="D428" s="28" t="str">
        <x:v>存储与数据平台</x:v>
      </x:c>
      <x:c r="E428" s="28" t="str">
        <x:v>数据与知识基础设施</x:v>
      </x:c>
      <x:c r="F428" s="28" t="str">
        <x:v>图数据库</x:v>
      </x:c>
      <x:c r="G428" s="28" t="str">
        <x:v>通过“图数据库”让样品、协议、仪器、模型与结果在全生命周期内可发现、可解释、可复用和可审计。</x:v>
      </x:c>
      <x:c r="H428" s="28" t="str">
        <x:v>数据是否具备唯一身份、上下文、版本、血缘、质量和访问策略？</x:v>
      </x:c>
      <x:c r="I428" s="28" t="str">
        <x:v>元数据完整率；可检索率；血缘覆盖率；数据质量规则通过率；复用率</x:v>
      </x:c>
      <x:c r="J428" s="64" t="str">
        <x:v>工程化关键</x:v>
      </x:c>
      <x:c r="K428" s="64" t="str">
        <x:v>P1</x:v>
      </x:c>
      <x:c r="L428" s="28" t="str">
        <x:v>S23; S24; S25; S27; S28</x:v>
      </x:c>
      <x:c r="M428" s="28" t="str">
        <x:v>https://www.w3.org/TR/prov-o/</x:v>
      </x:c>
    </x:row>
    <x:row r="429" ht="48" customHeight="1">
      <x:c r="A429" s="64" t="str">
        <x:v>T0428</x:v>
      </x:c>
      <x:c r="B429" s="28" t="str">
        <x:v>数据与互操作基础设施</x:v>
      </x:c>
      <x:c r="C429" s="28" t="str">
        <x:v>数据基础设施、FAIR、语义与溯源</x:v>
      </x:c>
      <x:c r="D429" s="28" t="str">
        <x:v>存储与数据平台</x:v>
      </x:c>
      <x:c r="E429" s="28" t="str">
        <x:v>数据与知识基础设施</x:v>
      </x:c>
      <x:c r="F429" s="28" t="str">
        <x:v>向量数据库</x:v>
      </x:c>
      <x:c r="G429" s="28" t="str">
        <x:v>通过“向量数据库”让样品、协议、仪器、模型与结果在全生命周期内可发现、可解释、可复用和可审计。</x:v>
      </x:c>
      <x:c r="H429" s="28" t="str">
        <x:v>数据是否具备唯一身份、上下文、版本、血缘、质量和访问策略？</x:v>
      </x:c>
      <x:c r="I429" s="28" t="str">
        <x:v>元数据完整率；可检索率；血缘覆盖率；数据质量规则通过率；复用率</x:v>
      </x:c>
      <x:c r="J429" s="64" t="str">
        <x:v>工程化关键</x:v>
      </x:c>
      <x:c r="K429" s="64" t="str">
        <x:v>P1</x:v>
      </x:c>
      <x:c r="L429" s="28" t="str">
        <x:v>S23; S24; S25; S27; S28</x:v>
      </x:c>
      <x:c r="M429" s="28" t="str">
        <x:v>https://www.researchobject.org/ro-crate/specification/1.1/provenance.html</x:v>
      </x:c>
    </x:row>
    <x:row r="430" ht="48" customHeight="1">
      <x:c r="A430" s="64" t="str">
        <x:v>T0429</x:v>
      </x:c>
      <x:c r="B430" s="28" t="str">
        <x:v>数据与互操作基础设施</x:v>
      </x:c>
      <x:c r="C430" s="28" t="str">
        <x:v>数据基础设施、FAIR、语义与溯源</x:v>
      </x:c>
      <x:c r="D430" s="28" t="str">
        <x:v>存储与数据平台</x:v>
      </x:c>
      <x:c r="E430" s="28" t="str">
        <x:v>数据与知识基础设施</x:v>
      </x:c>
      <x:c r="F430" s="28" t="str">
        <x:v>ELN</x:v>
      </x:c>
      <x:c r="G430" s="28" t="str">
        <x:v>通过“ELN”让样品、协议、仪器、模型与结果在全生命周期内可发现、可解释、可复用和可审计。</x:v>
      </x:c>
      <x:c r="H430" s="28" t="str">
        <x:v>数据是否具备唯一身份、上下文、版本、血缘、质量和访问策略？</x:v>
      </x:c>
      <x:c r="I430" s="28" t="str">
        <x:v>元数据完整率；可检索率；血缘覆盖率；数据质量规则通过率；复用率</x:v>
      </x:c>
      <x:c r="J430" s="64" t="str">
        <x:v>进阶能力</x:v>
      </x:c>
      <x:c r="K430" s="64" t="str">
        <x:v>P2</x:v>
      </x:c>
      <x:c r="L430" s="28" t="str">
        <x:v>S23; S24; S25; S27; S28</x:v>
      </x:c>
      <x:c r="M430" s="28" t="str">
        <x:v>https://www.allotrope.org/</x:v>
      </x:c>
    </x:row>
    <x:row r="431" ht="48" customHeight="1">
      <x:c r="A431" s="64" t="str">
        <x:v>T0430</x:v>
      </x:c>
      <x:c r="B431" s="28" t="str">
        <x:v>数据与互操作基础设施</x:v>
      </x:c>
      <x:c r="C431" s="28" t="str">
        <x:v>数据基础设施、FAIR、语义与溯源</x:v>
      </x:c>
      <x:c r="D431" s="28" t="str">
        <x:v>存储与数据平台</x:v>
      </x:c>
      <x:c r="E431" s="28" t="str">
        <x:v>数据与知识基础设施</x:v>
      </x:c>
      <x:c r="F431" s="28" t="str">
        <x:v>LIMS</x:v>
      </x:c>
      <x:c r="G431" s="28" t="str">
        <x:v>通过“LIMS”让样品、协议、仪器、模型与结果在全生命周期内可发现、可解释、可复用和可审计。</x:v>
      </x:c>
      <x:c r="H431" s="28" t="str">
        <x:v>数据是否具备唯一身份、上下文、版本、血缘、质量和访问策略？</x:v>
      </x:c>
      <x:c r="I431" s="28" t="str">
        <x:v>元数据完整率；可检索率；血缘覆盖率；数据质量规则通过率；复用率</x:v>
      </x:c>
      <x:c r="J431" s="64" t="str">
        <x:v>进阶能力</x:v>
      </x:c>
      <x:c r="K431" s="64" t="str">
        <x:v>P2</x:v>
      </x:c>
      <x:c r="L431" s="28" t="str">
        <x:v>S23; S24; S25; S27; S28</x:v>
      </x:c>
      <x:c r="M431" s="28" t="str">
        <x:v>https://www.animl.org/</x:v>
      </x:c>
    </x:row>
    <x:row r="432" ht="48" customHeight="1">
      <x:c r="A432" s="64" t="str">
        <x:v>T0431</x:v>
      </x:c>
      <x:c r="B432" s="28" t="str">
        <x:v>数据与互操作基础设施</x:v>
      </x:c>
      <x:c r="C432" s="28" t="str">
        <x:v>数据基础设施、FAIR、语义与溯源</x:v>
      </x:c>
      <x:c r="D432" s="28" t="str">
        <x:v>质量、完整性与机器可行动</x:v>
      </x:c>
      <x:c r="E432" s="28" t="str">
        <x:v>数据与知识基础设施</x:v>
      </x:c>
      <x:c r="F432" s="28" t="str">
        <x:v>SDMS</x:v>
      </x:c>
      <x:c r="G432" s="28" t="str">
        <x:v>通过“SDMS”让样品、协议、仪器、模型与结果在全生命周期内可发现、可解释、可复用和可审计。</x:v>
      </x:c>
      <x:c r="H432" s="28" t="str">
        <x:v>数据是否具备唯一身份、上下文、版本、血缘、质量和访问策略？</x:v>
      </x:c>
      <x:c r="I432" s="28" t="str">
        <x:v>元数据完整率；可检索率；血缘覆盖率；数据质量规则通过率；复用率</x:v>
      </x:c>
      <x:c r="J432" s="64" t="str">
        <x:v>进阶能力</x:v>
      </x:c>
      <x:c r="K432" s="64" t="str">
        <x:v>P2</x:v>
      </x:c>
      <x:c r="L432" s="28" t="str">
        <x:v>S23; S24; S25; S27; S28</x:v>
      </x:c>
      <x:c r="M432" s="28" t="str">
        <x:v>https://www.nature.com/articles/sdata201618</x:v>
      </x:c>
    </x:row>
    <x:row r="433" ht="48" customHeight="1">
      <x:c r="A433" s="64" t="str">
        <x:v>T0432</x:v>
      </x:c>
      <x:c r="B433" s="28" t="str">
        <x:v>数据与互操作基础设施</x:v>
      </x:c>
      <x:c r="C433" s="28" t="str">
        <x:v>数据基础设施、FAIR、语义与溯源</x:v>
      </x:c>
      <x:c r="D433" s="28" t="str">
        <x:v>质量、完整性与机器可行动</x:v>
      </x:c>
      <x:c r="E433" s="28" t="str">
        <x:v>数据与知识基础设施</x:v>
      </x:c>
      <x:c r="F433" s="28" t="str">
        <x:v>数据目录</x:v>
      </x:c>
      <x:c r="G433" s="28" t="str">
        <x:v>通过“数据目录”让样品、协议、仪器、模型与结果在全生命周期内可发现、可解释、可复用和可审计。</x:v>
      </x:c>
      <x:c r="H433" s="28" t="str">
        <x:v>数据是否具备唯一身份、上下文、版本、血缘、质量和访问策略？</x:v>
      </x:c>
      <x:c r="I433" s="28" t="str">
        <x:v>元数据完整率；可检索率；血缘覆盖率；数据质量规则通过率；复用率</x:v>
      </x:c>
      <x:c r="J433" s="64" t="str">
        <x:v>进阶能力</x:v>
      </x:c>
      <x:c r="K433" s="64" t="str">
        <x:v>P2</x:v>
      </x:c>
      <x:c r="L433" s="28" t="str">
        <x:v>S23; S24; S25; S27; S28</x:v>
      </x:c>
      <x:c r="M433" s="28" t="str">
        <x:v>https://www.w3.org/TR/prov-o/</x:v>
      </x:c>
    </x:row>
    <x:row r="434" ht="48" customHeight="1">
      <x:c r="A434" s="64" t="str">
        <x:v>T0433</x:v>
      </x:c>
      <x:c r="B434" s="28" t="str">
        <x:v>数据与互操作基础设施</x:v>
      </x:c>
      <x:c r="C434" s="28" t="str">
        <x:v>数据基础设施、FAIR、语义与溯源</x:v>
      </x:c>
      <x:c r="D434" s="28" t="str">
        <x:v>质量、完整性与机器可行动</x:v>
      </x:c>
      <x:c r="E434" s="28" t="str">
        <x:v>数据与知识基础设施</x:v>
      </x:c>
      <x:c r="F434" s="28" t="str">
        <x:v>模式注册表</x:v>
      </x:c>
      <x:c r="G434" s="28" t="str">
        <x:v>通过“模式注册表”让样品、协议、仪器、模型与结果在全生命周期内可发现、可解释、可复用和可审计。</x:v>
      </x:c>
      <x:c r="H434" s="28" t="str">
        <x:v>数据是否具备唯一身份、上下文、版本、血缘、质量和访问策略？</x:v>
      </x:c>
      <x:c r="I434" s="28" t="str">
        <x:v>元数据完整率；可检索率；血缘覆盖率；数据质量规则通过率；复用率</x:v>
      </x:c>
      <x:c r="J434" s="64" t="str">
        <x:v>进阶能力</x:v>
      </x:c>
      <x:c r="K434" s="64" t="str">
        <x:v>P2</x:v>
      </x:c>
      <x:c r="L434" s="28" t="str">
        <x:v>S23; S24; S25; S27; S28</x:v>
      </x:c>
      <x:c r="M434" s="28" t="str">
        <x:v>https://www.researchobject.org/ro-crate/specification/1.1/provenance.html</x:v>
      </x:c>
    </x:row>
    <x:row r="435" ht="48" customHeight="1">
      <x:c r="A435" s="64" t="str">
        <x:v>T0434</x:v>
      </x:c>
      <x:c r="B435" s="28" t="str">
        <x:v>数据与互操作基础设施</x:v>
      </x:c>
      <x:c r="C435" s="28" t="str">
        <x:v>数据基础设施、FAIR、语义与溯源</x:v>
      </x:c>
      <x:c r="D435" s="28" t="str">
        <x:v>质量、完整性与机器可行动</x:v>
      </x:c>
      <x:c r="E435" s="28" t="str">
        <x:v>数据与知识基础设施</x:v>
      </x:c>
      <x:c r="F435" s="28" t="str">
        <x:v>单位与量纲管理</x:v>
      </x:c>
      <x:c r="G435" s="28" t="str">
        <x:v>通过“单位与量纲管理”让样品、协议、仪器、模型与结果在全生命周期内可发现、可解释、可复用和可审计。</x:v>
      </x:c>
      <x:c r="H435" s="28" t="str">
        <x:v>数据是否具备唯一身份、上下文、版本、血缘、质量和访问策略？</x:v>
      </x:c>
      <x:c r="I435" s="28" t="str">
        <x:v>元数据完整率；可检索率；血缘覆盖率；数据质量规则通过率；复用率</x:v>
      </x:c>
      <x:c r="J435" s="64" t="str">
        <x:v>进阶能力</x:v>
      </x:c>
      <x:c r="K435" s="64" t="str">
        <x:v>P2</x:v>
      </x:c>
      <x:c r="L435" s="28" t="str">
        <x:v>S23; S24; S25; S27; S28</x:v>
      </x:c>
      <x:c r="M435" s="28" t="str">
        <x:v>https://www.allotrope.org/</x:v>
      </x:c>
    </x:row>
    <x:row r="436" ht="48" customHeight="1">
      <x:c r="A436" s="64" t="str">
        <x:v>T0435</x:v>
      </x:c>
      <x:c r="B436" s="28" t="str">
        <x:v>数据与互操作基础设施</x:v>
      </x:c>
      <x:c r="C436" s="28" t="str">
        <x:v>数据基础设施、FAIR、语义与溯源</x:v>
      </x:c>
      <x:c r="D436" s="28" t="str">
        <x:v>质量、完整性与机器可行动</x:v>
      </x:c>
      <x:c r="E436" s="28" t="str">
        <x:v>数据与知识基础设施</x:v>
      </x:c>
      <x:c r="F436" s="28" t="str">
        <x:v>缺失数据编码</x:v>
      </x:c>
      <x:c r="G436" s="28" t="str">
        <x:v>通过“缺失数据编码”让样品、协议、仪器、模型与结果在全生命周期内可发现、可解释、可复用和可审计。</x:v>
      </x:c>
      <x:c r="H436" s="28" t="str">
        <x:v>数据是否具备唯一身份、上下文、版本、血缘、质量和访问策略？</x:v>
      </x:c>
      <x:c r="I436" s="28" t="str">
        <x:v>元数据完整率；可检索率；血缘覆盖率；数据质量规则通过率；复用率</x:v>
      </x:c>
      <x:c r="J436" s="64" t="str">
        <x:v>进阶能力</x:v>
      </x:c>
      <x:c r="K436" s="64" t="str">
        <x:v>P2</x:v>
      </x:c>
      <x:c r="L436" s="28" t="str">
        <x:v>S23; S24; S25; S27; S28</x:v>
      </x:c>
      <x:c r="M436" s="28" t="str">
        <x:v>https://www.animl.org/</x:v>
      </x:c>
    </x:row>
    <x:row r="437" ht="48" customHeight="1">
      <x:c r="A437" s="64" t="str">
        <x:v>T0436</x:v>
      </x:c>
      <x:c r="B437" s="28" t="str">
        <x:v>数据与互操作基础设施</x:v>
      </x:c>
      <x:c r="C437" s="28" t="str">
        <x:v>数据基础设施、FAIR、语义与溯源</x:v>
      </x:c>
      <x:c r="D437" s="28" t="str">
        <x:v>质量、完整性与机器可行动</x:v>
      </x:c>
      <x:c r="E437" s="28" t="str">
        <x:v>数据与知识基础设施</x:v>
      </x:c>
      <x:c r="F437" s="28" t="str">
        <x:v>数据质量规则</x:v>
      </x:c>
      <x:c r="G437" s="28" t="str">
        <x:v>通过“数据质量规则”让样品、协议、仪器、模型与结果在全生命周期内可发现、可解释、可复用和可审计。</x:v>
      </x:c>
      <x:c r="H437" s="28" t="str">
        <x:v>数据是否具备唯一身份、上下文、版本、血缘、质量和访问策略？</x:v>
      </x:c>
      <x:c r="I437" s="28" t="str">
        <x:v>元数据完整率；可检索率；血缘覆盖率；数据质量规则通过率；复用率</x:v>
      </x:c>
      <x:c r="J437" s="64" t="str">
        <x:v>进阶能力</x:v>
      </x:c>
      <x:c r="K437" s="64" t="str">
        <x:v>P2</x:v>
      </x:c>
      <x:c r="L437" s="28" t="str">
        <x:v>S23; S24; S25; S27; S28</x:v>
      </x:c>
      <x:c r="M437" s="28" t="str">
        <x:v>https://www.nature.com/articles/sdata201618</x:v>
      </x:c>
    </x:row>
    <x:row r="438" ht="48" customHeight="1">
      <x:c r="A438" s="64" t="str">
        <x:v>T0437</x:v>
      </x:c>
      <x:c r="B438" s="28" t="str">
        <x:v>数据与互操作基础设施</x:v>
      </x:c>
      <x:c r="C438" s="28" t="str">
        <x:v>数据基础设施、FAIR、语义与溯源</x:v>
      </x:c>
      <x:c r="D438" s="28" t="str">
        <x:v>质量、完整性与机器可行动</x:v>
      </x:c>
      <x:c r="E438" s="28" t="str">
        <x:v>数据与知识基础设施</x:v>
      </x:c>
      <x:c r="F438" s="28" t="str">
        <x:v>ALCOA+数据完整性</x:v>
      </x:c>
      <x:c r="G438" s="28" t="str">
        <x:v>通过“ALCOA+数据完整性”让样品、协议、仪器、模型与结果在全生命周期内可发现、可解释、可复用和可审计。</x:v>
      </x:c>
      <x:c r="H438" s="28" t="str">
        <x:v>数据是否具备唯一身份、上下文、版本、血缘、质量和访问策略？</x:v>
      </x:c>
      <x:c r="I438" s="28" t="str">
        <x:v>元数据完整率；可检索率；血缘覆盖率；数据质量规则通过率；复用率</x:v>
      </x:c>
      <x:c r="J438" s="64" t="str">
        <x:v>前沿能力</x:v>
      </x:c>
      <x:c r="K438" s="64" t="str">
        <x:v>P2</x:v>
      </x:c>
      <x:c r="L438" s="28" t="str">
        <x:v>S23; S24; S25; S27; S28</x:v>
      </x:c>
      <x:c r="M438" s="28" t="str">
        <x:v>https://www.w3.org/TR/prov-o/</x:v>
      </x:c>
    </x:row>
    <x:row r="439" ht="48" customHeight="1">
      <x:c r="A439" s="64" t="str">
        <x:v>T0438</x:v>
      </x:c>
      <x:c r="B439" s="28" t="str">
        <x:v>数据与互操作基础设施</x:v>
      </x:c>
      <x:c r="C439" s="28" t="str">
        <x:v>数据基础设施、FAIR、语义与溯源</x:v>
      </x:c>
      <x:c r="D439" s="28" t="str">
        <x:v>质量、完整性与机器可行动</x:v>
      </x:c>
      <x:c r="E439" s="28" t="str">
        <x:v>数据与知识基础设施</x:v>
      </x:c>
      <x:c r="F439" s="28" t="str">
        <x:v>审计追踪</x:v>
      </x:c>
      <x:c r="G439" s="28" t="str">
        <x:v>通过“审计追踪”让样品、协议、仪器、模型与结果在全生命周期内可发现、可解释、可复用和可审计。</x:v>
      </x:c>
      <x:c r="H439" s="28" t="str">
        <x:v>数据是否具备唯一身份、上下文、版本、血缘、质量和访问策略？</x:v>
      </x:c>
      <x:c r="I439" s="28" t="str">
        <x:v>元数据完整率；可检索率；血缘覆盖率；数据质量规则通过率；复用率</x:v>
      </x:c>
      <x:c r="J439" s="64" t="str">
        <x:v>前沿能力</x:v>
      </x:c>
      <x:c r="K439" s="64" t="str">
        <x:v>P2</x:v>
      </x:c>
      <x:c r="L439" s="28" t="str">
        <x:v>S23; S24; S25; S27; S28</x:v>
      </x:c>
      <x:c r="M439" s="28" t="str">
        <x:v>https://www.researchobject.org/ro-crate/specification/1.1/provenance.html</x:v>
      </x:c>
    </x:row>
    <x:row r="440" ht="48" customHeight="1">
      <x:c r="A440" s="64" t="str">
        <x:v>T0439</x:v>
      </x:c>
      <x:c r="B440" s="28" t="str">
        <x:v>数据与互操作基础设施</x:v>
      </x:c>
      <x:c r="C440" s="28" t="str">
        <x:v>数据基础设施、FAIR、语义与溯源</x:v>
      </x:c>
      <x:c r="D440" s="28" t="str">
        <x:v>质量、完整性与机器可行动</x:v>
      </x:c>
      <x:c r="E440" s="28" t="str">
        <x:v>数据与知识基础设施</x:v>
      </x:c>
      <x:c r="F440" s="28" t="str">
        <x:v>数据保留策略</x:v>
      </x:c>
      <x:c r="G440" s="28" t="str">
        <x:v>通过“数据保留策略”让样品、协议、仪器、模型与结果在全生命周期内可发现、可解释、可复用和可审计。</x:v>
      </x:c>
      <x:c r="H440" s="28" t="str">
        <x:v>数据是否具备唯一身份、上下文、版本、血缘、质量和访问策略？</x:v>
      </x:c>
      <x:c r="I440" s="28" t="str">
        <x:v>元数据完整率；可检索率；血缘覆盖率；数据质量规则通过率；复用率</x:v>
      </x:c>
      <x:c r="J440" s="64" t="str">
        <x:v>前沿能力</x:v>
      </x:c>
      <x:c r="K440" s="64" t="str">
        <x:v>P2</x:v>
      </x:c>
      <x:c r="L440" s="28" t="str">
        <x:v>S23; S24; S25; S27; S28</x:v>
      </x:c>
      <x:c r="M440" s="28" t="str">
        <x:v>https://www.allotrope.org/</x:v>
      </x:c>
    </x:row>
    <x:row r="441" ht="48" customHeight="1">
      <x:c r="A441" s="64" t="str">
        <x:v>T0440</x:v>
      </x:c>
      <x:c r="B441" s="28" t="str">
        <x:v>数据与互操作基础设施</x:v>
      </x:c>
      <x:c r="C441" s="28" t="str">
        <x:v>数据基础设施、FAIR、语义与溯源</x:v>
      </x:c>
      <x:c r="D441" s="28" t="str">
        <x:v>质量、完整性与机器可行动</x:v>
      </x:c>
      <x:c r="E441" s="28" t="str">
        <x:v>数据与知识基础设施</x:v>
      </x:c>
      <x:c r="F441" s="28" t="str">
        <x:v>机器可行动数据</x:v>
      </x:c>
      <x:c r="G441" s="28" t="str">
        <x:v>通过“机器可行动数据”让样品、协议、仪器、模型与结果在全生命周期内可发现、可解释、可复用和可审计。</x:v>
      </x:c>
      <x:c r="H441" s="28" t="str">
        <x:v>数据是否具备唯一身份、上下文、版本、血缘、质量和访问策略？</x:v>
      </x:c>
      <x:c r="I441" s="28" t="str">
        <x:v>元数据完整率；可检索率；血缘覆盖率；数据质量规则通过率；复用率</x:v>
      </x:c>
      <x:c r="J441" s="64" t="str">
        <x:v>前沿能力</x:v>
      </x:c>
      <x:c r="K441" s="64" t="str">
        <x:v>P2</x:v>
      </x:c>
      <x:c r="L441" s="28" t="str">
        <x:v>S23; S24; S25; S27; S28</x:v>
      </x:c>
      <x:c r="M441" s="28" t="str">
        <x:v>https://www.animl.org/</x:v>
      </x:c>
    </x:row>
    <x:row r="442" ht="48" customHeight="1">
      <x:c r="A442" s="64" t="str">
        <x:v>T0441</x:v>
      </x:c>
      <x:c r="B442" s="28" t="str">
        <x:v>数据与互操作基础设施</x:v>
      </x:c>
      <x:c r="C442" s="28" t="str">
        <x:v>互操作、中间件、编排与调度</x:v>
      </x:c>
      <x:c r="D442" s="28" t="str">
        <x:v>标准与通信协议</x:v>
      </x:c>
      <x:c r="E442" s="28" t="str">
        <x:v>软件与互操作基础设施</x:v>
      </x:c>
      <x:c r="F442" s="28" t="str">
        <x:v>SiLA 2</x:v>
      </x:c>
      <x:c r="G442" s="28" t="str">
        <x:v>用“SiLA 2”消除设备孤岛，把能力发现、命令、事件、资源、调度与可观测性抽象为稳定接口。</x:v>
      </x:c>
      <x:c r="H442" s="28" t="str">
        <x:v>不同厂商设备能否以统一语义被发现、调用、监测和重调度？</x:v>
      </x:c>
      <x:c r="I442" s="28" t="str">
        <x:v>设备接入时间；API成功率；调度利用率；消息丢失率；重调度时间；链路可观测率</x:v>
      </x:c>
      <x:c r="J442" s="64" t="str">
        <x:v>基础能力</x:v>
      </x:c>
      <x:c r="K442" s="64" t="str">
        <x:v>P0</x:v>
      </x:c>
      <x:c r="L442" s="28" t="str">
        <x:v>S05; S26; S29; S30</x:v>
      </x:c>
      <x:c r="M442" s="28" t="str">
        <x:v>https://www.science.org/doi/10.1126/scirobotics.aat5559</x:v>
      </x:c>
    </x:row>
    <x:row r="443" ht="48" customHeight="1">
      <x:c r="A443" s="64" t="str">
        <x:v>T0442</x:v>
      </x:c>
      <x:c r="B443" s="28" t="str">
        <x:v>数据与互操作基础设施</x:v>
      </x:c>
      <x:c r="C443" s="28" t="str">
        <x:v>互操作、中间件、编排与调度</x:v>
      </x:c>
      <x:c r="D443" s="28" t="str">
        <x:v>标准与通信协议</x:v>
      </x:c>
      <x:c r="E443" s="28" t="str">
        <x:v>软件与互操作基础设施</x:v>
      </x:c>
      <x:c r="F443" s="28" t="str">
        <x:v>OPC UA</x:v>
      </x:c>
      <x:c r="G443" s="28" t="str">
        <x:v>用“OPC UA”消除设备孤岛，把能力发现、命令、事件、资源、调度与可观测性抽象为稳定接口。</x:v>
      </x:c>
      <x:c r="H443" s="28" t="str">
        <x:v>不同厂商设备能否以统一语义被发现、调用、监测和重调度？</x:v>
      </x:c>
      <x:c r="I443" s="28" t="str">
        <x:v>设备接入时间；API成功率；调度利用率；消息丢失率；重调度时间；链路可观测率</x:v>
      </x:c>
      <x:c r="J443" s="64" t="str">
        <x:v>基础能力</x:v>
      </x:c>
      <x:c r="K443" s="64" t="str">
        <x:v>P0</x:v>
      </x:c>
      <x:c r="L443" s="28" t="str">
        <x:v>S05; S26; S29; S30</x:v>
      </x:c>
      <x:c r="M443" s="28" t="str">
        <x:v>https://sila-standard.com/standards/</x:v>
      </x:c>
    </x:row>
    <x:row r="444" ht="48" customHeight="1">
      <x:c r="A444" s="64" t="str">
        <x:v>T0443</x:v>
      </x:c>
      <x:c r="B444" s="28" t="str">
        <x:v>数据与互操作基础设施</x:v>
      </x:c>
      <x:c r="C444" s="28" t="str">
        <x:v>互操作、中间件、编排与调度</x:v>
      </x:c>
      <x:c r="D444" s="28" t="str">
        <x:v>标准与通信协议</x:v>
      </x:c>
      <x:c r="E444" s="28" t="str">
        <x:v>软件与互操作基础设施</x:v>
      </x:c>
      <x:c r="F444" s="28" t="str">
        <x:v>ISA-88</x:v>
      </x:c>
      <x:c r="G444" s="28" t="str">
        <x:v>用“ISA-88”消除设备孤岛，把能力发现、命令、事件、资源、调度与可观测性抽象为稳定接口。</x:v>
      </x:c>
      <x:c r="H444" s="28" t="str">
        <x:v>不同厂商设备能否以统一语义被发现、调用、监测和重调度？</x:v>
      </x:c>
      <x:c r="I444" s="28" t="str">
        <x:v>设备接入时间；API成功率；调度利用率；消息丢失率；重调度时间；链路可观测率</x:v>
      </x:c>
      <x:c r="J444" s="64" t="str">
        <x:v>基础能力</x:v>
      </x:c>
      <x:c r="K444" s="64" t="str">
        <x:v>P0</x:v>
      </x:c>
      <x:c r="L444" s="28" t="str">
        <x:v>S05; S26; S29; S30</x:v>
      </x:c>
      <x:c r="M444" s="28" t="str">
        <x:v>https://www.isa.org/standards-and-publications/isa-standards/isa-88-standards</x:v>
      </x:c>
    </x:row>
    <x:row r="445" ht="48" customHeight="1">
      <x:c r="A445" s="64" t="str">
        <x:v>T0444</x:v>
      </x:c>
      <x:c r="B445" s="28" t="str">
        <x:v>数据与互操作基础设施</x:v>
      </x:c>
      <x:c r="C445" s="28" t="str">
        <x:v>互操作、中间件、编排与调度</x:v>
      </x:c>
      <x:c r="D445" s="28" t="str">
        <x:v>标准与通信协议</x:v>
      </x:c>
      <x:c r="E445" s="28" t="str">
        <x:v>软件与互操作基础设施</x:v>
      </x:c>
      <x:c r="F445" s="28" t="str">
        <x:v>ISA-95</x:v>
      </x:c>
      <x:c r="G445" s="28" t="str">
        <x:v>用“ISA-95”消除设备孤岛，把能力发现、命令、事件、资源、调度与可观测性抽象为稳定接口。</x:v>
      </x:c>
      <x:c r="H445" s="28" t="str">
        <x:v>不同厂商设备能否以统一语义被发现、调用、监测和重调度？</x:v>
      </x:c>
      <x:c r="I445" s="28" t="str">
        <x:v>设备接入时间；API成功率；调度利用率；消息丢失率；重调度时间；链路可观测率</x:v>
      </x:c>
      <x:c r="J445" s="64" t="str">
        <x:v>基础能力</x:v>
      </x:c>
      <x:c r="K445" s="64" t="str">
        <x:v>P0</x:v>
      </x:c>
      <x:c r="L445" s="28" t="str">
        <x:v>S05; S26; S29; S30</x:v>
      </x:c>
      <x:c r="M445" s="28" t="str">
        <x:v>https://reference.opcfoundation.org/specs/OPC-10030/4/</x:v>
      </x:c>
    </x:row>
    <x:row r="446" ht="48" customHeight="1">
      <x:c r="A446" s="64" t="str">
        <x:v>T0445</x:v>
      </x:c>
      <x:c r="B446" s="28" t="str">
        <x:v>数据与互操作基础设施</x:v>
      </x:c>
      <x:c r="C446" s="28" t="str">
        <x:v>互操作、中间件、编排与调度</x:v>
      </x:c>
      <x:c r="D446" s="28" t="str">
        <x:v>标准与通信协议</x:v>
      </x:c>
      <x:c r="E446" s="28" t="str">
        <x:v>软件与互操作基础设施</x:v>
      </x:c>
      <x:c r="F446" s="28" t="str">
        <x:v>AnIML</x:v>
      </x:c>
      <x:c r="G446" s="28" t="str">
        <x:v>用“AnIML”消除设备孤岛，把能力发现、命令、事件、资源、调度与可观测性抽象为稳定接口。</x:v>
      </x:c>
      <x:c r="H446" s="28" t="str">
        <x:v>不同厂商设备能否以统一语义被发现、调用、监测和重调度？</x:v>
      </x:c>
      <x:c r="I446" s="28" t="str">
        <x:v>设备接入时间；API成功率；调度利用率；消息丢失率；重调度时间；链路可观测率</x:v>
      </x:c>
      <x:c r="J446" s="64" t="str">
        <x:v>基础能力</x:v>
      </x:c>
      <x:c r="K446" s="64" t="str">
        <x:v>P0</x:v>
      </x:c>
      <x:c r="L446" s="28" t="str">
        <x:v>S05; S26; S29; S30</x:v>
      </x:c>
      <x:c r="M446" s="28" t="str">
        <x:v>https://www.science.org/doi/10.1126/scirobotics.aat5559</x:v>
      </x:c>
    </x:row>
    <x:row r="447" ht="48" customHeight="1">
      <x:c r="A447" s="64" t="str">
        <x:v>T0446</x:v>
      </x:c>
      <x:c r="B447" s="28" t="str">
        <x:v>数据与互操作基础设施</x:v>
      </x:c>
      <x:c r="C447" s="28" t="str">
        <x:v>互操作、中间件、编排与调度</x:v>
      </x:c>
      <x:c r="D447" s="28" t="str">
        <x:v>标准与通信协议</x:v>
      </x:c>
      <x:c r="E447" s="28" t="str">
        <x:v>软件与互操作基础设施</x:v>
      </x:c>
      <x:c r="F447" s="28" t="str">
        <x:v>Allotrope</x:v>
      </x:c>
      <x:c r="G447" s="28" t="str">
        <x:v>用“Allotrope”消除设备孤岛，把能力发现、命令、事件、资源、调度与可观测性抽象为稳定接口。</x:v>
      </x:c>
      <x:c r="H447" s="28" t="str">
        <x:v>不同厂商设备能否以统一语义被发现、调用、监测和重调度？</x:v>
      </x:c>
      <x:c r="I447" s="28" t="str">
        <x:v>设备接入时间；API成功率；调度利用率；消息丢失率；重调度时间；链路可观测率</x:v>
      </x:c>
      <x:c r="J447" s="64" t="str">
        <x:v>基础能力</x:v>
      </x:c>
      <x:c r="K447" s="64" t="str">
        <x:v>P0</x:v>
      </x:c>
      <x:c r="L447" s="28" t="str">
        <x:v>S05; S26; S29; S30</x:v>
      </x:c>
      <x:c r="M447" s="28" t="str">
        <x:v>https://sila-standard.com/standards/</x:v>
      </x:c>
    </x:row>
    <x:row r="448" ht="48" customHeight="1">
      <x:c r="A448" s="64" t="str">
        <x:v>T0447</x:v>
      </x:c>
      <x:c r="B448" s="28" t="str">
        <x:v>数据与互操作基础设施</x:v>
      </x:c>
      <x:c r="C448" s="28" t="str">
        <x:v>互操作、中间件、编排与调度</x:v>
      </x:c>
      <x:c r="D448" s="28" t="str">
        <x:v>标准与通信协议</x:v>
      </x:c>
      <x:c r="E448" s="28" t="str">
        <x:v>软件与互操作基础设施</x:v>
      </x:c>
      <x:c r="F448" s="28" t="str">
        <x:v>REST API</x:v>
      </x:c>
      <x:c r="G448" s="28" t="str">
        <x:v>用“REST API”消除设备孤岛，把能力发现、命令、事件、资源、调度与可观测性抽象为稳定接口。</x:v>
      </x:c>
      <x:c r="H448" s="28" t="str">
        <x:v>不同厂商设备能否以统一语义被发现、调用、监测和重调度？</x:v>
      </x:c>
      <x:c r="I448" s="28" t="str">
        <x:v>设备接入时间；API成功率；调度利用率；消息丢失率；重调度时间；链路可观测率</x:v>
      </x:c>
      <x:c r="J448" s="64" t="str">
        <x:v>基础能力</x:v>
      </x:c>
      <x:c r="K448" s="64" t="str">
        <x:v>P0</x:v>
      </x:c>
      <x:c r="L448" s="28" t="str">
        <x:v>S05; S26; S29; S30</x:v>
      </x:c>
      <x:c r="M448" s="28" t="str">
        <x:v>https://www.isa.org/standards-and-publications/isa-standards/isa-88-standards</x:v>
      </x:c>
    </x:row>
    <x:row r="449" ht="48" customHeight="1">
      <x:c r="A449" s="64" t="str">
        <x:v>T0448</x:v>
      </x:c>
      <x:c r="B449" s="28" t="str">
        <x:v>数据与互操作基础设施</x:v>
      </x:c>
      <x:c r="C449" s="28" t="str">
        <x:v>互操作、中间件、编排与调度</x:v>
      </x:c>
      <x:c r="D449" s="28" t="str">
        <x:v>标准与通信协议</x:v>
      </x:c>
      <x:c r="E449" s="28" t="str">
        <x:v>软件与互操作基础设施</x:v>
      </x:c>
      <x:c r="F449" s="28" t="str">
        <x:v>gRPC</x:v>
      </x:c>
      <x:c r="G449" s="28" t="str">
        <x:v>用“gRPC”消除设备孤岛，把能力发现、命令、事件、资源、调度与可观测性抽象为稳定接口。</x:v>
      </x:c>
      <x:c r="H449" s="28" t="str">
        <x:v>不同厂商设备能否以统一语义被发现、调用、监测和重调度？</x:v>
      </x:c>
      <x:c r="I449" s="28" t="str">
        <x:v>设备接入时间；API成功率；调度利用率；消息丢失率；重调度时间；链路可观测率</x:v>
      </x:c>
      <x:c r="J449" s="64" t="str">
        <x:v>基础能力</x:v>
      </x:c>
      <x:c r="K449" s="64" t="str">
        <x:v>P0</x:v>
      </x:c>
      <x:c r="L449" s="28" t="str">
        <x:v>S05; S26; S29; S30</x:v>
      </x:c>
      <x:c r="M449" s="28" t="str">
        <x:v>https://reference.opcfoundation.org/specs/OPC-10030/4/</x:v>
      </x:c>
    </x:row>
    <x:row r="450" ht="48" customHeight="1">
      <x:c r="A450" s="64" t="str">
        <x:v>T0449</x:v>
      </x:c>
      <x:c r="B450" s="28" t="str">
        <x:v>数据与互操作基础设施</x:v>
      </x:c>
      <x:c r="C450" s="28" t="str">
        <x:v>互操作、中间件、编排与调度</x:v>
      </x:c>
      <x:c r="D450" s="28" t="str">
        <x:v>标准与通信协议</x:v>
      </x:c>
      <x:c r="E450" s="28" t="str">
        <x:v>软件与互操作基础设施</x:v>
      </x:c>
      <x:c r="F450" s="28" t="str">
        <x:v>MQTT</x:v>
      </x:c>
      <x:c r="G450" s="28" t="str">
        <x:v>用“MQTT”消除设备孤岛，把能力发现、命令、事件、资源、调度与可观测性抽象为稳定接口。</x:v>
      </x:c>
      <x:c r="H450" s="28" t="str">
        <x:v>不同厂商设备能否以统一语义被发现、调用、监测和重调度？</x:v>
      </x:c>
      <x:c r="I450" s="28" t="str">
        <x:v>设备接入时间；API成功率；调度利用率；消息丢失率；重调度时间；链路可观测率</x:v>
      </x:c>
      <x:c r="J450" s="64" t="str">
        <x:v>基础能力</x:v>
      </x:c>
      <x:c r="K450" s="64" t="str">
        <x:v>P0</x:v>
      </x:c>
      <x:c r="L450" s="28" t="str">
        <x:v>S05; S26; S29; S30</x:v>
      </x:c>
      <x:c r="M450" s="28" t="str">
        <x:v>https://www.science.org/doi/10.1126/scirobotics.aat5559</x:v>
      </x:c>
    </x:row>
    <x:row r="451" ht="48" customHeight="1">
      <x:c r="A451" s="64" t="str">
        <x:v>T0450</x:v>
      </x:c>
      <x:c r="B451" s="28" t="str">
        <x:v>数据与互操作基础设施</x:v>
      </x:c>
      <x:c r="C451" s="28" t="str">
        <x:v>互操作、中间件、编排与调度</x:v>
      </x:c>
      <x:c r="D451" s="28" t="str">
        <x:v>标准与通信协议</x:v>
      </x:c>
      <x:c r="E451" s="28" t="str">
        <x:v>软件与互操作基础设施</x:v>
      </x:c>
      <x:c r="F451" s="28" t="str">
        <x:v>AMQP</x:v>
      </x:c>
      <x:c r="G451" s="28" t="str">
        <x:v>用“AMQP”消除设备孤岛，把能力发现、命令、事件、资源、调度与可观测性抽象为稳定接口。</x:v>
      </x:c>
      <x:c r="H451" s="28" t="str">
        <x:v>不同厂商设备能否以统一语义被发现、调用、监测和重调度？</x:v>
      </x:c>
      <x:c r="I451" s="28" t="str">
        <x:v>设备接入时间；API成功率；调度利用率；消息丢失率；重调度时间；链路可观测率</x:v>
      </x:c>
      <x:c r="J451" s="64" t="str">
        <x:v>基础能力</x:v>
      </x:c>
      <x:c r="K451" s="64" t="str">
        <x:v>P0</x:v>
      </x:c>
      <x:c r="L451" s="28" t="str">
        <x:v>S05; S26; S29; S30</x:v>
      </x:c>
      <x:c r="M451" s="28" t="str">
        <x:v>https://sila-standard.com/standards/</x:v>
      </x:c>
    </x:row>
    <x:row r="452" ht="48" customHeight="1">
      <x:c r="A452" s="64" t="str">
        <x:v>T0451</x:v>
      </x:c>
      <x:c r="B452" s="28" t="str">
        <x:v>数据与互操作基础设施</x:v>
      </x:c>
      <x:c r="C452" s="28" t="str">
        <x:v>互操作、中间件、编排与调度</x:v>
      </x:c>
      <x:c r="D452" s="28" t="str">
        <x:v>设备抽象与事件架构</x:v>
      </x:c>
      <x:c r="E452" s="28" t="str">
        <x:v>软件与互操作基础设施</x:v>
      </x:c>
      <x:c r="F452" s="28" t="str">
        <x:v>事件总线</x:v>
      </x:c>
      <x:c r="G452" s="28" t="str">
        <x:v>用“事件总线”消除设备孤岛，把能力发现、命令、事件、资源、调度与可观测性抽象为稳定接口。</x:v>
      </x:c>
      <x:c r="H452" s="28" t="str">
        <x:v>不同厂商设备能否以统一语义被发现、调用、监测和重调度？</x:v>
      </x:c>
      <x:c r="I452" s="28" t="str">
        <x:v>设备接入时间；API成功率；调度利用率；消息丢失率；重调度时间；链路可观测率</x:v>
      </x:c>
      <x:c r="J452" s="64" t="str">
        <x:v>基础能力</x:v>
      </x:c>
      <x:c r="K452" s="64" t="str">
        <x:v>P1</x:v>
      </x:c>
      <x:c r="L452" s="28" t="str">
        <x:v>S05; S26; S29; S30</x:v>
      </x:c>
      <x:c r="M452" s="28" t="str">
        <x:v>https://www.isa.org/standards-and-publications/isa-standards/isa-88-standards</x:v>
      </x:c>
    </x:row>
    <x:row r="453" ht="48" customHeight="1">
      <x:c r="A453" s="64" t="str">
        <x:v>T0452</x:v>
      </x:c>
      <x:c r="B453" s="28" t="str">
        <x:v>数据与互操作基础设施</x:v>
      </x:c>
      <x:c r="C453" s="28" t="str">
        <x:v>互操作、中间件、编排与调度</x:v>
      </x:c>
      <x:c r="D453" s="28" t="str">
        <x:v>设备抽象与事件架构</x:v>
      </x:c>
      <x:c r="E453" s="28" t="str">
        <x:v>软件与互操作基础设施</x:v>
      </x:c>
      <x:c r="F453" s="28" t="str">
        <x:v>API网关</x:v>
      </x:c>
      <x:c r="G453" s="28" t="str">
        <x:v>用“API网关”消除设备孤岛，把能力发现、命令、事件、资源、调度与可观测性抽象为稳定接口。</x:v>
      </x:c>
      <x:c r="H453" s="28" t="str">
        <x:v>不同厂商设备能否以统一语义被发现、调用、监测和重调度？</x:v>
      </x:c>
      <x:c r="I453" s="28" t="str">
        <x:v>设备接入时间；API成功率；调度利用率；消息丢失率；重调度时间；链路可观测率</x:v>
      </x:c>
      <x:c r="J453" s="64" t="str">
        <x:v>基础能力</x:v>
      </x:c>
      <x:c r="K453" s="64" t="str">
        <x:v>P1</x:v>
      </x:c>
      <x:c r="L453" s="28" t="str">
        <x:v>S05; S26; S29; S30</x:v>
      </x:c>
      <x:c r="M453" s="28" t="str">
        <x:v>https://reference.opcfoundation.org/specs/OPC-10030/4/</x:v>
      </x:c>
    </x:row>
    <x:row r="454" ht="48" customHeight="1">
      <x:c r="A454" s="64" t="str">
        <x:v>T0453</x:v>
      </x:c>
      <x:c r="B454" s="28" t="str">
        <x:v>数据与互操作基础设施</x:v>
      </x:c>
      <x:c r="C454" s="28" t="str">
        <x:v>互操作、中间件、编排与调度</x:v>
      </x:c>
      <x:c r="D454" s="28" t="str">
        <x:v>设备抽象与事件架构</x:v>
      </x:c>
      <x:c r="E454" s="28" t="str">
        <x:v>软件与互操作基础设施</x:v>
      </x:c>
      <x:c r="F454" s="28" t="str">
        <x:v>设备驱动</x:v>
      </x:c>
      <x:c r="G454" s="28" t="str">
        <x:v>用“设备驱动”消除设备孤岛，把能力发现、命令、事件、资源、调度与可观测性抽象为稳定接口。</x:v>
      </x:c>
      <x:c r="H454" s="28" t="str">
        <x:v>不同厂商设备能否以统一语义被发现、调用、监测和重调度？</x:v>
      </x:c>
      <x:c r="I454" s="28" t="str">
        <x:v>设备接入时间；API成功率；调度利用率；消息丢失率；重调度时间；链路可观测率</x:v>
      </x:c>
      <x:c r="J454" s="64" t="str">
        <x:v>工程化关键</x:v>
      </x:c>
      <x:c r="K454" s="64" t="str">
        <x:v>P1</x:v>
      </x:c>
      <x:c r="L454" s="28" t="str">
        <x:v>S05; S26; S29; S30</x:v>
      </x:c>
      <x:c r="M454" s="28" t="str">
        <x:v>https://www.science.org/doi/10.1126/scirobotics.aat5559</x:v>
      </x:c>
    </x:row>
    <x:row r="455" ht="48" customHeight="1">
      <x:c r="A455" s="64" t="str">
        <x:v>T0454</x:v>
      </x:c>
      <x:c r="B455" s="28" t="str">
        <x:v>数据与互操作基础设施</x:v>
      </x:c>
      <x:c r="C455" s="28" t="str">
        <x:v>互操作、中间件、编排与调度</x:v>
      </x:c>
      <x:c r="D455" s="28" t="str">
        <x:v>设备抽象与事件架构</x:v>
      </x:c>
      <x:c r="E455" s="28" t="str">
        <x:v>软件与互操作基础设施</x:v>
      </x:c>
      <x:c r="F455" s="28" t="str">
        <x:v>协议适配器</x:v>
      </x:c>
      <x:c r="G455" s="28" t="str">
        <x:v>用“协议适配器”消除设备孤岛，把能力发现、命令、事件、资源、调度与可观测性抽象为稳定接口。</x:v>
      </x:c>
      <x:c r="H455" s="28" t="str">
        <x:v>不同厂商设备能否以统一语义被发现、调用、监测和重调度？</x:v>
      </x:c>
      <x:c r="I455" s="28" t="str">
        <x:v>设备接入时间；API成功率；调度利用率；消息丢失率；重调度时间；链路可观测率</x:v>
      </x:c>
      <x:c r="J455" s="64" t="str">
        <x:v>工程化关键</x:v>
      </x:c>
      <x:c r="K455" s="64" t="str">
        <x:v>P1</x:v>
      </x:c>
      <x:c r="L455" s="28" t="str">
        <x:v>S05; S26; S29; S30</x:v>
      </x:c>
      <x:c r="M455" s="28" t="str">
        <x:v>https://sila-standard.com/standards/</x:v>
      </x:c>
    </x:row>
    <x:row r="456" ht="48" customHeight="1">
      <x:c r="A456" s="64" t="str">
        <x:v>T0455</x:v>
      </x:c>
      <x:c r="B456" s="28" t="str">
        <x:v>数据与互操作基础设施</x:v>
      </x:c>
      <x:c r="C456" s="28" t="str">
        <x:v>互操作、中间件、编排与调度</x:v>
      </x:c>
      <x:c r="D456" s="28" t="str">
        <x:v>设备抽象与事件架构</x:v>
      </x:c>
      <x:c r="E456" s="28" t="str">
        <x:v>软件与互操作基础设施</x:v>
      </x:c>
      <x:c r="F456" s="28" t="str">
        <x:v>设备数字孪生</x:v>
      </x:c>
      <x:c r="G456" s="28" t="str">
        <x:v>用“设备数字孪生”消除设备孤岛，把能力发现、命令、事件、资源、调度与可观测性抽象为稳定接口。</x:v>
      </x:c>
      <x:c r="H456" s="28" t="str">
        <x:v>不同厂商设备能否以统一语义被发现、调用、监测和重调度？</x:v>
      </x:c>
      <x:c r="I456" s="28" t="str">
        <x:v>设备接入时间；API成功率；调度利用率；消息丢失率；重调度时间；链路可观测率</x:v>
      </x:c>
      <x:c r="J456" s="64" t="str">
        <x:v>工程化关键</x:v>
      </x:c>
      <x:c r="K456" s="64" t="str">
        <x:v>P1</x:v>
      </x:c>
      <x:c r="L456" s="28" t="str">
        <x:v>S05; S26; S29; S30</x:v>
      </x:c>
      <x:c r="M456" s="28" t="str">
        <x:v>https://www.isa.org/standards-and-publications/isa-standards/isa-88-standards</x:v>
      </x:c>
    </x:row>
    <x:row r="457" ht="48" customHeight="1">
      <x:c r="A457" s="64" t="str">
        <x:v>T0456</x:v>
      </x:c>
      <x:c r="B457" s="28" t="str">
        <x:v>数据与互操作基础设施</x:v>
      </x:c>
      <x:c r="C457" s="28" t="str">
        <x:v>互操作、中间件、编排与调度</x:v>
      </x:c>
      <x:c r="D457" s="28" t="str">
        <x:v>设备抽象与事件架构</x:v>
      </x:c>
      <x:c r="E457" s="28" t="str">
        <x:v>软件与互操作基础设施</x:v>
      </x:c>
      <x:c r="F457" s="28" t="str">
        <x:v>能力发现</x:v>
      </x:c>
      <x:c r="G457" s="28" t="str">
        <x:v>用“能力发现”消除设备孤岛，把能力发现、命令、事件、资源、调度与可观测性抽象为稳定接口。</x:v>
      </x:c>
      <x:c r="H457" s="28" t="str">
        <x:v>不同厂商设备能否以统一语义被发现、调用、监测和重调度？</x:v>
      </x:c>
      <x:c r="I457" s="28" t="str">
        <x:v>设备接入时间；API成功率；调度利用率；消息丢失率；重调度时间；链路可观测率</x:v>
      </x:c>
      <x:c r="J457" s="64" t="str">
        <x:v>工程化关键</x:v>
      </x:c>
      <x:c r="K457" s="64" t="str">
        <x:v>P1</x:v>
      </x:c>
      <x:c r="L457" s="28" t="str">
        <x:v>S05; S26; S29; S30</x:v>
      </x:c>
      <x:c r="M457" s="28" t="str">
        <x:v>https://reference.opcfoundation.org/specs/OPC-10030/4/</x:v>
      </x:c>
    </x:row>
    <x:row r="458" ht="48" customHeight="1">
      <x:c r="A458" s="64" t="str">
        <x:v>T0457</x:v>
      </x:c>
      <x:c r="B458" s="28" t="str">
        <x:v>数据与互操作基础设施</x:v>
      </x:c>
      <x:c r="C458" s="28" t="str">
        <x:v>互操作、中间件、编排与调度</x:v>
      </x:c>
      <x:c r="D458" s="28" t="str">
        <x:v>设备抽象与事件架构</x:v>
      </x:c>
      <x:c r="E458" s="28" t="str">
        <x:v>软件与互操作基础设施</x:v>
      </x:c>
      <x:c r="F458" s="28" t="str">
        <x:v>服务注册</x:v>
      </x:c>
      <x:c r="G458" s="28" t="str">
        <x:v>用“服务注册”消除设备孤岛，把能力发现、命令、事件、资源、调度与可观测性抽象为稳定接口。</x:v>
      </x:c>
      <x:c r="H458" s="28" t="str">
        <x:v>不同厂商设备能否以统一语义被发现、调用、监测和重调度？</x:v>
      </x:c>
      <x:c r="I458" s="28" t="str">
        <x:v>设备接入时间；API成功率；调度利用率；消息丢失率；重调度时间；链路可观测率</x:v>
      </x:c>
      <x:c r="J458" s="64" t="str">
        <x:v>工程化关键</x:v>
      </x:c>
      <x:c r="K458" s="64" t="str">
        <x:v>P1</x:v>
      </x:c>
      <x:c r="L458" s="28" t="str">
        <x:v>S05; S26; S29; S30</x:v>
      </x:c>
      <x:c r="M458" s="28" t="str">
        <x:v>https://www.science.org/doi/10.1126/scirobotics.aat5559</x:v>
      </x:c>
    </x:row>
    <x:row r="459" ht="48" customHeight="1">
      <x:c r="A459" s="64" t="str">
        <x:v>T0458</x:v>
      </x:c>
      <x:c r="B459" s="28" t="str">
        <x:v>数据与互操作基础设施</x:v>
      </x:c>
      <x:c r="C459" s="28" t="str">
        <x:v>互操作、中间件、编排与调度</x:v>
      </x:c>
      <x:c r="D459" s="28" t="str">
        <x:v>设备抽象与事件架构</x:v>
      </x:c>
      <x:c r="E459" s="28" t="str">
        <x:v>软件与互操作基础设施</x:v>
      </x:c>
      <x:c r="F459" s="28" t="str">
        <x:v>语义API</x:v>
      </x:c>
      <x:c r="G459" s="28" t="str">
        <x:v>用“语义API”消除设备孤岛，把能力发现、命令、事件、资源、调度与可观测性抽象为稳定接口。</x:v>
      </x:c>
      <x:c r="H459" s="28" t="str">
        <x:v>不同厂商设备能否以统一语义被发现、调用、监测和重调度？</x:v>
      </x:c>
      <x:c r="I459" s="28" t="str">
        <x:v>设备接入时间；API成功率；调度利用率；消息丢失率；重调度时间；链路可观测率</x:v>
      </x:c>
      <x:c r="J459" s="64" t="str">
        <x:v>工程化关键</x:v>
      </x:c>
      <x:c r="K459" s="64" t="str">
        <x:v>P1</x:v>
      </x:c>
      <x:c r="L459" s="28" t="str">
        <x:v>S05; S26; S29; S30</x:v>
      </x:c>
      <x:c r="M459" s="28" t="str">
        <x:v>https://sila-standard.com/standards/</x:v>
      </x:c>
    </x:row>
    <x:row r="460" ht="48" customHeight="1">
      <x:c r="A460" s="64" t="str">
        <x:v>T0459</x:v>
      </x:c>
      <x:c r="B460" s="28" t="str">
        <x:v>数据与互操作基础设施</x:v>
      </x:c>
      <x:c r="C460" s="28" t="str">
        <x:v>互操作、中间件、编排与调度</x:v>
      </x:c>
      <x:c r="D460" s="28" t="str">
        <x:v>设备抽象与事件架构</x:v>
      </x:c>
      <x:c r="E460" s="28" t="str">
        <x:v>软件与互操作基础设施</x:v>
      </x:c>
      <x:c r="F460" s="28" t="str">
        <x:v>命令查询分离</x:v>
      </x:c>
      <x:c r="G460" s="28" t="str">
        <x:v>用“命令查询分离”消除设备孤岛，把能力发现、命令、事件、资源、调度与可观测性抽象为稳定接口。</x:v>
      </x:c>
      <x:c r="H460" s="28" t="str">
        <x:v>不同厂商设备能否以统一语义被发现、调用、监测和重调度？</x:v>
      </x:c>
      <x:c r="I460" s="28" t="str">
        <x:v>设备接入时间；API成功率；调度利用率；消息丢失率；重调度时间；链路可观测率</x:v>
      </x:c>
      <x:c r="J460" s="64" t="str">
        <x:v>工程化关键</x:v>
      </x:c>
      <x:c r="K460" s="64" t="str">
        <x:v>P1</x:v>
      </x:c>
      <x:c r="L460" s="28" t="str">
        <x:v>S05; S26; S29; S30</x:v>
      </x:c>
      <x:c r="M460" s="28" t="str">
        <x:v>https://www.isa.org/standards-and-publications/isa-standards/isa-88-standards</x:v>
      </x:c>
    </x:row>
    <x:row r="461" ht="48" customHeight="1">
      <x:c r="A461" s="64" t="str">
        <x:v>T0460</x:v>
      </x:c>
      <x:c r="B461" s="28" t="str">
        <x:v>数据与互操作基础设施</x:v>
      </x:c>
      <x:c r="C461" s="28" t="str">
        <x:v>互操作、中间件、编排与调度</x:v>
      </x:c>
      <x:c r="D461" s="28" t="str">
        <x:v>设备抽象与事件架构</x:v>
      </x:c>
      <x:c r="E461" s="28" t="str">
        <x:v>软件与互操作基础设施</x:v>
      </x:c>
      <x:c r="F461" s="28" t="str">
        <x:v>幂等命令</x:v>
      </x:c>
      <x:c r="G461" s="28" t="str">
        <x:v>用“幂等命令”消除设备孤岛，把能力发现、命令、事件、资源、调度与可观测性抽象为稳定接口。</x:v>
      </x:c>
      <x:c r="H461" s="28" t="str">
        <x:v>不同厂商设备能否以统一语义被发现、调用、监测和重调度？</x:v>
      </x:c>
      <x:c r="I461" s="28" t="str">
        <x:v>设备接入时间；API成功率；调度利用率；消息丢失率；重调度时间；链路可观测率</x:v>
      </x:c>
      <x:c r="J461" s="64" t="str">
        <x:v>工程化关键</x:v>
      </x:c>
      <x:c r="K461" s="64" t="str">
        <x:v>P1</x:v>
      </x:c>
      <x:c r="L461" s="28" t="str">
        <x:v>S05; S26; S29; S30</x:v>
      </x:c>
      <x:c r="M461" s="28" t="str">
        <x:v>https://reference.opcfoundation.org/specs/OPC-10030/4/</x:v>
      </x:c>
    </x:row>
    <x:row r="462" ht="48" customHeight="1">
      <x:c r="A462" s="64" t="str">
        <x:v>T0461</x:v>
      </x:c>
      <x:c r="B462" s="28" t="str">
        <x:v>数据与互操作基础设施</x:v>
      </x:c>
      <x:c r="C462" s="28" t="str">
        <x:v>互操作、中间件、编排与调度</x:v>
      </x:c>
      <x:c r="D462" s="28" t="str">
        <x:v>一致性、锁与资源调度</x:v>
      </x:c>
      <x:c r="E462" s="28" t="str">
        <x:v>软件与互操作基础设施</x:v>
      </x:c>
      <x:c r="F462" s="28" t="str">
        <x:v>消息投递语义</x:v>
      </x:c>
      <x:c r="G462" s="28" t="str">
        <x:v>用“消息投递语义”消除设备孤岛，把能力发现、命令、事件、资源、调度与可观测性抽象为稳定接口。</x:v>
      </x:c>
      <x:c r="H462" s="28" t="str">
        <x:v>不同厂商设备能否以统一语义被发现、调用、监测和重调度？</x:v>
      </x:c>
      <x:c r="I462" s="28" t="str">
        <x:v>设备接入时间；API成功率；调度利用率；消息丢失率；重调度时间；链路可观测率</x:v>
      </x:c>
      <x:c r="J462" s="64" t="str">
        <x:v>工程化关键</x:v>
      </x:c>
      <x:c r="K462" s="64" t="str">
        <x:v>P1</x:v>
      </x:c>
      <x:c r="L462" s="28" t="str">
        <x:v>S05; S26; S29; S30</x:v>
      </x:c>
      <x:c r="M462" s="28" t="str">
        <x:v>https://www.science.org/doi/10.1126/scirobotics.aat5559</x:v>
      </x:c>
    </x:row>
    <x:row r="463" ht="48" customHeight="1">
      <x:c r="A463" s="64" t="str">
        <x:v>T0462</x:v>
      </x:c>
      <x:c r="B463" s="28" t="str">
        <x:v>数据与互操作基础设施</x:v>
      </x:c>
      <x:c r="C463" s="28" t="str">
        <x:v>互操作、中间件、编排与调度</x:v>
      </x:c>
      <x:c r="D463" s="28" t="str">
        <x:v>一致性、锁与资源调度</x:v>
      </x:c>
      <x:c r="E463" s="28" t="str">
        <x:v>软件与互操作基础设施</x:v>
      </x:c>
      <x:c r="F463" s="28" t="str">
        <x:v>重试与退避</x:v>
      </x:c>
      <x:c r="G463" s="28" t="str">
        <x:v>用“重试与退避”消除设备孤岛，把能力发现、命令、事件、资源、调度与可观测性抽象为稳定接口。</x:v>
      </x:c>
      <x:c r="H463" s="28" t="str">
        <x:v>不同厂商设备能否以统一语义被发现、调用、监测和重调度？</x:v>
      </x:c>
      <x:c r="I463" s="28" t="str">
        <x:v>设备接入时间；API成功率；调度利用率；消息丢失率；重调度时间；链路可观测率</x:v>
      </x:c>
      <x:c r="J463" s="64" t="str">
        <x:v>工程化关键</x:v>
      </x:c>
      <x:c r="K463" s="64" t="str">
        <x:v>P1</x:v>
      </x:c>
      <x:c r="L463" s="28" t="str">
        <x:v>S05; S26; S29; S30</x:v>
      </x:c>
      <x:c r="M463" s="28" t="str">
        <x:v>https://sila-standard.com/standards/</x:v>
      </x:c>
    </x:row>
    <x:row r="464" ht="48" customHeight="1">
      <x:c r="A464" s="64" t="str">
        <x:v>T0463</x:v>
      </x:c>
      <x:c r="B464" s="28" t="str">
        <x:v>数据与互操作基础设施</x:v>
      </x:c>
      <x:c r="C464" s="28" t="str">
        <x:v>互操作、中间件、编排与调度</x:v>
      </x:c>
      <x:c r="D464" s="28" t="str">
        <x:v>一致性、锁与资源调度</x:v>
      </x:c>
      <x:c r="E464" s="28" t="str">
        <x:v>软件与互操作基础设施</x:v>
      </x:c>
      <x:c r="F464" s="28" t="str">
        <x:v>分布式事务</x:v>
      </x:c>
      <x:c r="G464" s="28" t="str">
        <x:v>用“分布式事务”消除设备孤岛，把能力发现、命令、事件、资源、调度与可观测性抽象为稳定接口。</x:v>
      </x:c>
      <x:c r="H464" s="28" t="str">
        <x:v>不同厂商设备能否以统一语义被发现、调用、监测和重调度？</x:v>
      </x:c>
      <x:c r="I464" s="28" t="str">
        <x:v>设备接入时间；API成功率；调度利用率；消息丢失率；重调度时间；链路可观测率</x:v>
      </x:c>
      <x:c r="J464" s="64" t="str">
        <x:v>工程化关键</x:v>
      </x:c>
      <x:c r="K464" s="64" t="str">
        <x:v>P1</x:v>
      </x:c>
      <x:c r="L464" s="28" t="str">
        <x:v>S05; S26; S29; S30</x:v>
      </x:c>
      <x:c r="M464" s="28" t="str">
        <x:v>https://www.isa.org/standards-and-publications/isa-standards/isa-88-standards</x:v>
      </x:c>
    </x:row>
    <x:row r="465" ht="48" customHeight="1">
      <x:c r="A465" s="64" t="str">
        <x:v>T0464</x:v>
      </x:c>
      <x:c r="B465" s="28" t="str">
        <x:v>数据与互操作基础设施</x:v>
      </x:c>
      <x:c r="C465" s="28" t="str">
        <x:v>互操作、中间件、编排与调度</x:v>
      </x:c>
      <x:c r="D465" s="28" t="str">
        <x:v>一致性、锁与资源调度</x:v>
      </x:c>
      <x:c r="E465" s="28" t="str">
        <x:v>软件与互操作基础设施</x:v>
      </x:c>
      <x:c r="F465" s="28" t="str">
        <x:v>Saga补偿</x:v>
      </x:c>
      <x:c r="G465" s="28" t="str">
        <x:v>用“Saga补偿”消除设备孤岛，把能力发现、命令、事件、资源、调度与可观测性抽象为稳定接口。</x:v>
      </x:c>
      <x:c r="H465" s="28" t="str">
        <x:v>不同厂商设备能否以统一语义被发现、调用、监测和重调度？</x:v>
      </x:c>
      <x:c r="I465" s="28" t="str">
        <x:v>设备接入时间；API成功率；调度利用率；消息丢失率；重调度时间；链路可观测率</x:v>
      </x:c>
      <x:c r="J465" s="64" t="str">
        <x:v>工程化关键</x:v>
      </x:c>
      <x:c r="K465" s="64" t="str">
        <x:v>P1</x:v>
      </x:c>
      <x:c r="L465" s="28" t="str">
        <x:v>S05; S26; S29; S30</x:v>
      </x:c>
      <x:c r="M465" s="28" t="str">
        <x:v>https://reference.opcfoundation.org/specs/OPC-10030/4/</x:v>
      </x:c>
    </x:row>
    <x:row r="466" ht="48" customHeight="1">
      <x:c r="A466" s="64" t="str">
        <x:v>T0465</x:v>
      </x:c>
      <x:c r="B466" s="28" t="str">
        <x:v>数据与互操作基础设施</x:v>
      </x:c>
      <x:c r="C466" s="28" t="str">
        <x:v>互操作、中间件、编排与调度</x:v>
      </x:c>
      <x:c r="D466" s="28" t="str">
        <x:v>一致性、锁与资源调度</x:v>
      </x:c>
      <x:c r="E466" s="28" t="str">
        <x:v>软件与互操作基础设施</x:v>
      </x:c>
      <x:c r="F466" s="28" t="str">
        <x:v>分布式锁</x:v>
      </x:c>
      <x:c r="G466" s="28" t="str">
        <x:v>用“分布式锁”消除设备孤岛，把能力发现、命令、事件、资源、调度与可观测性抽象为稳定接口。</x:v>
      </x:c>
      <x:c r="H466" s="28" t="str">
        <x:v>不同厂商设备能否以统一语义被发现、调用、监测和重调度？</x:v>
      </x:c>
      <x:c r="I466" s="28" t="str">
        <x:v>设备接入时间；API成功率；调度利用率；消息丢失率；重调度时间；链路可观测率</x:v>
      </x:c>
      <x:c r="J466" s="64" t="str">
        <x:v>工程化关键</x:v>
      </x:c>
      <x:c r="K466" s="64" t="str">
        <x:v>P1</x:v>
      </x:c>
      <x:c r="L466" s="28" t="str">
        <x:v>S05; S26; S29; S30</x:v>
      </x:c>
      <x:c r="M466" s="28" t="str">
        <x:v>https://www.science.org/doi/10.1126/scirobotics.aat5559</x:v>
      </x:c>
    </x:row>
    <x:row r="467" ht="48" customHeight="1">
      <x:c r="A467" s="64" t="str">
        <x:v>T0466</x:v>
      </x:c>
      <x:c r="B467" s="28" t="str">
        <x:v>数据与互操作基础设施</x:v>
      </x:c>
      <x:c r="C467" s="28" t="str">
        <x:v>互操作、中间件、编排与调度</x:v>
      </x:c>
      <x:c r="D467" s="28" t="str">
        <x:v>一致性、锁与资源调度</x:v>
      </x:c>
      <x:c r="E467" s="28" t="str">
        <x:v>软件与互操作基础设施</x:v>
      </x:c>
      <x:c r="F467" s="28" t="str">
        <x:v>约束调度</x:v>
      </x:c>
      <x:c r="G467" s="28" t="str">
        <x:v>用“约束调度”消除设备孤岛，把能力发现、命令、事件、资源、调度与可观测性抽象为稳定接口。</x:v>
      </x:c>
      <x:c r="H467" s="28" t="str">
        <x:v>不同厂商设备能否以统一语义被发现、调用、监测和重调度？</x:v>
      </x:c>
      <x:c r="I467" s="28" t="str">
        <x:v>设备接入时间；API成功率；调度利用率；消息丢失率；重调度时间；链路可观测率</x:v>
      </x:c>
      <x:c r="J467" s="64" t="str">
        <x:v>工程化关键</x:v>
      </x:c>
      <x:c r="K467" s="64" t="str">
        <x:v>P1</x:v>
      </x:c>
      <x:c r="L467" s="28" t="str">
        <x:v>S05; S26; S29; S30</x:v>
      </x:c>
      <x:c r="M467" s="28" t="str">
        <x:v>https://sila-standard.com/standards/</x:v>
      </x:c>
    </x:row>
    <x:row r="468" ht="48" customHeight="1">
      <x:c r="A468" s="64" t="str">
        <x:v>T0467</x:v>
      </x:c>
      <x:c r="B468" s="28" t="str">
        <x:v>数据与互操作基础设施</x:v>
      </x:c>
      <x:c r="C468" s="28" t="str">
        <x:v>互操作、中间件、编排与调度</x:v>
      </x:c>
      <x:c r="D468" s="28" t="str">
        <x:v>一致性、锁与资源调度</x:v>
      </x:c>
      <x:c r="E468" s="28" t="str">
        <x:v>软件与互操作基础设施</x:v>
      </x:c>
      <x:c r="F468" s="28" t="str">
        <x:v>作业队列</x:v>
      </x:c>
      <x:c r="G468" s="28" t="str">
        <x:v>用“作业队列”消除设备孤岛，把能力发现、命令、事件、资源、调度与可观测性抽象为稳定接口。</x:v>
      </x:c>
      <x:c r="H468" s="28" t="str">
        <x:v>不同厂商设备能否以统一语义被发现、调用、监测和重调度？</x:v>
      </x:c>
      <x:c r="I468" s="28" t="str">
        <x:v>设备接入时间；API成功率；调度利用率；消息丢失率；重调度时间；链路可观测率</x:v>
      </x:c>
      <x:c r="J468" s="64" t="str">
        <x:v>工程化关键</x:v>
      </x:c>
      <x:c r="K468" s="64" t="str">
        <x:v>P1</x:v>
      </x:c>
      <x:c r="L468" s="28" t="str">
        <x:v>S05; S26; S29; S30</x:v>
      </x:c>
      <x:c r="M468" s="28" t="str">
        <x:v>https://www.isa.org/standards-and-publications/isa-standards/isa-88-standards</x:v>
      </x:c>
    </x:row>
    <x:row r="469" ht="48" customHeight="1">
      <x:c r="A469" s="64" t="str">
        <x:v>T0468</x:v>
      </x:c>
      <x:c r="B469" s="28" t="str">
        <x:v>数据与互操作基础设施</x:v>
      </x:c>
      <x:c r="C469" s="28" t="str">
        <x:v>互操作、中间件、编排与调度</x:v>
      </x:c>
      <x:c r="D469" s="28" t="str">
        <x:v>一致性、锁与资源调度</x:v>
      </x:c>
      <x:c r="E469" s="28" t="str">
        <x:v>软件与互操作基础设施</x:v>
      </x:c>
      <x:c r="F469" s="28" t="str">
        <x:v>资源日历</x:v>
      </x:c>
      <x:c r="G469" s="28" t="str">
        <x:v>用“资源日历”消除设备孤岛，把能力发现、命令、事件、资源、调度与可观测性抽象为稳定接口。</x:v>
      </x:c>
      <x:c r="H469" s="28" t="str">
        <x:v>不同厂商设备能否以统一语义被发现、调用、监测和重调度？</x:v>
      </x:c>
      <x:c r="I469" s="28" t="str">
        <x:v>设备接入时间；API成功率；调度利用率；消息丢失率；重调度时间；链路可观测率</x:v>
      </x:c>
      <x:c r="J469" s="64" t="str">
        <x:v>工程化关键</x:v>
      </x:c>
      <x:c r="K469" s="64" t="str">
        <x:v>P1</x:v>
      </x:c>
      <x:c r="L469" s="28" t="str">
        <x:v>S05; S26; S29; S30</x:v>
      </x:c>
      <x:c r="M469" s="28" t="str">
        <x:v>https://reference.opcfoundation.org/specs/OPC-10030/4/</x:v>
      </x:c>
    </x:row>
    <x:row r="470" ht="48" customHeight="1">
      <x:c r="A470" s="64" t="str">
        <x:v>T0469</x:v>
      </x:c>
      <x:c r="B470" s="28" t="str">
        <x:v>数据与互操作基础设施</x:v>
      </x:c>
      <x:c r="C470" s="28" t="str">
        <x:v>互操作、中间件、编排与调度</x:v>
      </x:c>
      <x:c r="D470" s="28" t="str">
        <x:v>一致性、锁与资源调度</x:v>
      </x:c>
      <x:c r="E470" s="28" t="str">
        <x:v>软件与互操作基础设施</x:v>
      </x:c>
      <x:c r="F470" s="28" t="str">
        <x:v>维护窗口</x:v>
      </x:c>
      <x:c r="G470" s="28" t="str">
        <x:v>用“维护窗口”消除设备孤岛，把能力发现、命令、事件、资源、调度与可观测性抽象为稳定接口。</x:v>
      </x:c>
      <x:c r="H470" s="28" t="str">
        <x:v>不同厂商设备能否以统一语义被发现、调用、监测和重调度？</x:v>
      </x:c>
      <x:c r="I470" s="28" t="str">
        <x:v>设备接入时间；API成功率；调度利用率；消息丢失率；重调度时间；链路可观测率</x:v>
      </x:c>
      <x:c r="J470" s="64" t="str">
        <x:v>进阶能力</x:v>
      </x:c>
      <x:c r="K470" s="64" t="str">
        <x:v>P2</x:v>
      </x:c>
      <x:c r="L470" s="28" t="str">
        <x:v>S05; S26; S29; S30</x:v>
      </x:c>
      <x:c r="M470" s="28" t="str">
        <x:v>https://www.science.org/doi/10.1126/scirobotics.aat5559</x:v>
      </x:c>
    </x:row>
    <x:row r="471" ht="48" customHeight="1">
      <x:c r="A471" s="64" t="str">
        <x:v>T0470</x:v>
      </x:c>
      <x:c r="B471" s="28" t="str">
        <x:v>数据与互操作基础设施</x:v>
      </x:c>
      <x:c r="C471" s="28" t="str">
        <x:v>互操作、中间件、编排与调度</x:v>
      </x:c>
      <x:c r="D471" s="28" t="str">
        <x:v>一致性、锁与资源调度</x:v>
      </x:c>
      <x:c r="E471" s="28" t="str">
        <x:v>软件与互操作基础设施</x:v>
      </x:c>
      <x:c r="F471" s="28" t="str">
        <x:v>动态重调度</x:v>
      </x:c>
      <x:c r="G471" s="28" t="str">
        <x:v>用“动态重调度”消除设备孤岛，把能力发现、命令、事件、资源、调度与可观测性抽象为稳定接口。</x:v>
      </x:c>
      <x:c r="H471" s="28" t="str">
        <x:v>不同厂商设备能否以统一语义被发现、调用、监测和重调度？</x:v>
      </x:c>
      <x:c r="I471" s="28" t="str">
        <x:v>设备接入时间；API成功率；调度利用率；消息丢失率；重调度时间；链路可观测率</x:v>
      </x:c>
      <x:c r="J471" s="64" t="str">
        <x:v>进阶能力</x:v>
      </x:c>
      <x:c r="K471" s="64" t="str">
        <x:v>P2</x:v>
      </x:c>
      <x:c r="L471" s="28" t="str">
        <x:v>S05; S26; S29; S30</x:v>
      </x:c>
      <x:c r="M471" s="28" t="str">
        <x:v>https://sila-standard.com/standards/</x:v>
      </x:c>
    </x:row>
    <x:row r="472" ht="48" customHeight="1">
      <x:c r="A472" s="64" t="str">
        <x:v>T0471</x:v>
      </x:c>
      <x:c r="B472" s="28" t="str">
        <x:v>数据与互操作基础设施</x:v>
      </x:c>
      <x:c r="C472" s="28" t="str">
        <x:v>互操作、中间件、编排与调度</x:v>
      </x:c>
      <x:c r="D472" s="28" t="str">
        <x:v>工作流、可观测与部署</x:v>
      </x:c>
      <x:c r="E472" s="28" t="str">
        <x:v>软件与互操作基础设施</x:v>
      </x:c>
      <x:c r="F472" s="28" t="str">
        <x:v>优先级调度</x:v>
      </x:c>
      <x:c r="G472" s="28" t="str">
        <x:v>用“优先级调度”消除设备孤岛，把能力发现、命令、事件、资源、调度与可观测性抽象为稳定接口。</x:v>
      </x:c>
      <x:c r="H472" s="28" t="str">
        <x:v>不同厂商设备能否以统一语义被发现、调用、监测和重调度？</x:v>
      </x:c>
      <x:c r="I472" s="28" t="str">
        <x:v>设备接入时间；API成功率；调度利用率；消息丢失率；重调度时间；链路可观测率</x:v>
      </x:c>
      <x:c r="J472" s="64" t="str">
        <x:v>进阶能力</x:v>
      </x:c>
      <x:c r="K472" s="64" t="str">
        <x:v>P2</x:v>
      </x:c>
      <x:c r="L472" s="28" t="str">
        <x:v>S05; S26; S29; S30</x:v>
      </x:c>
      <x:c r="M472" s="28" t="str">
        <x:v>https://www.isa.org/standards-and-publications/isa-standards/isa-88-standards</x:v>
      </x:c>
    </x:row>
    <x:row r="473" ht="48" customHeight="1">
      <x:c r="A473" s="64" t="str">
        <x:v>T0472</x:v>
      </x:c>
      <x:c r="B473" s="28" t="str">
        <x:v>数据与互操作基础设施</x:v>
      </x:c>
      <x:c r="C473" s="28" t="str">
        <x:v>互操作、中间件、编排与调度</x:v>
      </x:c>
      <x:c r="D473" s="28" t="str">
        <x:v>工作流、可观测与部署</x:v>
      </x:c>
      <x:c r="E473" s="28" t="str">
        <x:v>软件与互操作基础设施</x:v>
      </x:c>
      <x:c r="F473" s="28" t="str">
        <x:v>批处理调度</x:v>
      </x:c>
      <x:c r="G473" s="28" t="str">
        <x:v>用“批处理调度”消除设备孤岛，把能力发现、命令、事件、资源、调度与可观测性抽象为稳定接口。</x:v>
      </x:c>
      <x:c r="H473" s="28" t="str">
        <x:v>不同厂商设备能否以统一语义被发现、调用、监测和重调度？</x:v>
      </x:c>
      <x:c r="I473" s="28" t="str">
        <x:v>设备接入时间；API成功率；调度利用率；消息丢失率；重调度时间；链路可观测率</x:v>
      </x:c>
      <x:c r="J473" s="64" t="str">
        <x:v>进阶能力</x:v>
      </x:c>
      <x:c r="K473" s="64" t="str">
        <x:v>P2</x:v>
      </x:c>
      <x:c r="L473" s="28" t="str">
        <x:v>S05; S26; S29; S30</x:v>
      </x:c>
      <x:c r="M473" s="28" t="str">
        <x:v>https://reference.opcfoundation.org/specs/OPC-10030/4/</x:v>
      </x:c>
    </x:row>
    <x:row r="474" ht="48" customHeight="1">
      <x:c r="A474" s="64" t="str">
        <x:v>T0473</x:v>
      </x:c>
      <x:c r="B474" s="28" t="str">
        <x:v>数据与互操作基础设施</x:v>
      </x:c>
      <x:c r="C474" s="28" t="str">
        <x:v>互操作、中间件、编排与调度</x:v>
      </x:c>
      <x:c r="D474" s="28" t="str">
        <x:v>工作流、可观测与部署</x:v>
      </x:c>
      <x:c r="E474" s="28" t="str">
        <x:v>软件与互操作基础设施</x:v>
      </x:c>
      <x:c r="F474" s="28" t="str">
        <x:v>实时调度</x:v>
      </x:c>
      <x:c r="G474" s="28" t="str">
        <x:v>用“实时调度”消除设备孤岛，把能力发现、命令、事件、资源、调度与可观测性抽象为稳定接口。</x:v>
      </x:c>
      <x:c r="H474" s="28" t="str">
        <x:v>不同厂商设备能否以统一语义被发现、调用、监测和重调度？</x:v>
      </x:c>
      <x:c r="I474" s="28" t="str">
        <x:v>设备接入时间；API成功率；调度利用率；消息丢失率；重调度时间；链路可观测率</x:v>
      </x:c>
      <x:c r="J474" s="64" t="str">
        <x:v>进阶能力</x:v>
      </x:c>
      <x:c r="K474" s="64" t="str">
        <x:v>P2</x:v>
      </x:c>
      <x:c r="L474" s="28" t="str">
        <x:v>S05; S26; S29; S30</x:v>
      </x:c>
      <x:c r="M474" s="28" t="str">
        <x:v>https://www.science.org/doi/10.1126/scirobotics.aat5559</x:v>
      </x:c>
    </x:row>
    <x:row r="475" ht="48" customHeight="1">
      <x:c r="A475" s="64" t="str">
        <x:v>T0474</x:v>
      </x:c>
      <x:c r="B475" s="28" t="str">
        <x:v>数据与互操作基础设施</x:v>
      </x:c>
      <x:c r="C475" s="28" t="str">
        <x:v>互操作、中间件、编排与调度</x:v>
      </x:c>
      <x:c r="D475" s="28" t="str">
        <x:v>工作流、可观测与部署</x:v>
      </x:c>
      <x:c r="E475" s="28" t="str">
        <x:v>软件与互操作基础设施</x:v>
      </x:c>
      <x:c r="F475" s="28" t="str">
        <x:v>编排与编舞</x:v>
      </x:c>
      <x:c r="G475" s="28" t="str">
        <x:v>用“编排与编舞”消除设备孤岛，把能力发现、命令、事件、资源、调度与可观测性抽象为稳定接口。</x:v>
      </x:c>
      <x:c r="H475" s="28" t="str">
        <x:v>不同厂商设备能否以统一语义被发现、调用、监测和重调度？</x:v>
      </x:c>
      <x:c r="I475" s="28" t="str">
        <x:v>设备接入时间；API成功率；调度利用率；消息丢失率；重调度时间；链路可观测率</x:v>
      </x:c>
      <x:c r="J475" s="64" t="str">
        <x:v>进阶能力</x:v>
      </x:c>
      <x:c r="K475" s="64" t="str">
        <x:v>P2</x:v>
      </x:c>
      <x:c r="L475" s="28" t="str">
        <x:v>S05; S26; S29; S30</x:v>
      </x:c>
      <x:c r="M475" s="28" t="str">
        <x:v>https://sila-standard.com/standards/</x:v>
      </x:c>
    </x:row>
    <x:row r="476" ht="48" customHeight="1">
      <x:c r="A476" s="64" t="str">
        <x:v>T0475</x:v>
      </x:c>
      <x:c r="B476" s="28" t="str">
        <x:v>数据与互操作基础设施</x:v>
      </x:c>
      <x:c r="C476" s="28" t="str">
        <x:v>互操作、中间件、编排与调度</x:v>
      </x:c>
      <x:c r="D476" s="28" t="str">
        <x:v>工作流、可观测与部署</x:v>
      </x:c>
      <x:c r="E476" s="28" t="str">
        <x:v>软件与互操作基础设施</x:v>
      </x:c>
      <x:c r="F476" s="28" t="str">
        <x:v>工作流引擎</x:v>
      </x:c>
      <x:c r="G476" s="28" t="str">
        <x:v>用“工作流引擎”消除设备孤岛，把能力发现、命令、事件、资源、调度与可观测性抽象为稳定接口。</x:v>
      </x:c>
      <x:c r="H476" s="28" t="str">
        <x:v>不同厂商设备能否以统一语义被发现、调用、监测和重调度？</x:v>
      </x:c>
      <x:c r="I476" s="28" t="str">
        <x:v>设备接入时间；API成功率；调度利用率；消息丢失率；重调度时间；链路可观测率</x:v>
      </x:c>
      <x:c r="J476" s="64" t="str">
        <x:v>进阶能力</x:v>
      </x:c>
      <x:c r="K476" s="64" t="str">
        <x:v>P2</x:v>
      </x:c>
      <x:c r="L476" s="28" t="str">
        <x:v>S05; S26; S29; S30</x:v>
      </x:c>
      <x:c r="M476" s="28" t="str">
        <x:v>https://www.isa.org/standards-and-publications/isa-standards/isa-88-standards</x:v>
      </x:c>
    </x:row>
    <x:row r="477" ht="48" customHeight="1">
      <x:c r="A477" s="64" t="str">
        <x:v>T0476</x:v>
      </x:c>
      <x:c r="B477" s="28" t="str">
        <x:v>数据与互操作基础设施</x:v>
      </x:c>
      <x:c r="C477" s="28" t="str">
        <x:v>互操作、中间件、编排与调度</x:v>
      </x:c>
      <x:c r="D477" s="28" t="str">
        <x:v>工作流、可观测与部署</x:v>
      </x:c>
      <x:c r="E477" s="28" t="str">
        <x:v>软件与互操作基础设施</x:v>
      </x:c>
      <x:c r="F477" s="28" t="str">
        <x:v>分布式追踪</x:v>
      </x:c>
      <x:c r="G477" s="28" t="str">
        <x:v>用“分布式追踪”消除设备孤岛，把能力发现、命令、事件、资源、调度与可观测性抽象为稳定接口。</x:v>
      </x:c>
      <x:c r="H477" s="28" t="str">
        <x:v>不同厂商设备能否以统一语义被发现、调用、监测和重调度？</x:v>
      </x:c>
      <x:c r="I477" s="28" t="str">
        <x:v>设备接入时间；API成功率；调度利用率；消息丢失率；重调度时间；链路可观测率</x:v>
      </x:c>
      <x:c r="J477" s="64" t="str">
        <x:v>进阶能力</x:v>
      </x:c>
      <x:c r="K477" s="64" t="str">
        <x:v>P2</x:v>
      </x:c>
      <x:c r="L477" s="28" t="str">
        <x:v>S05; S26; S29; S30</x:v>
      </x:c>
      <x:c r="M477" s="28" t="str">
        <x:v>https://reference.opcfoundation.org/specs/OPC-10030/4/</x:v>
      </x:c>
    </x:row>
    <x:row r="478" ht="48" customHeight="1">
      <x:c r="A478" s="64" t="str">
        <x:v>T0477</x:v>
      </x:c>
      <x:c r="B478" s="28" t="str">
        <x:v>数据与互操作基础设施</x:v>
      </x:c>
      <x:c r="C478" s="28" t="str">
        <x:v>互操作、中间件、编排与调度</x:v>
      </x:c>
      <x:c r="D478" s="28" t="str">
        <x:v>工作流、可观测与部署</x:v>
      </x:c>
      <x:c r="E478" s="28" t="str">
        <x:v>软件与互操作基础设施</x:v>
      </x:c>
      <x:c r="F478" s="28" t="str">
        <x:v>日志/指标/告警</x:v>
      </x:c>
      <x:c r="G478" s="28" t="str">
        <x:v>用“日志/指标/告警”消除设备孤岛，把能力发现、命令、事件、资源、调度与可观测性抽象为稳定接口。</x:v>
      </x:c>
      <x:c r="H478" s="28" t="str">
        <x:v>不同厂商设备能否以统一语义被发现、调用、监测和重调度？</x:v>
      </x:c>
      <x:c r="I478" s="28" t="str">
        <x:v>设备接入时间；API成功率；调度利用率；消息丢失率；重调度时间；链路可观测率</x:v>
      </x:c>
      <x:c r="J478" s="64" t="str">
        <x:v>前沿能力</x:v>
      </x:c>
      <x:c r="K478" s="64" t="str">
        <x:v>P2</x:v>
      </x:c>
      <x:c r="L478" s="28" t="str">
        <x:v>S05; S26; S29; S30</x:v>
      </x:c>
      <x:c r="M478" s="28" t="str">
        <x:v>https://www.science.org/doi/10.1126/scirobotics.aat5559</x:v>
      </x:c>
    </x:row>
    <x:row r="479" ht="48" customHeight="1">
      <x:c r="A479" s="64" t="str">
        <x:v>T0478</x:v>
      </x:c>
      <x:c r="B479" s="28" t="str">
        <x:v>数据与互操作基础设施</x:v>
      </x:c>
      <x:c r="C479" s="28" t="str">
        <x:v>互操作、中间件、编排与调度</x:v>
      </x:c>
      <x:c r="D479" s="28" t="str">
        <x:v>工作流、可观测与部署</x:v>
      </x:c>
      <x:c r="E479" s="28" t="str">
        <x:v>软件与互操作基础设施</x:v>
      </x:c>
      <x:c r="F479" s="28" t="str">
        <x:v>配置与密钥管理</x:v>
      </x:c>
      <x:c r="G479" s="28" t="str">
        <x:v>用“配置与密钥管理”消除设备孤岛，把能力发现、命令、事件、资源、调度与可观测性抽象为稳定接口。</x:v>
      </x:c>
      <x:c r="H479" s="28" t="str">
        <x:v>不同厂商设备能否以统一语义被发现、调用、监测和重调度？</x:v>
      </x:c>
      <x:c r="I479" s="28" t="str">
        <x:v>设备接入时间；API成功率；调度利用率；消息丢失率；重调度时间；链路可观测率</x:v>
      </x:c>
      <x:c r="J479" s="64" t="str">
        <x:v>前沿能力</x:v>
      </x:c>
      <x:c r="K479" s="64" t="str">
        <x:v>P2</x:v>
      </x:c>
      <x:c r="L479" s="28" t="str">
        <x:v>S05; S26; S29; S30</x:v>
      </x:c>
      <x:c r="M479" s="28" t="str">
        <x:v>https://sila-standard.com/standards/</x:v>
      </x:c>
    </x:row>
    <x:row r="480" ht="48" customHeight="1">
      <x:c r="A480" s="64" t="str">
        <x:v>T0479</x:v>
      </x:c>
      <x:c r="B480" s="28" t="str">
        <x:v>数据与互操作基础设施</x:v>
      </x:c>
      <x:c r="C480" s="28" t="str">
        <x:v>互操作、中间件、编排与调度</x:v>
      </x:c>
      <x:c r="D480" s="28" t="str">
        <x:v>工作流、可观测与部署</x:v>
      </x:c>
      <x:c r="E480" s="28" t="str">
        <x:v>软件与互操作基础设施</x:v>
      </x:c>
      <x:c r="F480" s="28" t="str">
        <x:v>容器化边缘部署</x:v>
      </x:c>
      <x:c r="G480" s="28" t="str">
        <x:v>用“容器化边缘部署”消除设备孤岛，把能力发现、命令、事件、资源、调度与可观测性抽象为稳定接口。</x:v>
      </x:c>
      <x:c r="H480" s="28" t="str">
        <x:v>不同厂商设备能否以统一语义被发现、调用、监测和重调度？</x:v>
      </x:c>
      <x:c r="I480" s="28" t="str">
        <x:v>设备接入时间；API成功率；调度利用率；消息丢失率；重调度时间；链路可观测率</x:v>
      </x:c>
      <x:c r="J480" s="64" t="str">
        <x:v>前沿能力</x:v>
      </x:c>
      <x:c r="K480" s="64" t="str">
        <x:v>P2</x:v>
      </x:c>
      <x:c r="L480" s="28" t="str">
        <x:v>S05; S26; S29; S30</x:v>
      </x:c>
      <x:c r="M480" s="28" t="str">
        <x:v>https://www.isa.org/standards-and-publications/isa-standards/isa-88-standards</x:v>
      </x:c>
    </x:row>
    <x:row r="481" ht="48" customHeight="1">
      <x:c r="A481" s="64" t="str">
        <x:v>T0480</x:v>
      </x:c>
      <x:c r="B481" s="28" t="str">
        <x:v>数据与互操作基础设施</x:v>
      </x:c>
      <x:c r="C481" s="28" t="str">
        <x:v>互操作、中间件、编排与调度</x:v>
      </x:c>
      <x:c r="D481" s="28" t="str">
        <x:v>工作流、可观测与部署</x:v>
      </x:c>
      <x:c r="E481" s="28" t="str">
        <x:v>软件与互操作基础设施</x:v>
      </x:c>
      <x:c r="F481" s="28" t="str">
        <x:v>基础设施即代码</x:v>
      </x:c>
      <x:c r="G481" s="28" t="str">
        <x:v>用“基础设施即代码”消除设备孤岛，把能力发现、命令、事件、资源、调度与可观测性抽象为稳定接口。</x:v>
      </x:c>
      <x:c r="H481" s="28" t="str">
        <x:v>不同厂商设备能否以统一语义被发现、调用、监测和重调度？</x:v>
      </x:c>
      <x:c r="I481" s="28" t="str">
        <x:v>设备接入时间；API成功率；调度利用率；消息丢失率；重调度时间；链路可观测率</x:v>
      </x:c>
      <x:c r="J481" s="64" t="str">
        <x:v>前沿能力</x:v>
      </x:c>
      <x:c r="K481" s="64" t="str">
        <x:v>P2</x:v>
      </x:c>
      <x:c r="L481" s="28" t="str">
        <x:v>S05; S26; S29; S30</x:v>
      </x:c>
      <x:c r="M481" s="28" t="str">
        <x:v>https://reference.opcfoundation.org/specs/OPC-10030/4/</x:v>
      </x:c>
    </x:row>
    <x:row r="482" ht="48" customHeight="1">
      <x:c r="A482" s="64" t="str">
        <x:v>T0481</x:v>
      </x:c>
      <x:c r="B482" s="28" t="str">
        <x:v>实验设计与闭环优化</x:v>
      </x:c>
      <x:c r="C482" s="28" t="str">
        <x:v>试验设计与统计</x:v>
      </x:c>
      <x:c r="D482" s="28" t="str">
        <x:v>目标、因素与偏差控制</x:v>
      </x:c>
      <x:c r="E482" s="28" t="str">
        <x:v>统计与试验设计</x:v>
      </x:c>
      <x:c r="F482" s="28" t="str">
        <x:v>实验目标定义</x:v>
      </x:c>
      <x:c r="G482" s="28" t="str">
        <x:v>把“实验目标定义”作为控制偏差、识别效应并最大化统计信息的试验设计单元，避免只凭直觉试错。</x:v>
      </x:c>
      <x:c r="H482" s="28" t="str">
        <x:v>设计能否区分主效应/交互，控制混杂，并达到预定统计功效？</x:v>
      </x:c>
      <x:c r="I482" s="28" t="str">
        <x:v>效应估计方差；统计功效；混杂度；模型失拟；最优点验证误差</x:v>
      </x:c>
      <x:c r="J482" s="64" t="str">
        <x:v>基础能力</x:v>
      </x:c>
      <x:c r="K482" s="64" t="str">
        <x:v>P0</x:v>
      </x:c>
      <x:c r="L482" s="28" t="str">
        <x:v>S01; S14; S21; S22</x:v>
      </x:c>
      <x:c r="M482" s="28" t="str">
        <x:v>https://pubs.acs.org/doi/10.1021/acs.chemrev.4c00055</x:v>
      </x:c>
    </x:row>
    <x:row r="483" ht="48" customHeight="1">
      <x:c r="A483" s="64" t="str">
        <x:v>T0482</x:v>
      </x:c>
      <x:c r="B483" s="28" t="str">
        <x:v>实验设计与闭环优化</x:v>
      </x:c>
      <x:c r="C483" s="28" t="str">
        <x:v>试验设计与统计</x:v>
      </x:c>
      <x:c r="D483" s="28" t="str">
        <x:v>目标、因素与偏差控制</x:v>
      </x:c>
      <x:c r="E483" s="28" t="str">
        <x:v>统计与试验设计</x:v>
      </x:c>
      <x:c r="F483" s="28" t="str">
        <x:v>响应变量定义</x:v>
      </x:c>
      <x:c r="G483" s="28" t="str">
        <x:v>把“响应变量定义”作为控制偏差、识别效应并最大化统计信息的试验设计单元，避免只凭直觉试错。</x:v>
      </x:c>
      <x:c r="H483" s="28" t="str">
        <x:v>设计能否区分主效应/交互，控制混杂，并达到预定统计功效？</x:v>
      </x:c>
      <x:c r="I483" s="28" t="str">
        <x:v>效应估计方差；统计功效；混杂度；模型失拟；最优点验证误差</x:v>
      </x:c>
      <x:c r="J483" s="64" t="str">
        <x:v>基础能力</x:v>
      </x:c>
      <x:c r="K483" s="64" t="str">
        <x:v>P0</x:v>
      </x:c>
      <x:c r="L483" s="28" t="str">
        <x:v>S01; S14; S21; S22</x:v>
      </x:c>
      <x:c r="M483" s="28" t="str">
        <x:v>https://www.science.org/doi/10.1126/sciadv.abg4930</x:v>
      </x:c>
    </x:row>
    <x:row r="484" ht="48" customHeight="1">
      <x:c r="A484" s="64" t="str">
        <x:v>T0483</x:v>
      </x:c>
      <x:c r="B484" s="28" t="str">
        <x:v>实验设计与闭环优化</x:v>
      </x:c>
      <x:c r="C484" s="28" t="str">
        <x:v>试验设计与统计</x:v>
      </x:c>
      <x:c r="D484" s="28" t="str">
        <x:v>目标、因素与偏差控制</x:v>
      </x:c>
      <x:c r="E484" s="28" t="str">
        <x:v>统计与试验设计</x:v>
      </x:c>
      <x:c r="F484" s="28" t="str">
        <x:v>因素与水平</x:v>
      </x:c>
      <x:c r="G484" s="28" t="str">
        <x:v>把“因素与水平”作为控制偏差、识别效应并最大化统计信息的试验设计单元，避免只凭直觉试错。</x:v>
      </x:c>
      <x:c r="H484" s="28" t="str">
        <x:v>设计能否区分主效应/交互，控制混杂，并达到预定统计功效？</x:v>
      </x:c>
      <x:c r="I484" s="28" t="str">
        <x:v>效应估计方差；统计功效；混杂度；模型失拟；最优点验证误差</x:v>
      </x:c>
      <x:c r="J484" s="64" t="str">
        <x:v>基础能力</x:v>
      </x:c>
      <x:c r="K484" s="64" t="str">
        <x:v>P0</x:v>
      </x:c>
      <x:c r="L484" s="28" t="str">
        <x:v>S01; S14; S21; S22</x:v>
      </x:c>
      <x:c r="M484" s="28" t="str">
        <x:v>https://proceedings.neurips.cc/paper_files/paper/2020/file/f5b1b89d98b7286673128a5fb112cb9a-Paper.pdf</x:v>
      </x:c>
    </x:row>
    <x:row r="485" ht="48" customHeight="1">
      <x:c r="A485" s="64" t="str">
        <x:v>T0484</x:v>
      </x:c>
      <x:c r="B485" s="28" t="str">
        <x:v>实验设计与闭环优化</x:v>
      </x:c>
      <x:c r="C485" s="28" t="str">
        <x:v>试验设计与统计</x:v>
      </x:c>
      <x:c r="D485" s="28" t="str">
        <x:v>目标、因素与偏差控制</x:v>
      </x:c>
      <x:c r="E485" s="28" t="str">
        <x:v>统计与试验设计</x:v>
      </x:c>
      <x:c r="F485" s="28" t="str">
        <x:v>干扰因素</x:v>
      </x:c>
      <x:c r="G485" s="28" t="str">
        <x:v>把“干扰因素”作为控制偏差、识别效应并最大化统计信息的试验设计单元，避免只凭直觉试错。</x:v>
      </x:c>
      <x:c r="H485" s="28" t="str">
        <x:v>设计能否区分主效应/交互，控制混杂，并达到预定统计功效？</x:v>
      </x:c>
      <x:c r="I485" s="28" t="str">
        <x:v>效应估计方差；统计功效；混杂度；模型失拟；最优点验证误差</x:v>
      </x:c>
      <x:c r="J485" s="64" t="str">
        <x:v>基础能力</x:v>
      </x:c>
      <x:c r="K485" s="64" t="str">
        <x:v>P0</x:v>
      </x:c>
      <x:c r="L485" s="28" t="str">
        <x:v>S01; S14; S21; S22</x:v>
      </x:c>
      <x:c r="M485" s="28" t="str">
        <x:v>https://www.itl.nist.gov/div898/handbook/</x:v>
      </x:c>
    </x:row>
    <x:row r="486" ht="48" customHeight="1">
      <x:c r="A486" s="64" t="str">
        <x:v>T0485</x:v>
      </x:c>
      <x:c r="B486" s="28" t="str">
        <x:v>实验设计与闭环优化</x:v>
      </x:c>
      <x:c r="C486" s="28" t="str">
        <x:v>试验设计与统计</x:v>
      </x:c>
      <x:c r="D486" s="28" t="str">
        <x:v>目标、因素与偏差控制</x:v>
      </x:c>
      <x:c r="E486" s="28" t="str">
        <x:v>统计与试验设计</x:v>
      </x:c>
      <x:c r="F486" s="28" t="str">
        <x:v>区组设计</x:v>
      </x:c>
      <x:c r="G486" s="28" t="str">
        <x:v>把“区组设计”作为控制偏差、识别效应并最大化统计信息的试验设计单元，避免只凭直觉试错。</x:v>
      </x:c>
      <x:c r="H486" s="28" t="str">
        <x:v>设计能否区分主效应/交互，控制混杂，并达到预定统计功效？</x:v>
      </x:c>
      <x:c r="I486" s="28" t="str">
        <x:v>效应估计方差；统计功效；混杂度；模型失拟；最优点验证误差</x:v>
      </x:c>
      <x:c r="J486" s="64" t="str">
        <x:v>基础能力</x:v>
      </x:c>
      <x:c r="K486" s="64" t="str">
        <x:v>P0</x:v>
      </x:c>
      <x:c r="L486" s="28" t="str">
        <x:v>S01; S14; S21; S22</x:v>
      </x:c>
      <x:c r="M486" s="28" t="str">
        <x:v>https://pubs.acs.org/doi/10.1021/acs.chemrev.4c00055</x:v>
      </x:c>
    </x:row>
    <x:row r="487" ht="48" customHeight="1">
      <x:c r="A487" s="64" t="str">
        <x:v>T0486</x:v>
      </x:c>
      <x:c r="B487" s="28" t="str">
        <x:v>实验设计与闭环优化</x:v>
      </x:c>
      <x:c r="C487" s="28" t="str">
        <x:v>试验设计与统计</x:v>
      </x:c>
      <x:c r="D487" s="28" t="str">
        <x:v>目标、因素与偏差控制</x:v>
      </x:c>
      <x:c r="E487" s="28" t="str">
        <x:v>统计与试验设计</x:v>
      </x:c>
      <x:c r="F487" s="28" t="str">
        <x:v>随机化</x:v>
      </x:c>
      <x:c r="G487" s="28" t="str">
        <x:v>把“随机化”作为控制偏差、识别效应并最大化统计信息的试验设计单元，避免只凭直觉试错。</x:v>
      </x:c>
      <x:c r="H487" s="28" t="str">
        <x:v>设计能否区分主效应/交互，控制混杂，并达到预定统计功效？</x:v>
      </x:c>
      <x:c r="I487" s="28" t="str">
        <x:v>效应估计方差；统计功效；混杂度；模型失拟；最优点验证误差</x:v>
      </x:c>
      <x:c r="J487" s="64" t="str">
        <x:v>基础能力</x:v>
      </x:c>
      <x:c r="K487" s="64" t="str">
        <x:v>P0</x:v>
      </x:c>
      <x:c r="L487" s="28" t="str">
        <x:v>S01; S14; S21; S22</x:v>
      </x:c>
      <x:c r="M487" s="28" t="str">
        <x:v>https://www.science.org/doi/10.1126/sciadv.abg4930</x:v>
      </x:c>
    </x:row>
    <x:row r="488" ht="48" customHeight="1">
      <x:c r="A488" s="64" t="str">
        <x:v>T0487</x:v>
      </x:c>
      <x:c r="B488" s="28" t="str">
        <x:v>实验设计与闭环优化</x:v>
      </x:c>
      <x:c r="C488" s="28" t="str">
        <x:v>试验设计与统计</x:v>
      </x:c>
      <x:c r="D488" s="28" t="str">
        <x:v>目标、因素与偏差控制</x:v>
      </x:c>
      <x:c r="E488" s="28" t="str">
        <x:v>统计与试验设计</x:v>
      </x:c>
      <x:c r="F488" s="28" t="str">
        <x:v>重复</x:v>
      </x:c>
      <x:c r="G488" s="28" t="str">
        <x:v>把“重复”作为控制偏差、识别效应并最大化统计信息的试验设计单元，避免只凭直觉试错。</x:v>
      </x:c>
      <x:c r="H488" s="28" t="str">
        <x:v>设计能否区分主效应/交互，控制混杂，并达到预定统计功效？</x:v>
      </x:c>
      <x:c r="I488" s="28" t="str">
        <x:v>效应估计方差；统计功效；混杂度；模型失拟；最优点验证误差</x:v>
      </x:c>
      <x:c r="J488" s="64" t="str">
        <x:v>基础能力</x:v>
      </x:c>
      <x:c r="K488" s="64" t="str">
        <x:v>P0</x:v>
      </x:c>
      <x:c r="L488" s="28" t="str">
        <x:v>S01; S14; S21; S22</x:v>
      </x:c>
      <x:c r="M488" s="28" t="str">
        <x:v>https://proceedings.neurips.cc/paper_files/paper/2020/file/f5b1b89d98b7286673128a5fb112cb9a-Paper.pdf</x:v>
      </x:c>
    </x:row>
    <x:row r="489" ht="48" customHeight="1">
      <x:c r="A489" s="64" t="str">
        <x:v>T0488</x:v>
      </x:c>
      <x:c r="B489" s="28" t="str">
        <x:v>实验设计与闭环优化</x:v>
      </x:c>
      <x:c r="C489" s="28" t="str">
        <x:v>试验设计与统计</x:v>
      </x:c>
      <x:c r="D489" s="28" t="str">
        <x:v>目标、因素与偏差控制</x:v>
      </x:c>
      <x:c r="E489" s="28" t="str">
        <x:v>统计与试验设计</x:v>
      </x:c>
      <x:c r="F489" s="28" t="str">
        <x:v>对照组</x:v>
      </x:c>
      <x:c r="G489" s="28" t="str">
        <x:v>把“对照组”作为控制偏差、识别效应并最大化统计信息的试验设计单元，避免只凭直觉试错。</x:v>
      </x:c>
      <x:c r="H489" s="28" t="str">
        <x:v>设计能否区分主效应/交互，控制混杂，并达到预定统计功效？</x:v>
      </x:c>
      <x:c r="I489" s="28" t="str">
        <x:v>效应估计方差；统计功效；混杂度；模型失拟；最优点验证误差</x:v>
      </x:c>
      <x:c r="J489" s="64" t="str">
        <x:v>基础能力</x:v>
      </x:c>
      <x:c r="K489" s="64" t="str">
        <x:v>P0</x:v>
      </x:c>
      <x:c r="L489" s="28" t="str">
        <x:v>S01; S14; S21; S22</x:v>
      </x:c>
      <x:c r="M489" s="28" t="str">
        <x:v>https://www.itl.nist.gov/div898/handbook/</x:v>
      </x:c>
    </x:row>
    <x:row r="490" ht="48" customHeight="1">
      <x:c r="A490" s="64" t="str">
        <x:v>T0489</x:v>
      </x:c>
      <x:c r="B490" s="28" t="str">
        <x:v>实验设计与闭环优化</x:v>
      </x:c>
      <x:c r="C490" s="28" t="str">
        <x:v>试验设计与统计</x:v>
      </x:c>
      <x:c r="D490" s="28" t="str">
        <x:v>目标、因素与偏差控制</x:v>
      </x:c>
      <x:c r="E490" s="28" t="str">
        <x:v>统计与试验设计</x:v>
      </x:c>
      <x:c r="F490" s="28" t="str">
        <x:v>空白样</x:v>
      </x:c>
      <x:c r="G490" s="28" t="str">
        <x:v>把“空白样”作为控制偏差、识别效应并最大化统计信息的试验设计单元，避免只凭直觉试错。</x:v>
      </x:c>
      <x:c r="H490" s="28" t="str">
        <x:v>设计能否区分主效应/交互，控制混杂，并达到预定统计功效？</x:v>
      </x:c>
      <x:c r="I490" s="28" t="str">
        <x:v>效应估计方差；统计功效；混杂度；模型失拟；最优点验证误差</x:v>
      </x:c>
      <x:c r="J490" s="64" t="str">
        <x:v>基础能力</x:v>
      </x:c>
      <x:c r="K490" s="64" t="str">
        <x:v>P0</x:v>
      </x:c>
      <x:c r="L490" s="28" t="str">
        <x:v>S01; S14; S21; S22</x:v>
      </x:c>
      <x:c r="M490" s="28" t="str">
        <x:v>https://pubs.acs.org/doi/10.1021/acs.chemrev.4c00055</x:v>
      </x:c>
    </x:row>
    <x:row r="491" ht="48" customHeight="1">
      <x:c r="A491" s="64" t="str">
        <x:v>T0490</x:v>
      </x:c>
      <x:c r="B491" s="28" t="str">
        <x:v>实验设计与闭环优化</x:v>
      </x:c>
      <x:c r="C491" s="28" t="str">
        <x:v>试验设计与统计</x:v>
      </x:c>
      <x:c r="D491" s="28" t="str">
        <x:v>目标、因素与偏差控制</x:v>
      </x:c>
      <x:c r="E491" s="28" t="str">
        <x:v>统计与试验设计</x:v>
      </x:c>
      <x:c r="F491" s="28" t="str">
        <x:v>标准样</x:v>
      </x:c>
      <x:c r="G491" s="28" t="str">
        <x:v>把“标准样”作为控制偏差、识别效应并最大化统计信息的试验设计单元，避免只凭直觉试错。</x:v>
      </x:c>
      <x:c r="H491" s="28" t="str">
        <x:v>设计能否区分主效应/交互，控制混杂，并达到预定统计功效？</x:v>
      </x:c>
      <x:c r="I491" s="28" t="str">
        <x:v>效应估计方差；统计功效；混杂度；模型失拟；最优点验证误差</x:v>
      </x:c>
      <x:c r="J491" s="64" t="str">
        <x:v>基础能力</x:v>
      </x:c>
      <x:c r="K491" s="64" t="str">
        <x:v>P0</x:v>
      </x:c>
      <x:c r="L491" s="28" t="str">
        <x:v>S01; S14; S21; S22</x:v>
      </x:c>
      <x:c r="M491" s="28" t="str">
        <x:v>https://www.science.org/doi/10.1126/sciadv.abg4930</x:v>
      </x:c>
    </x:row>
    <x:row r="492" ht="48" customHeight="1">
      <x:c r="A492" s="64" t="str">
        <x:v>T0491</x:v>
      </x:c>
      <x:c r="B492" s="28" t="str">
        <x:v>实验设计与闭环优化</x:v>
      </x:c>
      <x:c r="C492" s="28" t="str">
        <x:v>试验设计与统计</x:v>
      </x:c>
      <x:c r="D492" s="28" t="str">
        <x:v>筛选与空间填充设计</x:v>
      </x:c>
      <x:c r="E492" s="28" t="str">
        <x:v>统计与试验设计</x:v>
      </x:c>
      <x:c r="F492" s="28" t="str">
        <x:v>全因子设计</x:v>
      </x:c>
      <x:c r="G492" s="28" t="str">
        <x:v>把“全因子设计”作为控制偏差、识别效应并最大化统计信息的试验设计单元，避免只凭直觉试错。</x:v>
      </x:c>
      <x:c r="H492" s="28" t="str">
        <x:v>设计能否区分主效应/交互，控制混杂，并达到预定统计功效？</x:v>
      </x:c>
      <x:c r="I492" s="28" t="str">
        <x:v>效应估计方差；统计功效；混杂度；模型失拟；最优点验证误差</x:v>
      </x:c>
      <x:c r="J492" s="64" t="str">
        <x:v>基础能力</x:v>
      </x:c>
      <x:c r="K492" s="64" t="str">
        <x:v>P1</x:v>
      </x:c>
      <x:c r="L492" s="28" t="str">
        <x:v>S01; S14; S21; S22</x:v>
      </x:c>
      <x:c r="M492" s="28" t="str">
        <x:v>https://proceedings.neurips.cc/paper_files/paper/2020/file/f5b1b89d98b7286673128a5fb112cb9a-Paper.pdf</x:v>
      </x:c>
    </x:row>
    <x:row r="493" ht="48" customHeight="1">
      <x:c r="A493" s="64" t="str">
        <x:v>T0492</x:v>
      </x:c>
      <x:c r="B493" s="28" t="str">
        <x:v>实验设计与闭环优化</x:v>
      </x:c>
      <x:c r="C493" s="28" t="str">
        <x:v>试验设计与统计</x:v>
      </x:c>
      <x:c r="D493" s="28" t="str">
        <x:v>筛选与空间填充设计</x:v>
      </x:c>
      <x:c r="E493" s="28" t="str">
        <x:v>统计与试验设计</x:v>
      </x:c>
      <x:c r="F493" s="28" t="str">
        <x:v>分数因子设计</x:v>
      </x:c>
      <x:c r="G493" s="28" t="str">
        <x:v>把“分数因子设计”作为控制偏差、识别效应并最大化统计信息的试验设计单元，避免只凭直觉试错。</x:v>
      </x:c>
      <x:c r="H493" s="28" t="str">
        <x:v>设计能否区分主效应/交互，控制混杂，并达到预定统计功效？</x:v>
      </x:c>
      <x:c r="I493" s="28" t="str">
        <x:v>效应估计方差；统计功效；混杂度；模型失拟；最优点验证误差</x:v>
      </x:c>
      <x:c r="J493" s="64" t="str">
        <x:v>基础能力</x:v>
      </x:c>
      <x:c r="K493" s="64" t="str">
        <x:v>P1</x:v>
      </x:c>
      <x:c r="L493" s="28" t="str">
        <x:v>S01; S14; S21; S22</x:v>
      </x:c>
      <x:c r="M493" s="28" t="str">
        <x:v>https://www.itl.nist.gov/div898/handbook/</x:v>
      </x:c>
    </x:row>
    <x:row r="494" ht="48" customHeight="1">
      <x:c r="A494" s="64" t="str">
        <x:v>T0493</x:v>
      </x:c>
      <x:c r="B494" s="28" t="str">
        <x:v>实验设计与闭环优化</x:v>
      </x:c>
      <x:c r="C494" s="28" t="str">
        <x:v>试验设计与统计</x:v>
      </x:c>
      <x:c r="D494" s="28" t="str">
        <x:v>筛选与空间填充设计</x:v>
      </x:c>
      <x:c r="E494" s="28" t="str">
        <x:v>统计与试验设计</x:v>
      </x:c>
      <x:c r="F494" s="28" t="str">
        <x:v>Plackett-Burman筛选</x:v>
      </x:c>
      <x:c r="G494" s="28" t="str">
        <x:v>把“Plackett-Burman筛选”作为控制偏差、识别效应并最大化统计信息的试验设计单元，避免只凭直觉试错。</x:v>
      </x:c>
      <x:c r="H494" s="28" t="str">
        <x:v>设计能否区分主效应/交互，控制混杂，并达到预定统计功效？</x:v>
      </x:c>
      <x:c r="I494" s="28" t="str">
        <x:v>效应估计方差；统计功效；混杂度；模型失拟；最优点验证误差</x:v>
      </x:c>
      <x:c r="J494" s="64" t="str">
        <x:v>工程化关键</x:v>
      </x:c>
      <x:c r="K494" s="64" t="str">
        <x:v>P1</x:v>
      </x:c>
      <x:c r="L494" s="28" t="str">
        <x:v>S01; S14; S21; S22</x:v>
      </x:c>
      <x:c r="M494" s="28" t="str">
        <x:v>https://pubs.acs.org/doi/10.1021/acs.chemrev.4c00055</x:v>
      </x:c>
    </x:row>
    <x:row r="495" ht="48" customHeight="1">
      <x:c r="A495" s="64" t="str">
        <x:v>T0494</x:v>
      </x:c>
      <x:c r="B495" s="28" t="str">
        <x:v>实验设计与闭环优化</x:v>
      </x:c>
      <x:c r="C495" s="28" t="str">
        <x:v>试验设计与统计</x:v>
      </x:c>
      <x:c r="D495" s="28" t="str">
        <x:v>筛选与空间填充设计</x:v>
      </x:c>
      <x:c r="E495" s="28" t="str">
        <x:v>统计与试验设计</x:v>
      </x:c>
      <x:c r="F495" s="28" t="str">
        <x:v>确定性筛选设计</x:v>
      </x:c>
      <x:c r="G495" s="28" t="str">
        <x:v>把“确定性筛选设计”作为控制偏差、识别效应并最大化统计信息的试验设计单元，避免只凭直觉试错。</x:v>
      </x:c>
      <x:c r="H495" s="28" t="str">
        <x:v>设计能否区分主效应/交互，控制混杂，并达到预定统计功效？</x:v>
      </x:c>
      <x:c r="I495" s="28" t="str">
        <x:v>效应估计方差；统计功效；混杂度；模型失拟；最优点验证误差</x:v>
      </x:c>
      <x:c r="J495" s="64" t="str">
        <x:v>工程化关键</x:v>
      </x:c>
      <x:c r="K495" s="64" t="str">
        <x:v>P1</x:v>
      </x:c>
      <x:c r="L495" s="28" t="str">
        <x:v>S01; S14; S21; S22</x:v>
      </x:c>
      <x:c r="M495" s="28" t="str">
        <x:v>https://www.science.org/doi/10.1126/sciadv.abg4930</x:v>
      </x:c>
    </x:row>
    <x:row r="496" ht="48" customHeight="1">
      <x:c r="A496" s="64" t="str">
        <x:v>T0495</x:v>
      </x:c>
      <x:c r="B496" s="28" t="str">
        <x:v>实验设计与闭环优化</x:v>
      </x:c>
      <x:c r="C496" s="28" t="str">
        <x:v>试验设计与统计</x:v>
      </x:c>
      <x:c r="D496" s="28" t="str">
        <x:v>筛选与空间填充设计</x:v>
      </x:c>
      <x:c r="E496" s="28" t="str">
        <x:v>统计与试验设计</x:v>
      </x:c>
      <x:c r="F496" s="28" t="str">
        <x:v>拉丁超立方</x:v>
      </x:c>
      <x:c r="G496" s="28" t="str">
        <x:v>把“拉丁超立方”作为控制偏差、识别效应并最大化统计信息的试验设计单元，避免只凭直觉试错。</x:v>
      </x:c>
      <x:c r="H496" s="28" t="str">
        <x:v>设计能否区分主效应/交互，控制混杂，并达到预定统计功效？</x:v>
      </x:c>
      <x:c r="I496" s="28" t="str">
        <x:v>效应估计方差；统计功效；混杂度；模型失拟；最优点验证误差</x:v>
      </x:c>
      <x:c r="J496" s="64" t="str">
        <x:v>工程化关键</x:v>
      </x:c>
      <x:c r="K496" s="64" t="str">
        <x:v>P1</x:v>
      </x:c>
      <x:c r="L496" s="28" t="str">
        <x:v>S01; S14; S21; S22</x:v>
      </x:c>
      <x:c r="M496" s="28" t="str">
        <x:v>https://proceedings.neurips.cc/paper_files/paper/2020/file/f5b1b89d98b7286673128a5fb112cb9a-Paper.pdf</x:v>
      </x:c>
    </x:row>
    <x:row r="497" ht="48" customHeight="1">
      <x:c r="A497" s="64" t="str">
        <x:v>T0496</x:v>
      </x:c>
      <x:c r="B497" s="28" t="str">
        <x:v>实验设计与闭环优化</x:v>
      </x:c>
      <x:c r="C497" s="28" t="str">
        <x:v>试验设计与统计</x:v>
      </x:c>
      <x:c r="D497" s="28" t="str">
        <x:v>筛选与空间填充设计</x:v>
      </x:c>
      <x:c r="E497" s="28" t="str">
        <x:v>统计与试验设计</x:v>
      </x:c>
      <x:c r="F497" s="28" t="str">
        <x:v>Sobol序列</x:v>
      </x:c>
      <x:c r="G497" s="28" t="str">
        <x:v>把“Sobol序列”作为控制偏差、识别效应并最大化统计信息的试验设计单元，避免只凭直觉试错。</x:v>
      </x:c>
      <x:c r="H497" s="28" t="str">
        <x:v>设计能否区分主效应/交互，控制混杂，并达到预定统计功效？</x:v>
      </x:c>
      <x:c r="I497" s="28" t="str">
        <x:v>效应估计方差；统计功效；混杂度；模型失拟；最优点验证误差</x:v>
      </x:c>
      <x:c r="J497" s="64" t="str">
        <x:v>工程化关键</x:v>
      </x:c>
      <x:c r="K497" s="64" t="str">
        <x:v>P1</x:v>
      </x:c>
      <x:c r="L497" s="28" t="str">
        <x:v>S01; S14; S21; S22</x:v>
      </x:c>
      <x:c r="M497" s="28" t="str">
        <x:v>https://www.itl.nist.gov/div898/handbook/</x:v>
      </x:c>
    </x:row>
    <x:row r="498" ht="48" customHeight="1">
      <x:c r="A498" s="64" t="str">
        <x:v>T0497</x:v>
      </x:c>
      <x:c r="B498" s="28" t="str">
        <x:v>实验设计与闭环优化</x:v>
      </x:c>
      <x:c r="C498" s="28" t="str">
        <x:v>试验设计与统计</x:v>
      </x:c>
      <x:c r="D498" s="28" t="str">
        <x:v>筛选与空间填充设计</x:v>
      </x:c>
      <x:c r="E498" s="28" t="str">
        <x:v>统计与试验设计</x:v>
      </x:c>
      <x:c r="F498" s="28" t="str">
        <x:v>空间填充设计</x:v>
      </x:c>
      <x:c r="G498" s="28" t="str">
        <x:v>把“空间填充设计”作为控制偏差、识别效应并最大化统计信息的试验设计单元，避免只凭直觉试错。</x:v>
      </x:c>
      <x:c r="H498" s="28" t="str">
        <x:v>设计能否区分主效应/交互，控制混杂，并达到预定统计功效？</x:v>
      </x:c>
      <x:c r="I498" s="28" t="str">
        <x:v>效应估计方差；统计功效；混杂度；模型失拟；最优点验证误差</x:v>
      </x:c>
      <x:c r="J498" s="64" t="str">
        <x:v>工程化关键</x:v>
      </x:c>
      <x:c r="K498" s="64" t="str">
        <x:v>P1</x:v>
      </x:c>
      <x:c r="L498" s="28" t="str">
        <x:v>S01; S14; S21; S22</x:v>
      </x:c>
      <x:c r="M498" s="28" t="str">
        <x:v>https://pubs.acs.org/doi/10.1021/acs.chemrev.4c00055</x:v>
      </x:c>
    </x:row>
    <x:row r="499" ht="48" customHeight="1">
      <x:c r="A499" s="64" t="str">
        <x:v>T0498</x:v>
      </x:c>
      <x:c r="B499" s="28" t="str">
        <x:v>实验设计与闭环优化</x:v>
      </x:c>
      <x:c r="C499" s="28" t="str">
        <x:v>试验设计与统计</x:v>
      </x:c>
      <x:c r="D499" s="28" t="str">
        <x:v>筛选与空间填充设计</x:v>
      </x:c>
      <x:c r="E499" s="28" t="str">
        <x:v>统计与试验设计</x:v>
      </x:c>
      <x:c r="F499" s="28" t="str">
        <x:v>中心复合设计</x:v>
      </x:c>
      <x:c r="G499" s="28" t="str">
        <x:v>把“中心复合设计”作为控制偏差、识别效应并最大化统计信息的试验设计单元，避免只凭直觉试错。</x:v>
      </x:c>
      <x:c r="H499" s="28" t="str">
        <x:v>设计能否区分主效应/交互，控制混杂，并达到预定统计功效？</x:v>
      </x:c>
      <x:c r="I499" s="28" t="str">
        <x:v>效应估计方差；统计功效；混杂度；模型失拟；最优点验证误差</x:v>
      </x:c>
      <x:c r="J499" s="64" t="str">
        <x:v>工程化关键</x:v>
      </x:c>
      <x:c r="K499" s="64" t="str">
        <x:v>P1</x:v>
      </x:c>
      <x:c r="L499" s="28" t="str">
        <x:v>S01; S14; S21; S22</x:v>
      </x:c>
      <x:c r="M499" s="28" t="str">
        <x:v>https://www.science.org/doi/10.1126/sciadv.abg4930</x:v>
      </x:c>
    </x:row>
    <x:row r="500" ht="48" customHeight="1">
      <x:c r="A500" s="64" t="str">
        <x:v>T0499</x:v>
      </x:c>
      <x:c r="B500" s="28" t="str">
        <x:v>实验设计与闭环优化</x:v>
      </x:c>
      <x:c r="C500" s="28" t="str">
        <x:v>试验设计与统计</x:v>
      </x:c>
      <x:c r="D500" s="28" t="str">
        <x:v>筛选与空间填充设计</x:v>
      </x:c>
      <x:c r="E500" s="28" t="str">
        <x:v>统计与试验设计</x:v>
      </x:c>
      <x:c r="F500" s="28" t="str">
        <x:v>Box-Behnken设计</x:v>
      </x:c>
      <x:c r="G500" s="28" t="str">
        <x:v>把“Box-Behnken设计”作为控制偏差、识别效应并最大化统计信息的试验设计单元，避免只凭直觉试错。</x:v>
      </x:c>
      <x:c r="H500" s="28" t="str">
        <x:v>设计能否区分主效应/交互，控制混杂，并达到预定统计功效？</x:v>
      </x:c>
      <x:c r="I500" s="28" t="str">
        <x:v>效应估计方差；统计功效；混杂度；模型失拟；最优点验证误差</x:v>
      </x:c>
      <x:c r="J500" s="64" t="str">
        <x:v>工程化关键</x:v>
      </x:c>
      <x:c r="K500" s="64" t="str">
        <x:v>P1</x:v>
      </x:c>
      <x:c r="L500" s="28" t="str">
        <x:v>S01; S14; S21; S22</x:v>
      </x:c>
      <x:c r="M500" s="28" t="str">
        <x:v>https://proceedings.neurips.cc/paper_files/paper/2020/file/f5b1b89d98b7286673128a5fb112cb9a-Paper.pdf</x:v>
      </x:c>
    </x:row>
    <x:row r="501" ht="48" customHeight="1">
      <x:c r="A501" s="64" t="str">
        <x:v>T0500</x:v>
      </x:c>
      <x:c r="B501" s="28" t="str">
        <x:v>实验设计与闭环优化</x:v>
      </x:c>
      <x:c r="C501" s="28" t="str">
        <x:v>试验设计与统计</x:v>
      </x:c>
      <x:c r="D501" s="28" t="str">
        <x:v>筛选与空间填充设计</x:v>
      </x:c>
      <x:c r="E501" s="28" t="str">
        <x:v>统计与试验设计</x:v>
      </x:c>
      <x:c r="F501" s="28" t="str">
        <x:v>响应面法</x:v>
      </x:c>
      <x:c r="G501" s="28" t="str">
        <x:v>把“响应面法”作为控制偏差、识别效应并最大化统计信息的试验设计单元，避免只凭直觉试错。</x:v>
      </x:c>
      <x:c r="H501" s="28" t="str">
        <x:v>设计能否区分主效应/交互，控制混杂，并达到预定统计功效？</x:v>
      </x:c>
      <x:c r="I501" s="28" t="str">
        <x:v>效应估计方差；统计功效；混杂度；模型失拟；最优点验证误差</x:v>
      </x:c>
      <x:c r="J501" s="64" t="str">
        <x:v>工程化关键</x:v>
      </x:c>
      <x:c r="K501" s="64" t="str">
        <x:v>P1</x:v>
      </x:c>
      <x:c r="L501" s="28" t="str">
        <x:v>S01; S14; S21; S22</x:v>
      </x:c>
      <x:c r="M501" s="28" t="str">
        <x:v>https://www.itl.nist.gov/div898/handbook/</x:v>
      </x:c>
    </x:row>
    <x:row r="502" ht="48" customHeight="1">
      <x:c r="A502" s="64" t="str">
        <x:v>T0501</x:v>
      </x:c>
      <x:c r="B502" s="28" t="str">
        <x:v>实验设计与闭环优化</x:v>
      </x:c>
      <x:c r="C502" s="28" t="str">
        <x:v>试验设计与统计</x:v>
      </x:c>
      <x:c r="D502" s="28" t="str">
        <x:v>响应面与最优设计</x:v>
      </x:c>
      <x:c r="E502" s="28" t="str">
        <x:v>统计与试验设计</x:v>
      </x:c>
      <x:c r="F502" s="28" t="str">
        <x:v>最速上升/下降</x:v>
      </x:c>
      <x:c r="G502" s="28" t="str">
        <x:v>把“最速上升/下降”作为控制偏差、识别效应并最大化统计信息的试验设计单元，避免只凭直觉试错。</x:v>
      </x:c>
      <x:c r="H502" s="28" t="str">
        <x:v>设计能否区分主效应/交互，控制混杂，并达到预定统计功效？</x:v>
      </x:c>
      <x:c r="I502" s="28" t="str">
        <x:v>效应估计方差；统计功效；混杂度；模型失拟；最优点验证误差</x:v>
      </x:c>
      <x:c r="J502" s="64" t="str">
        <x:v>工程化关键</x:v>
      </x:c>
      <x:c r="K502" s="64" t="str">
        <x:v>P1</x:v>
      </x:c>
      <x:c r="L502" s="28" t="str">
        <x:v>S01; S14; S21; S22</x:v>
      </x:c>
      <x:c r="M502" s="28" t="str">
        <x:v>https://pubs.acs.org/doi/10.1021/acs.chemrev.4c00055</x:v>
      </x:c>
    </x:row>
    <x:row r="503" ht="48" customHeight="1">
      <x:c r="A503" s="64" t="str">
        <x:v>T0502</x:v>
      </x:c>
      <x:c r="B503" s="28" t="str">
        <x:v>实验设计与闭环优化</x:v>
      </x:c>
      <x:c r="C503" s="28" t="str">
        <x:v>试验设计与统计</x:v>
      </x:c>
      <x:c r="D503" s="28" t="str">
        <x:v>响应面与最优设计</x:v>
      </x:c>
      <x:c r="E503" s="28" t="str">
        <x:v>统计与试验设计</x:v>
      </x:c>
      <x:c r="F503" s="28" t="str">
        <x:v>D最优设计</x:v>
      </x:c>
      <x:c r="G503" s="28" t="str">
        <x:v>把“D最优设计”作为控制偏差、识别效应并最大化统计信息的试验设计单元，避免只凭直觉试错。</x:v>
      </x:c>
      <x:c r="H503" s="28" t="str">
        <x:v>设计能否区分主效应/交互，控制混杂，并达到预定统计功效？</x:v>
      </x:c>
      <x:c r="I503" s="28" t="str">
        <x:v>效应估计方差；统计功效；混杂度；模型失拟；最优点验证误差</x:v>
      </x:c>
      <x:c r="J503" s="64" t="str">
        <x:v>工程化关键</x:v>
      </x:c>
      <x:c r="K503" s="64" t="str">
        <x:v>P1</x:v>
      </x:c>
      <x:c r="L503" s="28" t="str">
        <x:v>S01; S14; S21; S22</x:v>
      </x:c>
      <x:c r="M503" s="28" t="str">
        <x:v>https://www.science.org/doi/10.1126/sciadv.abg4930</x:v>
      </x:c>
    </x:row>
    <x:row r="504" ht="48" customHeight="1">
      <x:c r="A504" s="64" t="str">
        <x:v>T0503</x:v>
      </x:c>
      <x:c r="B504" s="28" t="str">
        <x:v>实验设计与闭环优化</x:v>
      </x:c>
      <x:c r="C504" s="28" t="str">
        <x:v>试验设计与统计</x:v>
      </x:c>
      <x:c r="D504" s="28" t="str">
        <x:v>响应面与最优设计</x:v>
      </x:c>
      <x:c r="E504" s="28" t="str">
        <x:v>统计与试验设计</x:v>
      </x:c>
      <x:c r="F504" s="28" t="str">
        <x:v>A最优设计</x:v>
      </x:c>
      <x:c r="G504" s="28" t="str">
        <x:v>把“A最优设计”作为控制偏差、识别效应并最大化统计信息的试验设计单元，避免只凭直觉试错。</x:v>
      </x:c>
      <x:c r="H504" s="28" t="str">
        <x:v>设计能否区分主效应/交互，控制混杂，并达到预定统计功效？</x:v>
      </x:c>
      <x:c r="I504" s="28" t="str">
        <x:v>效应估计方差；统计功效；混杂度；模型失拟；最优点验证误差</x:v>
      </x:c>
      <x:c r="J504" s="64" t="str">
        <x:v>工程化关键</x:v>
      </x:c>
      <x:c r="K504" s="64" t="str">
        <x:v>P1</x:v>
      </x:c>
      <x:c r="L504" s="28" t="str">
        <x:v>S01; S14; S21; S22</x:v>
      </x:c>
      <x:c r="M504" s="28" t="str">
        <x:v>https://proceedings.neurips.cc/paper_files/paper/2020/file/f5b1b89d98b7286673128a5fb112cb9a-Paper.pdf</x:v>
      </x:c>
    </x:row>
    <x:row r="505" ht="48" customHeight="1">
      <x:c r="A505" s="64" t="str">
        <x:v>T0504</x:v>
      </x:c>
      <x:c r="B505" s="28" t="str">
        <x:v>实验设计与闭环优化</x:v>
      </x:c>
      <x:c r="C505" s="28" t="str">
        <x:v>试验设计与统计</x:v>
      </x:c>
      <x:c r="D505" s="28" t="str">
        <x:v>响应面与最优设计</x:v>
      </x:c>
      <x:c r="E505" s="28" t="str">
        <x:v>统计与试验设计</x:v>
      </x:c>
      <x:c r="F505" s="28" t="str">
        <x:v>E最优设计</x:v>
      </x:c>
      <x:c r="G505" s="28" t="str">
        <x:v>把“E最优设计”作为控制偏差、识别效应并最大化统计信息的试验设计单元，避免只凭直觉试错。</x:v>
      </x:c>
      <x:c r="H505" s="28" t="str">
        <x:v>设计能否区分主效应/交互，控制混杂，并达到预定统计功效？</x:v>
      </x:c>
      <x:c r="I505" s="28" t="str">
        <x:v>效应估计方差；统计功效；混杂度；模型失拟；最优点验证误差</x:v>
      </x:c>
      <x:c r="J505" s="64" t="str">
        <x:v>工程化关键</x:v>
      </x:c>
      <x:c r="K505" s="64" t="str">
        <x:v>P1</x:v>
      </x:c>
      <x:c r="L505" s="28" t="str">
        <x:v>S01; S14; S21; S22</x:v>
      </x:c>
      <x:c r="M505" s="28" t="str">
        <x:v>https://www.itl.nist.gov/div898/handbook/</x:v>
      </x:c>
    </x:row>
    <x:row r="506" ht="48" customHeight="1">
      <x:c r="A506" s="64" t="str">
        <x:v>T0505</x:v>
      </x:c>
      <x:c r="B506" s="28" t="str">
        <x:v>实验设计与闭环优化</x:v>
      </x:c>
      <x:c r="C506" s="28" t="str">
        <x:v>试验设计与统计</x:v>
      </x:c>
      <x:c r="D506" s="28" t="str">
        <x:v>响应面与最优设计</x:v>
      </x:c>
      <x:c r="E506" s="28" t="str">
        <x:v>统计与试验设计</x:v>
      </x:c>
      <x:c r="F506" s="28" t="str">
        <x:v>G最优设计</x:v>
      </x:c>
      <x:c r="G506" s="28" t="str">
        <x:v>把“G最优设计”作为控制偏差、识别效应并最大化统计信息的试验设计单元，避免只凭直觉试错。</x:v>
      </x:c>
      <x:c r="H506" s="28" t="str">
        <x:v>设计能否区分主效应/交互，控制混杂，并达到预定统计功效？</x:v>
      </x:c>
      <x:c r="I506" s="28" t="str">
        <x:v>效应估计方差；统计功效；混杂度；模型失拟；最优点验证误差</x:v>
      </x:c>
      <x:c r="J506" s="64" t="str">
        <x:v>工程化关键</x:v>
      </x:c>
      <x:c r="K506" s="64" t="str">
        <x:v>P1</x:v>
      </x:c>
      <x:c r="L506" s="28" t="str">
        <x:v>S01; S14; S21; S22</x:v>
      </x:c>
      <x:c r="M506" s="28" t="str">
        <x:v>https://pubs.acs.org/doi/10.1021/acs.chemrev.4c00055</x:v>
      </x:c>
    </x:row>
    <x:row r="507" ht="48" customHeight="1">
      <x:c r="A507" s="64" t="str">
        <x:v>T0506</x:v>
      </x:c>
      <x:c r="B507" s="28" t="str">
        <x:v>实验设计与闭环优化</x:v>
      </x:c>
      <x:c r="C507" s="28" t="str">
        <x:v>试验设计与统计</x:v>
      </x:c>
      <x:c r="D507" s="28" t="str">
        <x:v>响应面与最优设计</x:v>
      </x:c>
      <x:c r="E507" s="28" t="str">
        <x:v>统计与试验设计</x:v>
      </x:c>
      <x:c r="F507" s="28" t="str">
        <x:v>混料设计</x:v>
      </x:c>
      <x:c r="G507" s="28" t="str">
        <x:v>把“混料设计”作为控制偏差、识别效应并最大化统计信息的试验设计单元，避免只凭直觉试错。</x:v>
      </x:c>
      <x:c r="H507" s="28" t="str">
        <x:v>设计能否区分主效应/交互，控制混杂，并达到预定统计功效？</x:v>
      </x:c>
      <x:c r="I507" s="28" t="str">
        <x:v>效应估计方差；统计功效；混杂度；模型失拟；最优点验证误差</x:v>
      </x:c>
      <x:c r="J507" s="64" t="str">
        <x:v>工程化关键</x:v>
      </x:c>
      <x:c r="K507" s="64" t="str">
        <x:v>P1</x:v>
      </x:c>
      <x:c r="L507" s="28" t="str">
        <x:v>S01; S14; S21; S22</x:v>
      </x:c>
      <x:c r="M507" s="28" t="str">
        <x:v>https://www.science.org/doi/10.1126/sciadv.abg4930</x:v>
      </x:c>
    </x:row>
    <x:row r="508" ht="48" customHeight="1">
      <x:c r="A508" s="64" t="str">
        <x:v>T0507</x:v>
      </x:c>
      <x:c r="B508" s="28" t="str">
        <x:v>实验设计与闭环优化</x:v>
      </x:c>
      <x:c r="C508" s="28" t="str">
        <x:v>试验设计与统计</x:v>
      </x:c>
      <x:c r="D508" s="28" t="str">
        <x:v>响应面与最优设计</x:v>
      </x:c>
      <x:c r="E508" s="28" t="str">
        <x:v>统计与试验设计</x:v>
      </x:c>
      <x:c r="F508" s="28" t="str">
        <x:v>裂区设计</x:v>
      </x:c>
      <x:c r="G508" s="28" t="str">
        <x:v>把“裂区设计”作为控制偏差、识别效应并最大化统计信息的试验设计单元，避免只凭直觉试错。</x:v>
      </x:c>
      <x:c r="H508" s="28" t="str">
        <x:v>设计能否区分主效应/交互，控制混杂，并达到预定统计功效？</x:v>
      </x:c>
      <x:c r="I508" s="28" t="str">
        <x:v>效应估计方差；统计功效；混杂度；模型失拟；最优点验证误差</x:v>
      </x:c>
      <x:c r="J508" s="64" t="str">
        <x:v>工程化关键</x:v>
      </x:c>
      <x:c r="K508" s="64" t="str">
        <x:v>P1</x:v>
      </x:c>
      <x:c r="L508" s="28" t="str">
        <x:v>S01; S14; S21; S22</x:v>
      </x:c>
      <x:c r="M508" s="28" t="str">
        <x:v>https://proceedings.neurips.cc/paper_files/paper/2020/file/f5b1b89d98b7286673128a5fb112cb9a-Paper.pdf</x:v>
      </x:c>
    </x:row>
    <x:row r="509" ht="48" customHeight="1">
      <x:c r="A509" s="64" t="str">
        <x:v>T0508</x:v>
      </x:c>
      <x:c r="B509" s="28" t="str">
        <x:v>实验设计与闭环优化</x:v>
      </x:c>
      <x:c r="C509" s="28" t="str">
        <x:v>试验设计与统计</x:v>
      </x:c>
      <x:c r="D509" s="28" t="str">
        <x:v>响应面与最优设计</x:v>
      </x:c>
      <x:c r="E509" s="28" t="str">
        <x:v>统计与试验设计</x:v>
      </x:c>
      <x:c r="F509" s="28" t="str">
        <x:v>嵌套设计</x:v>
      </x:c>
      <x:c r="G509" s="28" t="str">
        <x:v>把“嵌套设计”作为控制偏差、识别效应并最大化统计信息的试验设计单元，避免只凭直觉试错。</x:v>
      </x:c>
      <x:c r="H509" s="28" t="str">
        <x:v>设计能否区分主效应/交互，控制混杂，并达到预定统计功效？</x:v>
      </x:c>
      <x:c r="I509" s="28" t="str">
        <x:v>效应估计方差；统计功效；混杂度；模型失拟；最优点验证误差</x:v>
      </x:c>
      <x:c r="J509" s="64" t="str">
        <x:v>工程化关键</x:v>
      </x:c>
      <x:c r="K509" s="64" t="str">
        <x:v>P1</x:v>
      </x:c>
      <x:c r="L509" s="28" t="str">
        <x:v>S01; S14; S21; S22</x:v>
      </x:c>
      <x:c r="M509" s="28" t="str">
        <x:v>https://www.itl.nist.gov/div898/handbook/</x:v>
      </x:c>
    </x:row>
    <x:row r="510" ht="48" customHeight="1">
      <x:c r="A510" s="64" t="str">
        <x:v>T0509</x:v>
      </x:c>
      <x:c r="B510" s="28" t="str">
        <x:v>实验设计与闭环优化</x:v>
      </x:c>
      <x:c r="C510" s="28" t="str">
        <x:v>试验设计与统计</x:v>
      </x:c>
      <x:c r="D510" s="28" t="str">
        <x:v>响应面与最优设计</x:v>
      </x:c>
      <x:c r="E510" s="28" t="str">
        <x:v>统计与试验设计</x:v>
      </x:c>
      <x:c r="F510" s="28" t="str">
        <x:v>重复测量设计</x:v>
      </x:c>
      <x:c r="G510" s="28" t="str">
        <x:v>把“重复测量设计”作为控制偏差、识别效应并最大化统计信息的试验设计单元，避免只凭直觉试错。</x:v>
      </x:c>
      <x:c r="H510" s="28" t="str">
        <x:v>设计能否区分主效应/交互，控制混杂，并达到预定统计功效？</x:v>
      </x:c>
      <x:c r="I510" s="28" t="str">
        <x:v>效应估计方差；统计功效；混杂度；模型失拟；最优点验证误差</x:v>
      </x:c>
      <x:c r="J510" s="64" t="str">
        <x:v>进阶能力</x:v>
      </x:c>
      <x:c r="K510" s="64" t="str">
        <x:v>P2</x:v>
      </x:c>
      <x:c r="L510" s="28" t="str">
        <x:v>S01; S14; S21; S22</x:v>
      </x:c>
      <x:c r="M510" s="28" t="str">
        <x:v>https://pubs.acs.org/doi/10.1021/acs.chemrev.4c00055</x:v>
      </x:c>
    </x:row>
    <x:row r="511" ht="48" customHeight="1">
      <x:c r="A511" s="64" t="str">
        <x:v>T0510</x:v>
      </x:c>
      <x:c r="B511" s="28" t="str">
        <x:v>实验设计与闭环优化</x:v>
      </x:c>
      <x:c r="C511" s="28" t="str">
        <x:v>试验设计与统计</x:v>
      </x:c>
      <x:c r="D511" s="28" t="str">
        <x:v>响应面与最优设计</x:v>
      </x:c>
      <x:c r="E511" s="28" t="str">
        <x:v>统计与试验设计</x:v>
      </x:c>
      <x:c r="F511" s="28" t="str">
        <x:v>序贯试验设计</x:v>
      </x:c>
      <x:c r="G511" s="28" t="str">
        <x:v>把“序贯试验设计”作为控制偏差、识别效应并最大化统计信息的试验设计单元，避免只凭直觉试错。</x:v>
      </x:c>
      <x:c r="H511" s="28" t="str">
        <x:v>设计能否区分主效应/交互，控制混杂，并达到预定统计功效？</x:v>
      </x:c>
      <x:c r="I511" s="28" t="str">
        <x:v>效应估计方差；统计功效；混杂度；模型失拟；最优点验证误差</x:v>
      </x:c>
      <x:c r="J511" s="64" t="str">
        <x:v>进阶能力</x:v>
      </x:c>
      <x:c r="K511" s="64" t="str">
        <x:v>P2</x:v>
      </x:c>
      <x:c r="L511" s="28" t="str">
        <x:v>S01; S14; S21; S22</x:v>
      </x:c>
      <x:c r="M511" s="28" t="str">
        <x:v>https://www.science.org/doi/10.1126/sciadv.abg4930</x:v>
      </x:c>
    </x:row>
    <x:row r="512" ht="48" customHeight="1">
      <x:c r="A512" s="64" t="str">
        <x:v>T0511</x:v>
      </x:c>
      <x:c r="B512" s="28" t="str">
        <x:v>实验设计与闭环优化</x:v>
      </x:c>
      <x:c r="C512" s="28" t="str">
        <x:v>试验设计与统计</x:v>
      </x:c>
      <x:c r="D512" s="28" t="str">
        <x:v>自适应统计与稳健推断</x:v>
      </x:c>
      <x:c r="E512" s="28" t="str">
        <x:v>统计与试验设计</x:v>
      </x:c>
      <x:c r="F512" s="28" t="str">
        <x:v>自适应试验设计</x:v>
      </x:c>
      <x:c r="G512" s="28" t="str">
        <x:v>把“自适应试验设计”作为控制偏差、识别效应并最大化统计信息的试验设计单元，避免只凭直觉试错。</x:v>
      </x:c>
      <x:c r="H512" s="28" t="str">
        <x:v>设计能否区分主效应/交互，控制混杂，并达到预定统计功效？</x:v>
      </x:c>
      <x:c r="I512" s="28" t="str">
        <x:v>效应估计方差；统计功效；混杂度；模型失拟；最优点验证误差</x:v>
      </x:c>
      <x:c r="J512" s="64" t="str">
        <x:v>进阶能力</x:v>
      </x:c>
      <x:c r="K512" s="64" t="str">
        <x:v>P2</x:v>
      </x:c>
      <x:c r="L512" s="28" t="str">
        <x:v>S01; S14; S21; S22</x:v>
      </x:c>
      <x:c r="M512" s="28" t="str">
        <x:v>https://proceedings.neurips.cc/paper_files/paper/2020/file/f5b1b89d98b7286673128a5fb112cb9a-Paper.pdf</x:v>
      </x:c>
    </x:row>
    <x:row r="513" ht="48" customHeight="1">
      <x:c r="A513" s="64" t="str">
        <x:v>T0512</x:v>
      </x:c>
      <x:c r="B513" s="28" t="str">
        <x:v>实验设计与闭环优化</x:v>
      </x:c>
      <x:c r="C513" s="28" t="str">
        <x:v>试验设计与统计</x:v>
      </x:c>
      <x:c r="D513" s="28" t="str">
        <x:v>自适应统计与稳健推断</x:v>
      </x:c>
      <x:c r="E513" s="28" t="str">
        <x:v>统计与试验设计</x:v>
      </x:c>
      <x:c r="F513" s="28" t="str">
        <x:v>功效分析</x:v>
      </x:c>
      <x:c r="G513" s="28" t="str">
        <x:v>把“功效分析”作为控制偏差、识别效应并最大化统计信息的试验设计单元，避免只凭直觉试错。</x:v>
      </x:c>
      <x:c r="H513" s="28" t="str">
        <x:v>设计能否区分主效应/交互，控制混杂，并达到预定统计功效？</x:v>
      </x:c>
      <x:c r="I513" s="28" t="str">
        <x:v>效应估计方差；统计功效；混杂度；模型失拟；最优点验证误差</x:v>
      </x:c>
      <x:c r="J513" s="64" t="str">
        <x:v>进阶能力</x:v>
      </x:c>
      <x:c r="K513" s="64" t="str">
        <x:v>P2</x:v>
      </x:c>
      <x:c r="L513" s="28" t="str">
        <x:v>S01; S14; S21; S22</x:v>
      </x:c>
      <x:c r="M513" s="28" t="str">
        <x:v>https://www.itl.nist.gov/div898/handbook/</x:v>
      </x:c>
    </x:row>
    <x:row r="514" ht="48" customHeight="1">
      <x:c r="A514" s="64" t="str">
        <x:v>T0513</x:v>
      </x:c>
      <x:c r="B514" s="28" t="str">
        <x:v>实验设计与闭环优化</x:v>
      </x:c>
      <x:c r="C514" s="28" t="str">
        <x:v>试验设计与统计</x:v>
      </x:c>
      <x:c r="D514" s="28" t="str">
        <x:v>自适应统计与稳健推断</x:v>
      </x:c>
      <x:c r="E514" s="28" t="str">
        <x:v>统计与试验设计</x:v>
      </x:c>
      <x:c r="F514" s="28" t="str">
        <x:v>样本量设计</x:v>
      </x:c>
      <x:c r="G514" s="28" t="str">
        <x:v>把“样本量设计”作为控制偏差、识别效应并最大化统计信息的试验设计单元，避免只凭直觉试错。</x:v>
      </x:c>
      <x:c r="H514" s="28" t="str">
        <x:v>设计能否区分主效应/交互，控制混杂，并达到预定统计功效？</x:v>
      </x:c>
      <x:c r="I514" s="28" t="str">
        <x:v>效应估计方差；统计功效；混杂度；模型失拟；最优点验证误差</x:v>
      </x:c>
      <x:c r="J514" s="64" t="str">
        <x:v>进阶能力</x:v>
      </x:c>
      <x:c r="K514" s="64" t="str">
        <x:v>P2</x:v>
      </x:c>
      <x:c r="L514" s="28" t="str">
        <x:v>S01; S14; S21; S22</x:v>
      </x:c>
      <x:c r="M514" s="28" t="str">
        <x:v>https://pubs.acs.org/doi/10.1021/acs.chemrev.4c00055</x:v>
      </x:c>
    </x:row>
    <x:row r="515" ht="48" customHeight="1">
      <x:c r="A515" s="64" t="str">
        <x:v>T0514</x:v>
      </x:c>
      <x:c r="B515" s="28" t="str">
        <x:v>实验设计与闭环优化</x:v>
      </x:c>
      <x:c r="C515" s="28" t="str">
        <x:v>试验设计与统计</x:v>
      </x:c>
      <x:c r="D515" s="28" t="str">
        <x:v>自适应统计与稳健推断</x:v>
      </x:c>
      <x:c r="E515" s="28" t="str">
        <x:v>统计与试验设计</x:v>
      </x:c>
      <x:c r="F515" s="28" t="str">
        <x:v>方差分析</x:v>
      </x:c>
      <x:c r="G515" s="28" t="str">
        <x:v>把“方差分析”作为控制偏差、识别效应并最大化统计信息的试验设计单元，避免只凭直觉试错。</x:v>
      </x:c>
      <x:c r="H515" s="28" t="str">
        <x:v>设计能否区分主效应/交互，控制混杂，并达到预定统计功效？</x:v>
      </x:c>
      <x:c r="I515" s="28" t="str">
        <x:v>效应估计方差；统计功效；混杂度；模型失拟；最优点验证误差</x:v>
      </x:c>
      <x:c r="J515" s="64" t="str">
        <x:v>进阶能力</x:v>
      </x:c>
      <x:c r="K515" s="64" t="str">
        <x:v>P2</x:v>
      </x:c>
      <x:c r="L515" s="28" t="str">
        <x:v>S01; S14; S21; S22</x:v>
      </x:c>
      <x:c r="M515" s="28" t="str">
        <x:v>https://www.science.org/doi/10.1126/sciadv.abg4930</x:v>
      </x:c>
    </x:row>
    <x:row r="516" ht="48" customHeight="1">
      <x:c r="A516" s="64" t="str">
        <x:v>T0515</x:v>
      </x:c>
      <x:c r="B516" s="28" t="str">
        <x:v>实验设计与闭环优化</x:v>
      </x:c>
      <x:c r="C516" s="28" t="str">
        <x:v>试验设计与统计</x:v>
      </x:c>
      <x:c r="D516" s="28" t="str">
        <x:v>自适应统计与稳健推断</x:v>
      </x:c>
      <x:c r="E516" s="28" t="str">
        <x:v>统计与试验设计</x:v>
      </x:c>
      <x:c r="F516" s="28" t="str">
        <x:v>交互效应</x:v>
      </x:c>
      <x:c r="G516" s="28" t="str">
        <x:v>把“交互效应”作为控制偏差、识别效应并最大化统计信息的试验设计单元，避免只凭直觉试错。</x:v>
      </x:c>
      <x:c r="H516" s="28" t="str">
        <x:v>设计能否区分主效应/交互，控制混杂，并达到预定统计功效？</x:v>
      </x:c>
      <x:c r="I516" s="28" t="str">
        <x:v>效应估计方差；统计功效；混杂度；模型失拟；最优点验证误差</x:v>
      </x:c>
      <x:c r="J516" s="64" t="str">
        <x:v>进阶能力</x:v>
      </x:c>
      <x:c r="K516" s="64" t="str">
        <x:v>P2</x:v>
      </x:c>
      <x:c r="L516" s="28" t="str">
        <x:v>S01; S14; S21; S22</x:v>
      </x:c>
      <x:c r="M516" s="28" t="str">
        <x:v>https://proceedings.neurips.cc/paper_files/paper/2020/file/f5b1b89d98b7286673128a5fb112cb9a-Paper.pdf</x:v>
      </x:c>
    </x:row>
    <x:row r="517" ht="48" customHeight="1">
      <x:c r="A517" s="64" t="str">
        <x:v>T0516</x:v>
      </x:c>
      <x:c r="B517" s="28" t="str">
        <x:v>实验设计与闭环优化</x:v>
      </x:c>
      <x:c r="C517" s="28" t="str">
        <x:v>试验设计与统计</x:v>
      </x:c>
      <x:c r="D517" s="28" t="str">
        <x:v>自适应统计与稳健推断</x:v>
      </x:c>
      <x:c r="E517" s="28" t="str">
        <x:v>统计与试验设计</x:v>
      </x:c>
      <x:c r="F517" s="28" t="str">
        <x:v>混杂与别名</x:v>
      </x:c>
      <x:c r="G517" s="28" t="str">
        <x:v>把“混杂与别名”作为控制偏差、识别效应并最大化统计信息的试验设计单元，避免只凭直觉试错。</x:v>
      </x:c>
      <x:c r="H517" s="28" t="str">
        <x:v>设计能否区分主效应/交互，控制混杂，并达到预定统计功效？</x:v>
      </x:c>
      <x:c r="I517" s="28" t="str">
        <x:v>效应估计方差；统计功效；混杂度；模型失拟；最优点验证误差</x:v>
      </x:c>
      <x:c r="J517" s="64" t="str">
        <x:v>进阶能力</x:v>
      </x:c>
      <x:c r="K517" s="64" t="str">
        <x:v>P2</x:v>
      </x:c>
      <x:c r="L517" s="28" t="str">
        <x:v>S01; S14; S21; S22</x:v>
      </x:c>
      <x:c r="M517" s="28" t="str">
        <x:v>https://www.itl.nist.gov/div898/handbook/</x:v>
      </x:c>
    </x:row>
    <x:row r="518" ht="48" customHeight="1">
      <x:c r="A518" s="64" t="str">
        <x:v>T0517</x:v>
      </x:c>
      <x:c r="B518" s="28" t="str">
        <x:v>实验设计与闭环优化</x:v>
      </x:c>
      <x:c r="C518" s="28" t="str">
        <x:v>试验设计与统计</x:v>
      </x:c>
      <x:c r="D518" s="28" t="str">
        <x:v>自适应统计与稳健推断</x:v>
      </x:c>
      <x:c r="E518" s="28" t="str">
        <x:v>统计与试验设计</x:v>
      </x:c>
      <x:c r="F518" s="28" t="str">
        <x:v>变量变换</x:v>
      </x:c>
      <x:c r="G518" s="28" t="str">
        <x:v>把“变量变换”作为控制偏差、识别效应并最大化统计信息的试验设计单元，避免只凭直觉试错。</x:v>
      </x:c>
      <x:c r="H518" s="28" t="str">
        <x:v>设计能否区分主效应/交互，控制混杂，并达到预定统计功效？</x:v>
      </x:c>
      <x:c r="I518" s="28" t="str">
        <x:v>效应估计方差；统计功效；混杂度；模型失拟；最优点验证误差</x:v>
      </x:c>
      <x:c r="J518" s="64" t="str">
        <x:v>前沿能力</x:v>
      </x:c>
      <x:c r="K518" s="64" t="str">
        <x:v>P2</x:v>
      </x:c>
      <x:c r="L518" s="28" t="str">
        <x:v>S01; S14; S21; S22</x:v>
      </x:c>
      <x:c r="M518" s="28" t="str">
        <x:v>https://pubs.acs.org/doi/10.1021/acs.chemrev.4c00055</x:v>
      </x:c>
    </x:row>
    <x:row r="519" ht="48" customHeight="1">
      <x:c r="A519" s="64" t="str">
        <x:v>T0518</x:v>
      </x:c>
      <x:c r="B519" s="28" t="str">
        <x:v>实验设计与闭环优化</x:v>
      </x:c>
      <x:c r="C519" s="28" t="str">
        <x:v>试验设计与统计</x:v>
      </x:c>
      <x:c r="D519" s="28" t="str">
        <x:v>自适应统计与稳健推断</x:v>
      </x:c>
      <x:c r="E519" s="28" t="str">
        <x:v>统计与试验设计</x:v>
      </x:c>
      <x:c r="F519" s="28" t="str">
        <x:v>异方差处理</x:v>
      </x:c>
      <x:c r="G519" s="28" t="str">
        <x:v>把“异方差处理”作为控制偏差、识别效应并最大化统计信息的试验设计单元，避免只凭直觉试错。</x:v>
      </x:c>
      <x:c r="H519" s="28" t="str">
        <x:v>设计能否区分主效应/交互，控制混杂，并达到预定统计功效？</x:v>
      </x:c>
      <x:c r="I519" s="28" t="str">
        <x:v>效应估计方差；统计功效；混杂度；模型失拟；最优点验证误差</x:v>
      </x:c>
      <x:c r="J519" s="64" t="str">
        <x:v>前沿能力</x:v>
      </x:c>
      <x:c r="K519" s="64" t="str">
        <x:v>P2</x:v>
      </x:c>
      <x:c r="L519" s="28" t="str">
        <x:v>S01; S14; S21; S22</x:v>
      </x:c>
      <x:c r="M519" s="28" t="str">
        <x:v>https://www.science.org/doi/10.1126/sciadv.abg4930</x:v>
      </x:c>
    </x:row>
    <x:row r="520" ht="48" customHeight="1">
      <x:c r="A520" s="64" t="str">
        <x:v>T0519</x:v>
      </x:c>
      <x:c r="B520" s="28" t="str">
        <x:v>实验设计与闭环优化</x:v>
      </x:c>
      <x:c r="C520" s="28" t="str">
        <x:v>试验设计与统计</x:v>
      </x:c>
      <x:c r="D520" s="28" t="str">
        <x:v>自适应统计与稳健推断</x:v>
      </x:c>
      <x:c r="E520" s="28" t="str">
        <x:v>统计与试验设计</x:v>
      </x:c>
      <x:c r="F520" s="28" t="str">
        <x:v>稳健参数设计</x:v>
      </x:c>
      <x:c r="G520" s="28" t="str">
        <x:v>把“稳健参数设计”作为控制偏差、识别效应并最大化统计信息的试验设计单元，避免只凭直觉试错。</x:v>
      </x:c>
      <x:c r="H520" s="28" t="str">
        <x:v>设计能否区分主效应/交互，控制混杂，并达到预定统计功效？</x:v>
      </x:c>
      <x:c r="I520" s="28" t="str">
        <x:v>效应估计方差；统计功效；混杂度；模型失拟；最优点验证误差</x:v>
      </x:c>
      <x:c r="J520" s="64" t="str">
        <x:v>前沿能力</x:v>
      </x:c>
      <x:c r="K520" s="64" t="str">
        <x:v>P2</x:v>
      </x:c>
      <x:c r="L520" s="28" t="str">
        <x:v>S01; S14; S21; S22</x:v>
      </x:c>
      <x:c r="M520" s="28" t="str">
        <x:v>https://proceedings.neurips.cc/paper_files/paper/2020/file/f5b1b89d98b7286673128a5fb112cb9a-Paper.pdf</x:v>
      </x:c>
    </x:row>
    <x:row r="521" ht="48" customHeight="1">
      <x:c r="A521" s="64" t="str">
        <x:v>T0520</x:v>
      </x:c>
      <x:c r="B521" s="28" t="str">
        <x:v>实验设计与闭环优化</x:v>
      </x:c>
      <x:c r="C521" s="28" t="str">
        <x:v>试验设计与统计</x:v>
      </x:c>
      <x:c r="D521" s="28" t="str">
        <x:v>自适应统计与稳健推断</x:v>
      </x:c>
      <x:c r="E521" s="28" t="str">
        <x:v>统计与试验设计</x:v>
      </x:c>
      <x:c r="F521" s="28" t="str">
        <x:v>多重比较控制</x:v>
      </x:c>
      <x:c r="G521" s="28" t="str">
        <x:v>把“多重比较控制”作为控制偏差、识别效应并最大化统计信息的试验设计单元，避免只凭直觉试错。</x:v>
      </x:c>
      <x:c r="H521" s="28" t="str">
        <x:v>设计能否区分主效应/交互，控制混杂，并达到预定统计功效？</x:v>
      </x:c>
      <x:c r="I521" s="28" t="str">
        <x:v>效应估计方差；统计功效；混杂度；模型失拟；最优点验证误差</x:v>
      </x:c>
      <x:c r="J521" s="64" t="str">
        <x:v>前沿能力</x:v>
      </x:c>
      <x:c r="K521" s="64" t="str">
        <x:v>P2</x:v>
      </x:c>
      <x:c r="L521" s="28" t="str">
        <x:v>S01; S14; S21; S22</x:v>
      </x:c>
      <x:c r="M521" s="28" t="str">
        <x:v>https://www.itl.nist.gov/div898/handbook/</x:v>
      </x:c>
    </x:row>
    <x:row r="522" ht="48" customHeight="1">
      <x:c r="A522" s="64" t="str">
        <x:v>T0521</x:v>
      </x:c>
      <x:c r="B522" s="28" t="str">
        <x:v>实验设计与闭环优化</x:v>
      </x:c>
      <x:c r="C522" s="28" t="str">
        <x:v>贝叶斯优化与主动学习</x:v>
      </x:c>
      <x:c r="D522" s="28" t="str">
        <x:v>代理模型与噪声</x:v>
      </x:c>
      <x:c r="E522" s="28" t="str">
        <x:v>优化与主动学习</x:v>
      </x:c>
      <x:c r="F522" s="28" t="str">
        <x:v>概率代理模型</x:v>
      </x:c>
      <x:c r="G522" s="28" t="str">
        <x:v>围绕“概率代理模型”在昂贵黑箱实验中选择下一批最有价值实验，以更少样本找到更优方案或更好模型。</x:v>
      </x:c>
      <x:c r="H522" s="28" t="str">
        <x:v>采集函数、噪声、约束和批量异步条件下是否优于基线策略？</x:v>
      </x:c>
      <x:c r="I522" s="28" t="str">
        <x:v>累计/简单遗憾；达到目标所需实验数；最优值；校准误差；并行效率</x:v>
      </x:c>
      <x:c r="J522" s="64" t="str">
        <x:v>基础能力</x:v>
      </x:c>
      <x:c r="K522" s="64" t="str">
        <x:v>P0</x:v>
      </x:c>
      <x:c r="L522" s="28" t="str">
        <x:v>S06; S13; S14; S21</x:v>
      </x:c>
      <x:c r="M522" s="28" t="str">
        <x:v>https://www.science.org/doi/10.1126/sciadv.aaz8867</x:v>
      </x:c>
    </x:row>
    <x:row r="523" ht="48" customHeight="1">
      <x:c r="A523" s="64" t="str">
        <x:v>T0522</x:v>
      </x:c>
      <x:c r="B523" s="28" t="str">
        <x:v>实验设计与闭环优化</x:v>
      </x:c>
      <x:c r="C523" s="28" t="str">
        <x:v>贝叶斯优化与主动学习</x:v>
      </x:c>
      <x:c r="D523" s="28" t="str">
        <x:v>代理模型与噪声</x:v>
      </x:c>
      <x:c r="E523" s="28" t="str">
        <x:v>优化与主动学习</x:v>
      </x:c>
      <x:c r="F523" s="28" t="str">
        <x:v>高斯过程</x:v>
      </x:c>
      <x:c r="G523" s="28" t="str">
        <x:v>围绕“高斯过程”在昂贵黑箱实验中选择下一批最有价值实验，以更少样本找到更优方案或更好模型。</x:v>
      </x:c>
      <x:c r="H523" s="28" t="str">
        <x:v>采集函数、噪声、约束和批量异步条件下是否优于基线策略？</x:v>
      </x:c>
      <x:c r="I523" s="28" t="str">
        <x:v>累计/简单遗憾；达到目标所需实验数；最优值；校准误差；并行效率</x:v>
      </x:c>
      <x:c r="J523" s="64" t="str">
        <x:v>基础能力</x:v>
      </x:c>
      <x:c r="K523" s="64" t="str">
        <x:v>P0</x:v>
      </x:c>
      <x:c r="L523" s="28" t="str">
        <x:v>S06; S13; S14; S21</x:v>
      </x:c>
      <x:c r="M523" s="28" t="str">
        <x:v>https://www.science.org/doi/10.1126/sciadv.aaz1708</x:v>
      </x:c>
    </x:row>
    <x:row r="524" ht="48" customHeight="1">
      <x:c r="A524" s="64" t="str">
        <x:v>T0523</x:v>
      </x:c>
      <x:c r="B524" s="28" t="str">
        <x:v>实验设计与闭环优化</x:v>
      </x:c>
      <x:c r="C524" s="28" t="str">
        <x:v>贝叶斯优化与主动学习</x:v>
      </x:c>
      <x:c r="D524" s="28" t="str">
        <x:v>代理模型与噪声</x:v>
      </x:c>
      <x:c r="E524" s="28" t="str">
        <x:v>优化与主动学习</x:v>
      </x:c>
      <x:c r="F524" s="28" t="str">
        <x:v>核函数设计</x:v>
      </x:c>
      <x:c r="G524" s="28" t="str">
        <x:v>围绕“核函数设计”在昂贵黑箱实验中选择下一批最有价值实验，以更少样本找到更优方案或更好模型。</x:v>
      </x:c>
      <x:c r="H524" s="28" t="str">
        <x:v>采集函数、噪声、约束和批量异步条件下是否优于基线策略？</x:v>
      </x:c>
      <x:c r="I524" s="28" t="str">
        <x:v>累计/简单遗憾；达到目标所需实验数；最优值；校准误差；并行效率</x:v>
      </x:c>
      <x:c r="J524" s="64" t="str">
        <x:v>基础能力</x:v>
      </x:c>
      <x:c r="K524" s="64" t="str">
        <x:v>P0</x:v>
      </x:c>
      <x:c r="L524" s="28" t="str">
        <x:v>S06; S13; S14; S21</x:v>
      </x:c>
      <x:c r="M524" s="28" t="str">
        <x:v>https://www.science.org/doi/10.1126/sciadv.abg4930</x:v>
      </x:c>
    </x:row>
    <x:row r="525" ht="48" customHeight="1">
      <x:c r="A525" s="64" t="str">
        <x:v>T0524</x:v>
      </x:c>
      <x:c r="B525" s="28" t="str">
        <x:v>实验设计与闭环优化</x:v>
      </x:c>
      <x:c r="C525" s="28" t="str">
        <x:v>贝叶斯优化与主动学习</x:v>
      </x:c>
      <x:c r="D525" s="28" t="str">
        <x:v>代理模型与噪声</x:v>
      </x:c>
      <x:c r="E525" s="28" t="str">
        <x:v>优化与主动学习</x:v>
      </x:c>
      <x:c r="F525" s="28" t="str">
        <x:v>均值函数先验</x:v>
      </x:c>
      <x:c r="G525" s="28" t="str">
        <x:v>围绕“均值函数先验”在昂贵黑箱实验中选择下一批最有价值实验，以更少样本找到更优方案或更好模型。</x:v>
      </x:c>
      <x:c r="H525" s="28" t="str">
        <x:v>采集函数、噪声、约束和批量异步条件下是否优于基线策略？</x:v>
      </x:c>
      <x:c r="I525" s="28" t="str">
        <x:v>累计/简单遗憾；达到目标所需实验数；最优值；校准误差；并行效率</x:v>
      </x:c>
      <x:c r="J525" s="64" t="str">
        <x:v>基础能力</x:v>
      </x:c>
      <x:c r="K525" s="64" t="str">
        <x:v>P0</x:v>
      </x:c>
      <x:c r="L525" s="28" t="str">
        <x:v>S06; S13; S14; S21</x:v>
      </x:c>
      <x:c r="M525" s="28" t="str">
        <x:v>https://proceedings.neurips.cc/paper_files/paper/2020/file/f5b1b89d98b7286673128a5fb112cb9a-Paper.pdf</x:v>
      </x:c>
    </x:row>
    <x:row r="526" ht="48" customHeight="1">
      <x:c r="A526" s="64" t="str">
        <x:v>T0525</x:v>
      </x:c>
      <x:c r="B526" s="28" t="str">
        <x:v>实验设计与闭环优化</x:v>
      </x:c>
      <x:c r="C526" s="28" t="str">
        <x:v>贝叶斯优化与主动学习</x:v>
      </x:c>
      <x:c r="D526" s="28" t="str">
        <x:v>代理模型与噪声</x:v>
      </x:c>
      <x:c r="E526" s="28" t="str">
        <x:v>优化与主动学习</x:v>
      </x:c>
      <x:c r="F526" s="28" t="str">
        <x:v>噪声模型</x:v>
      </x:c>
      <x:c r="G526" s="28" t="str">
        <x:v>围绕“噪声模型”在昂贵黑箱实验中选择下一批最有价值实验，以更少样本找到更优方案或更好模型。</x:v>
      </x:c>
      <x:c r="H526" s="28" t="str">
        <x:v>采集函数、噪声、约束和批量异步条件下是否优于基线策略？</x:v>
      </x:c>
      <x:c r="I526" s="28" t="str">
        <x:v>累计/简单遗憾；达到目标所需实验数；最优值；校准误差；并行效率</x:v>
      </x:c>
      <x:c r="J526" s="64" t="str">
        <x:v>基础能力</x:v>
      </x:c>
      <x:c r="K526" s="64" t="str">
        <x:v>P0</x:v>
      </x:c>
      <x:c r="L526" s="28" t="str">
        <x:v>S06; S13; S14; S21</x:v>
      </x:c>
      <x:c r="M526" s="28" t="str">
        <x:v>https://www.science.org/doi/10.1126/sciadv.aaz8867</x:v>
      </x:c>
    </x:row>
    <x:row r="527" ht="48" customHeight="1">
      <x:c r="A527" s="64" t="str">
        <x:v>T0526</x:v>
      </x:c>
      <x:c r="B527" s="28" t="str">
        <x:v>实验设计与闭环优化</x:v>
      </x:c>
      <x:c r="C527" s="28" t="str">
        <x:v>贝叶斯优化与主动学习</x:v>
      </x:c>
      <x:c r="D527" s="28" t="str">
        <x:v>代理模型与噪声</x:v>
      </x:c>
      <x:c r="E527" s="28" t="str">
        <x:v>优化与主动学习</x:v>
      </x:c>
      <x:c r="F527" s="28" t="str">
        <x:v>异方差高斯过程</x:v>
      </x:c>
      <x:c r="G527" s="28" t="str">
        <x:v>围绕“异方差高斯过程”在昂贵黑箱实验中选择下一批最有价值实验，以更少样本找到更优方案或更好模型。</x:v>
      </x:c>
      <x:c r="H527" s="28" t="str">
        <x:v>采集函数、噪声、约束和批量异步条件下是否优于基线策略？</x:v>
      </x:c>
      <x:c r="I527" s="28" t="str">
        <x:v>累计/简单遗憾；达到目标所需实验数；最优值；校准误差；并行效率</x:v>
      </x:c>
      <x:c r="J527" s="64" t="str">
        <x:v>基础能力</x:v>
      </x:c>
      <x:c r="K527" s="64" t="str">
        <x:v>P0</x:v>
      </x:c>
      <x:c r="L527" s="28" t="str">
        <x:v>S06; S13; S14; S21</x:v>
      </x:c>
      <x:c r="M527" s="28" t="str">
        <x:v>https://www.science.org/doi/10.1126/sciadv.aaz1708</x:v>
      </x:c>
    </x:row>
    <x:row r="528" ht="48" customHeight="1">
      <x:c r="A528" s="64" t="str">
        <x:v>T0527</x:v>
      </x:c>
      <x:c r="B528" s="28" t="str">
        <x:v>实验设计与闭环优化</x:v>
      </x:c>
      <x:c r="C528" s="28" t="str">
        <x:v>贝叶斯优化与主动学习</x:v>
      </x:c>
      <x:c r="D528" s="28" t="str">
        <x:v>代理模型与噪声</x:v>
      </x:c>
      <x:c r="E528" s="28" t="str">
        <x:v>优化与主动学习</x:v>
      </x:c>
      <x:c r="F528" s="28" t="str">
        <x:v>深层高斯过程</x:v>
      </x:c>
      <x:c r="G528" s="28" t="str">
        <x:v>围绕“深层高斯过程”在昂贵黑箱实验中选择下一批最有价值实验，以更少样本找到更优方案或更好模型。</x:v>
      </x:c>
      <x:c r="H528" s="28" t="str">
        <x:v>采集函数、噪声、约束和批量异步条件下是否优于基线策略？</x:v>
      </x:c>
      <x:c r="I528" s="28" t="str">
        <x:v>累计/简单遗憾；达到目标所需实验数；最优值；校准误差；并行效率</x:v>
      </x:c>
      <x:c r="J528" s="64" t="str">
        <x:v>基础能力</x:v>
      </x:c>
      <x:c r="K528" s="64" t="str">
        <x:v>P0</x:v>
      </x:c>
      <x:c r="L528" s="28" t="str">
        <x:v>S06; S13; S14; S21</x:v>
      </x:c>
      <x:c r="M528" s="28" t="str">
        <x:v>https://www.science.org/doi/10.1126/sciadv.abg4930</x:v>
      </x:c>
    </x:row>
    <x:row r="529" ht="48" customHeight="1">
      <x:c r="A529" s="64" t="str">
        <x:v>T0528</x:v>
      </x:c>
      <x:c r="B529" s="28" t="str">
        <x:v>实验设计与闭环优化</x:v>
      </x:c>
      <x:c r="C529" s="28" t="str">
        <x:v>贝叶斯优化与主动学习</x:v>
      </x:c>
      <x:c r="D529" s="28" t="str">
        <x:v>代理模型与噪声</x:v>
      </x:c>
      <x:c r="E529" s="28" t="str">
        <x:v>优化与主动学习</x:v>
      </x:c>
      <x:c r="F529" s="28" t="str">
        <x:v>随机森林代理</x:v>
      </x:c>
      <x:c r="G529" s="28" t="str">
        <x:v>围绕“随机森林代理”在昂贵黑箱实验中选择下一批最有价值实验，以更少样本找到更优方案或更好模型。</x:v>
      </x:c>
      <x:c r="H529" s="28" t="str">
        <x:v>采集函数、噪声、约束和批量异步条件下是否优于基线策略？</x:v>
      </x:c>
      <x:c r="I529" s="28" t="str">
        <x:v>累计/简单遗憾；达到目标所需实验数；最优值；校准误差；并行效率</x:v>
      </x:c>
      <x:c r="J529" s="64" t="str">
        <x:v>基础能力</x:v>
      </x:c>
      <x:c r="K529" s="64" t="str">
        <x:v>P0</x:v>
      </x:c>
      <x:c r="L529" s="28" t="str">
        <x:v>S06; S13; S14; S21</x:v>
      </x:c>
      <x:c r="M529" s="28" t="str">
        <x:v>https://proceedings.neurips.cc/paper_files/paper/2020/file/f5b1b89d98b7286673128a5fb112cb9a-Paper.pdf</x:v>
      </x:c>
    </x:row>
    <x:row r="530" ht="48" customHeight="1">
      <x:c r="A530" s="64" t="str">
        <x:v>T0529</x:v>
      </x:c>
      <x:c r="B530" s="28" t="str">
        <x:v>实验设计与闭环优化</x:v>
      </x:c>
      <x:c r="C530" s="28" t="str">
        <x:v>贝叶斯优化与主动学习</x:v>
      </x:c>
      <x:c r="D530" s="28" t="str">
        <x:v>代理模型与噪声</x:v>
      </x:c>
      <x:c r="E530" s="28" t="str">
        <x:v>优化与主动学习</x:v>
      </x:c>
      <x:c r="F530" s="28" t="str">
        <x:v>TPE代理</x:v>
      </x:c>
      <x:c r="G530" s="28" t="str">
        <x:v>围绕“TPE代理”在昂贵黑箱实验中选择下一批最有价值实验，以更少样本找到更优方案或更好模型。</x:v>
      </x:c>
      <x:c r="H530" s="28" t="str">
        <x:v>采集函数、噪声、约束和批量异步条件下是否优于基线策略？</x:v>
      </x:c>
      <x:c r="I530" s="28" t="str">
        <x:v>累计/简单遗憾；达到目标所需实验数；最优值；校准误差；并行效率</x:v>
      </x:c>
      <x:c r="J530" s="64" t="str">
        <x:v>基础能力</x:v>
      </x:c>
      <x:c r="K530" s="64" t="str">
        <x:v>P0</x:v>
      </x:c>
      <x:c r="L530" s="28" t="str">
        <x:v>S06; S13; S14; S21</x:v>
      </x:c>
      <x:c r="M530" s="28" t="str">
        <x:v>https://www.science.org/doi/10.1126/sciadv.aaz8867</x:v>
      </x:c>
    </x:row>
    <x:row r="531" ht="48" customHeight="1">
      <x:c r="A531" s="64" t="str">
        <x:v>T0530</x:v>
      </x:c>
      <x:c r="B531" s="28" t="str">
        <x:v>实验设计与闭环优化</x:v>
      </x:c>
      <x:c r="C531" s="28" t="str">
        <x:v>贝叶斯优化与主动学习</x:v>
      </x:c>
      <x:c r="D531" s="28" t="str">
        <x:v>代理模型与噪声</x:v>
      </x:c>
      <x:c r="E531" s="28" t="str">
        <x:v>优化与主动学习</x:v>
      </x:c>
      <x:c r="F531" s="28" t="str">
        <x:v>神经网络代理</x:v>
      </x:c>
      <x:c r="G531" s="28" t="str">
        <x:v>围绕“神经网络代理”在昂贵黑箱实验中选择下一批最有价值实验，以更少样本找到更优方案或更好模型。</x:v>
      </x:c>
      <x:c r="H531" s="28" t="str">
        <x:v>采集函数、噪声、约束和批量异步条件下是否优于基线策略？</x:v>
      </x:c>
      <x:c r="I531" s="28" t="str">
        <x:v>累计/简单遗憾；达到目标所需实验数；最优值；校准误差；并行效率</x:v>
      </x:c>
      <x:c r="J531" s="64" t="str">
        <x:v>基础能力</x:v>
      </x:c>
      <x:c r="K531" s="64" t="str">
        <x:v>P0</x:v>
      </x:c>
      <x:c r="L531" s="28" t="str">
        <x:v>S06; S13; S14; S21</x:v>
      </x:c>
      <x:c r="M531" s="28" t="str">
        <x:v>https://www.science.org/doi/10.1126/sciadv.aaz1708</x:v>
      </x:c>
    </x:row>
    <x:row r="532" ht="48" customHeight="1">
      <x:c r="A532" s="64" t="str">
        <x:v>T0531</x:v>
      </x:c>
      <x:c r="B532" s="28" t="str">
        <x:v>实验设计与闭环优化</x:v>
      </x:c>
      <x:c r="C532" s="28" t="str">
        <x:v>贝叶斯优化与主动学习</x:v>
      </x:c>
      <x:c r="D532" s="28" t="str">
        <x:v>采集函数</x:v>
      </x:c>
      <x:c r="E532" s="28" t="str">
        <x:v>优化与主动学习</x:v>
      </x:c>
      <x:c r="F532" s="28" t="str">
        <x:v>期望改进EI</x:v>
      </x:c>
      <x:c r="G532" s="28" t="str">
        <x:v>围绕“期望改进EI”在昂贵黑箱实验中选择下一批最有价值实验，以更少样本找到更优方案或更好模型。</x:v>
      </x:c>
      <x:c r="H532" s="28" t="str">
        <x:v>采集函数、噪声、约束和批量异步条件下是否优于基线策略？</x:v>
      </x:c>
      <x:c r="I532" s="28" t="str">
        <x:v>累计/简单遗憾；达到目标所需实验数；最优值；校准误差；并行效率</x:v>
      </x:c>
      <x:c r="J532" s="64" t="str">
        <x:v>基础能力</x:v>
      </x:c>
      <x:c r="K532" s="64" t="str">
        <x:v>P1</x:v>
      </x:c>
      <x:c r="L532" s="28" t="str">
        <x:v>S06; S13; S14; S21</x:v>
      </x:c>
      <x:c r="M532" s="28" t="str">
        <x:v>https://www.science.org/doi/10.1126/sciadv.abg4930</x:v>
      </x:c>
    </x:row>
    <x:row r="533" ht="48" customHeight="1">
      <x:c r="A533" s="64" t="str">
        <x:v>T0532</x:v>
      </x:c>
      <x:c r="B533" s="28" t="str">
        <x:v>实验设计与闭环优化</x:v>
      </x:c>
      <x:c r="C533" s="28" t="str">
        <x:v>贝叶斯优化与主动学习</x:v>
      </x:c>
      <x:c r="D533" s="28" t="str">
        <x:v>采集函数</x:v>
      </x:c>
      <x:c r="E533" s="28" t="str">
        <x:v>优化与主动学习</x:v>
      </x:c>
      <x:c r="F533" s="28" t="str">
        <x:v>改进概率PI</x:v>
      </x:c>
      <x:c r="G533" s="28" t="str">
        <x:v>围绕“改进概率PI”在昂贵黑箱实验中选择下一批最有价值实验，以更少样本找到更优方案或更好模型。</x:v>
      </x:c>
      <x:c r="H533" s="28" t="str">
        <x:v>采集函数、噪声、约束和批量异步条件下是否优于基线策略？</x:v>
      </x:c>
      <x:c r="I533" s="28" t="str">
        <x:v>累计/简单遗憾；达到目标所需实验数；最优值；校准误差；并行效率</x:v>
      </x:c>
      <x:c r="J533" s="64" t="str">
        <x:v>基础能力</x:v>
      </x:c>
      <x:c r="K533" s="64" t="str">
        <x:v>P1</x:v>
      </x:c>
      <x:c r="L533" s="28" t="str">
        <x:v>S06; S13; S14; S21</x:v>
      </x:c>
      <x:c r="M533" s="28" t="str">
        <x:v>https://proceedings.neurips.cc/paper_files/paper/2020/file/f5b1b89d98b7286673128a5fb112cb9a-Paper.pdf</x:v>
      </x:c>
    </x:row>
    <x:row r="534" ht="48" customHeight="1">
      <x:c r="A534" s="64" t="str">
        <x:v>T0533</x:v>
      </x:c>
      <x:c r="B534" s="28" t="str">
        <x:v>实验设计与闭环优化</x:v>
      </x:c>
      <x:c r="C534" s="28" t="str">
        <x:v>贝叶斯优化与主动学习</x:v>
      </x:c>
      <x:c r="D534" s="28" t="str">
        <x:v>采集函数</x:v>
      </x:c>
      <x:c r="E534" s="28" t="str">
        <x:v>优化与主动学习</x:v>
      </x:c>
      <x:c r="F534" s="28" t="str">
        <x:v>置信上界UCB</x:v>
      </x:c>
      <x:c r="G534" s="28" t="str">
        <x:v>围绕“置信上界UCB”在昂贵黑箱实验中选择下一批最有价值实验，以更少样本找到更优方案或更好模型。</x:v>
      </x:c>
      <x:c r="H534" s="28" t="str">
        <x:v>采集函数、噪声、约束和批量异步条件下是否优于基线策略？</x:v>
      </x:c>
      <x:c r="I534" s="28" t="str">
        <x:v>累计/简单遗憾；达到目标所需实验数；最优值；校准误差；并行效率</x:v>
      </x:c>
      <x:c r="J534" s="64" t="str">
        <x:v>工程化关键</x:v>
      </x:c>
      <x:c r="K534" s="64" t="str">
        <x:v>P1</x:v>
      </x:c>
      <x:c r="L534" s="28" t="str">
        <x:v>S06; S13; S14; S21</x:v>
      </x:c>
      <x:c r="M534" s="28" t="str">
        <x:v>https://www.science.org/doi/10.1126/sciadv.aaz8867</x:v>
      </x:c>
    </x:row>
    <x:row r="535" ht="48" customHeight="1">
      <x:c r="A535" s="64" t="str">
        <x:v>T0534</x:v>
      </x:c>
      <x:c r="B535" s="28" t="str">
        <x:v>实验设计与闭环优化</x:v>
      </x:c>
      <x:c r="C535" s="28" t="str">
        <x:v>贝叶斯优化与主动学习</x:v>
      </x:c>
      <x:c r="D535" s="28" t="str">
        <x:v>采集函数</x:v>
      </x:c>
      <x:c r="E535" s="28" t="str">
        <x:v>优化与主动学习</x:v>
      </x:c>
      <x:c r="F535" s="28" t="str">
        <x:v>知识梯度KG</x:v>
      </x:c>
      <x:c r="G535" s="28" t="str">
        <x:v>围绕“知识梯度KG”在昂贵黑箱实验中选择下一批最有价值实验，以更少样本找到更优方案或更好模型。</x:v>
      </x:c>
      <x:c r="H535" s="28" t="str">
        <x:v>采集函数、噪声、约束和批量异步条件下是否优于基线策略？</x:v>
      </x:c>
      <x:c r="I535" s="28" t="str">
        <x:v>累计/简单遗憾；达到目标所需实验数；最优值；校准误差；并行效率</x:v>
      </x:c>
      <x:c r="J535" s="64" t="str">
        <x:v>工程化关键</x:v>
      </x:c>
      <x:c r="K535" s="64" t="str">
        <x:v>P1</x:v>
      </x:c>
      <x:c r="L535" s="28" t="str">
        <x:v>S06; S13; S14; S21</x:v>
      </x:c>
      <x:c r="M535" s="28" t="str">
        <x:v>https://www.science.org/doi/10.1126/sciadv.aaz1708</x:v>
      </x:c>
    </x:row>
    <x:row r="536" ht="48" customHeight="1">
      <x:c r="A536" s="64" t="str">
        <x:v>T0535</x:v>
      </x:c>
      <x:c r="B536" s="28" t="str">
        <x:v>实验设计与闭环优化</x:v>
      </x:c>
      <x:c r="C536" s="28" t="str">
        <x:v>贝叶斯优化与主动学习</x:v>
      </x:c>
      <x:c r="D536" s="28" t="str">
        <x:v>采集函数</x:v>
      </x:c>
      <x:c r="E536" s="28" t="str">
        <x:v>优化与主动学习</x:v>
      </x:c>
      <x:c r="F536" s="28" t="str">
        <x:v>熵搜索</x:v>
      </x:c>
      <x:c r="G536" s="28" t="str">
        <x:v>围绕“熵搜索”在昂贵黑箱实验中选择下一批最有价值实验，以更少样本找到更优方案或更好模型。</x:v>
      </x:c>
      <x:c r="H536" s="28" t="str">
        <x:v>采集函数、噪声、约束和批量异步条件下是否优于基线策略？</x:v>
      </x:c>
      <x:c r="I536" s="28" t="str">
        <x:v>累计/简单遗憾；达到目标所需实验数；最优值；校准误差；并行效率</x:v>
      </x:c>
      <x:c r="J536" s="64" t="str">
        <x:v>工程化关键</x:v>
      </x:c>
      <x:c r="K536" s="64" t="str">
        <x:v>P1</x:v>
      </x:c>
      <x:c r="L536" s="28" t="str">
        <x:v>S06; S13; S14; S21</x:v>
      </x:c>
      <x:c r="M536" s="28" t="str">
        <x:v>https://www.science.org/doi/10.1126/sciadv.abg4930</x:v>
      </x:c>
    </x:row>
    <x:row r="537" ht="48" customHeight="1">
      <x:c r="A537" s="64" t="str">
        <x:v>T0536</x:v>
      </x:c>
      <x:c r="B537" s="28" t="str">
        <x:v>实验设计与闭环优化</x:v>
      </x:c>
      <x:c r="C537" s="28" t="str">
        <x:v>贝叶斯优化与主动学习</x:v>
      </x:c>
      <x:c r="D537" s="28" t="str">
        <x:v>采集函数</x:v>
      </x:c>
      <x:c r="E537" s="28" t="str">
        <x:v>优化与主动学习</x:v>
      </x:c>
      <x:c r="F537" s="28" t="str">
        <x:v>预测熵搜索</x:v>
      </x:c>
      <x:c r="G537" s="28" t="str">
        <x:v>围绕“预测熵搜索”在昂贵黑箱实验中选择下一批最有价值实验，以更少样本找到更优方案或更好模型。</x:v>
      </x:c>
      <x:c r="H537" s="28" t="str">
        <x:v>采集函数、噪声、约束和批量异步条件下是否优于基线策略？</x:v>
      </x:c>
      <x:c r="I537" s="28" t="str">
        <x:v>累计/简单遗憾；达到目标所需实验数；最优值；校准误差；并行效率</x:v>
      </x:c>
      <x:c r="J537" s="64" t="str">
        <x:v>工程化关键</x:v>
      </x:c>
      <x:c r="K537" s="64" t="str">
        <x:v>P1</x:v>
      </x:c>
      <x:c r="L537" s="28" t="str">
        <x:v>S06; S13; S14; S21</x:v>
      </x:c>
      <x:c r="M537" s="28" t="str">
        <x:v>https://proceedings.neurips.cc/paper_files/paper/2020/file/f5b1b89d98b7286673128a5fb112cb9a-Paper.pdf</x:v>
      </x:c>
    </x:row>
    <x:row r="538" ht="48" customHeight="1">
      <x:c r="A538" s="64" t="str">
        <x:v>T0537</x:v>
      </x:c>
      <x:c r="B538" s="28" t="str">
        <x:v>实验设计与闭环优化</x:v>
      </x:c>
      <x:c r="C538" s="28" t="str">
        <x:v>贝叶斯优化与主动学习</x:v>
      </x:c>
      <x:c r="D538" s="28" t="str">
        <x:v>采集函数</x:v>
      </x:c>
      <x:c r="E538" s="28" t="str">
        <x:v>优化与主动学习</x:v>
      </x:c>
      <x:c r="F538" s="28" t="str">
        <x:v>汤普森采样</x:v>
      </x:c>
      <x:c r="G538" s="28" t="str">
        <x:v>围绕“汤普森采样”在昂贵黑箱实验中选择下一批最有价值实验，以更少样本找到更优方案或更好模型。</x:v>
      </x:c>
      <x:c r="H538" s="28" t="str">
        <x:v>采集函数、噪声、约束和批量异步条件下是否优于基线策略？</x:v>
      </x:c>
      <x:c r="I538" s="28" t="str">
        <x:v>累计/简单遗憾；达到目标所需实验数；最优值；校准误差；并行效率</x:v>
      </x:c>
      <x:c r="J538" s="64" t="str">
        <x:v>工程化关键</x:v>
      </x:c>
      <x:c r="K538" s="64" t="str">
        <x:v>P1</x:v>
      </x:c>
      <x:c r="L538" s="28" t="str">
        <x:v>S06; S13; S14; S21</x:v>
      </x:c>
      <x:c r="M538" s="28" t="str">
        <x:v>https://www.science.org/doi/10.1126/sciadv.aaz8867</x:v>
      </x:c>
    </x:row>
    <x:row r="539" ht="48" customHeight="1">
      <x:c r="A539" s="64" t="str">
        <x:v>T0538</x:v>
      </x:c>
      <x:c r="B539" s="28" t="str">
        <x:v>实验设计与闭环优化</x:v>
      </x:c>
      <x:c r="C539" s="28" t="str">
        <x:v>贝叶斯优化与主动学习</x:v>
      </x:c>
      <x:c r="D539" s="28" t="str">
        <x:v>采集函数</x:v>
      </x:c>
      <x:c r="E539" s="28" t="str">
        <x:v>优化与主动学习</x:v>
      </x:c>
      <x:c r="F539" s="28" t="str">
        <x:v>批量qEI</x:v>
      </x:c>
      <x:c r="G539" s="28" t="str">
        <x:v>围绕“批量qEI”在昂贵黑箱实验中选择下一批最有价值实验，以更少样本找到更优方案或更好模型。</x:v>
      </x:c>
      <x:c r="H539" s="28" t="str">
        <x:v>采集函数、噪声、约束和批量异步条件下是否优于基线策略？</x:v>
      </x:c>
      <x:c r="I539" s="28" t="str">
        <x:v>累计/简单遗憾；达到目标所需实验数；最优值；校准误差；并行效率</x:v>
      </x:c>
      <x:c r="J539" s="64" t="str">
        <x:v>工程化关键</x:v>
      </x:c>
      <x:c r="K539" s="64" t="str">
        <x:v>P1</x:v>
      </x:c>
      <x:c r="L539" s="28" t="str">
        <x:v>S06; S13; S14; S21</x:v>
      </x:c>
      <x:c r="M539" s="28" t="str">
        <x:v>https://www.science.org/doi/10.1126/sciadv.aaz1708</x:v>
      </x:c>
    </x:row>
    <x:row r="540" ht="48" customHeight="1">
      <x:c r="A540" s="64" t="str">
        <x:v>T0539</x:v>
      </x:c>
      <x:c r="B540" s="28" t="str">
        <x:v>实验设计与闭环优化</x:v>
      </x:c>
      <x:c r="C540" s="28" t="str">
        <x:v>贝叶斯优化与主动学习</x:v>
      </x:c>
      <x:c r="D540" s="28" t="str">
        <x:v>采集函数</x:v>
      </x:c>
      <x:c r="E540" s="28" t="str">
        <x:v>优化与主动学习</x:v>
      </x:c>
      <x:c r="F540" s="28" t="str">
        <x:v>局部惩罚</x:v>
      </x:c>
      <x:c r="G540" s="28" t="str">
        <x:v>围绕“局部惩罚”在昂贵黑箱实验中选择下一批最有价值实验，以更少样本找到更优方案或更好模型。</x:v>
      </x:c>
      <x:c r="H540" s="28" t="str">
        <x:v>采集函数、噪声、约束和批量异步条件下是否优于基线策略？</x:v>
      </x:c>
      <x:c r="I540" s="28" t="str">
        <x:v>累计/简单遗憾；达到目标所需实验数；最优值；校准误差；并行效率</x:v>
      </x:c>
      <x:c r="J540" s="64" t="str">
        <x:v>工程化关键</x:v>
      </x:c>
      <x:c r="K540" s="64" t="str">
        <x:v>P1</x:v>
      </x:c>
      <x:c r="L540" s="28" t="str">
        <x:v>S06; S13; S14; S21</x:v>
      </x:c>
      <x:c r="M540" s="28" t="str">
        <x:v>https://www.science.org/doi/10.1126/sciadv.abg4930</x:v>
      </x:c>
    </x:row>
    <x:row r="541" ht="48" customHeight="1">
      <x:c r="A541" s="64" t="str">
        <x:v>T0540</x:v>
      </x:c>
      <x:c r="B541" s="28" t="str">
        <x:v>实验设计与闭环优化</x:v>
      </x:c>
      <x:c r="C541" s="28" t="str">
        <x:v>贝叶斯优化与主动学习</x:v>
      </x:c>
      <x:c r="D541" s="28" t="str">
        <x:v>采集函数</x:v>
      </x:c>
      <x:c r="E541" s="28" t="str">
        <x:v>优化与主动学习</x:v>
      </x:c>
      <x:c r="F541" s="28" t="str">
        <x:v>异步贝叶斯优化</x:v>
      </x:c>
      <x:c r="G541" s="28" t="str">
        <x:v>围绕“异步贝叶斯优化”在昂贵黑箱实验中选择下一批最有价值实验，以更少样本找到更优方案或更好模型。</x:v>
      </x:c>
      <x:c r="H541" s="28" t="str">
        <x:v>采集函数、噪声、约束和批量异步条件下是否优于基线策略？</x:v>
      </x:c>
      <x:c r="I541" s="28" t="str">
        <x:v>累计/简单遗憾；达到目标所需实验数；最优值；校准误差；并行效率</x:v>
      </x:c>
      <x:c r="J541" s="64" t="str">
        <x:v>工程化关键</x:v>
      </x:c>
      <x:c r="K541" s="64" t="str">
        <x:v>P1</x:v>
      </x:c>
      <x:c r="L541" s="28" t="str">
        <x:v>S06; S13; S14; S21</x:v>
      </x:c>
      <x:c r="M541" s="28" t="str">
        <x:v>https://proceedings.neurips.cc/paper_files/paper/2020/file/f5b1b89d98b7286673128a5fb112cb9a-Paper.pdf</x:v>
      </x:c>
    </x:row>
    <x:row r="542" ht="48" customHeight="1">
      <x:c r="A542" s="64" t="str">
        <x:v>T0541</x:v>
      </x:c>
      <x:c r="B542" s="28" t="str">
        <x:v>实验设计与闭环优化</x:v>
      </x:c>
      <x:c r="C542" s="28" t="str">
        <x:v>贝叶斯优化与主动学习</x:v>
      </x:c>
      <x:c r="D542" s="28" t="str">
        <x:v>高维、离散与批量优化</x:v>
      </x:c>
      <x:c r="E542" s="28" t="str">
        <x:v>优化与主动学习</x:v>
      </x:c>
      <x:c r="F542" s="28" t="str">
        <x:v>信赖域BO</x:v>
      </x:c>
      <x:c r="G542" s="28" t="str">
        <x:v>围绕“信赖域BO”在昂贵黑箱实验中选择下一批最有价值实验，以更少样本找到更优方案或更好模型。</x:v>
      </x:c>
      <x:c r="H542" s="28" t="str">
        <x:v>采集函数、噪声、约束和批量异步条件下是否优于基线策略？</x:v>
      </x:c>
      <x:c r="I542" s="28" t="str">
        <x:v>累计/简单遗憾；达到目标所需实验数；最优值；校准误差；并行效率</x:v>
      </x:c>
      <x:c r="J542" s="64" t="str">
        <x:v>工程化关键</x:v>
      </x:c>
      <x:c r="K542" s="64" t="str">
        <x:v>P1</x:v>
      </x:c>
      <x:c r="L542" s="28" t="str">
        <x:v>S06; S13; S14; S21</x:v>
      </x:c>
      <x:c r="M542" s="28" t="str">
        <x:v>https://www.science.org/doi/10.1126/sciadv.aaz8867</x:v>
      </x:c>
    </x:row>
    <x:row r="543" ht="48" customHeight="1">
      <x:c r="A543" s="64" t="str">
        <x:v>T0542</x:v>
      </x:c>
      <x:c r="B543" s="28" t="str">
        <x:v>实验设计与闭环优化</x:v>
      </x:c>
      <x:c r="C543" s="28" t="str">
        <x:v>贝叶斯优化与主动学习</x:v>
      </x:c>
      <x:c r="D543" s="28" t="str">
        <x:v>高维、离散与批量优化</x:v>
      </x:c>
      <x:c r="E543" s="28" t="str">
        <x:v>优化与主动学习</x:v>
      </x:c>
      <x:c r="F543" s="28" t="str">
        <x:v>高维嵌入BO</x:v>
      </x:c>
      <x:c r="G543" s="28" t="str">
        <x:v>围绕“高维嵌入BO”在昂贵黑箱实验中选择下一批最有价值实验，以更少样本找到更优方案或更好模型。</x:v>
      </x:c>
      <x:c r="H543" s="28" t="str">
        <x:v>采集函数、噪声、约束和批量异步条件下是否优于基线策略？</x:v>
      </x:c>
      <x:c r="I543" s="28" t="str">
        <x:v>累计/简单遗憾；达到目标所需实验数；最优值；校准误差；并行效率</x:v>
      </x:c>
      <x:c r="J543" s="64" t="str">
        <x:v>工程化关键</x:v>
      </x:c>
      <x:c r="K543" s="64" t="str">
        <x:v>P1</x:v>
      </x:c>
      <x:c r="L543" s="28" t="str">
        <x:v>S06; S13; S14; S21</x:v>
      </x:c>
      <x:c r="M543" s="28" t="str">
        <x:v>https://www.science.org/doi/10.1126/sciadv.aaz1708</x:v>
      </x:c>
    </x:row>
    <x:row r="544" ht="48" customHeight="1">
      <x:c r="A544" s="64" t="str">
        <x:v>T0543</x:v>
      </x:c>
      <x:c r="B544" s="28" t="str">
        <x:v>实验设计与闭环优化</x:v>
      </x:c>
      <x:c r="C544" s="28" t="str">
        <x:v>贝叶斯优化与主动学习</x:v>
      </x:c>
      <x:c r="D544" s="28" t="str">
        <x:v>高维、离散与批量优化</x:v>
      </x:c>
      <x:c r="E544" s="28" t="str">
        <x:v>优化与主动学习</x:v>
      </x:c>
      <x:c r="F544" s="28" t="str">
        <x:v>离散空间BO</x:v>
      </x:c>
      <x:c r="G544" s="28" t="str">
        <x:v>围绕“离散空间BO”在昂贵黑箱实验中选择下一批最有价值实验，以更少样本找到更优方案或更好模型。</x:v>
      </x:c>
      <x:c r="H544" s="28" t="str">
        <x:v>采集函数、噪声、约束和批量异步条件下是否优于基线策略？</x:v>
      </x:c>
      <x:c r="I544" s="28" t="str">
        <x:v>累计/简单遗憾；达到目标所需实验数；最优值；校准误差；并行效率</x:v>
      </x:c>
      <x:c r="J544" s="64" t="str">
        <x:v>工程化关键</x:v>
      </x:c>
      <x:c r="K544" s="64" t="str">
        <x:v>P1</x:v>
      </x:c>
      <x:c r="L544" s="28" t="str">
        <x:v>S06; S13; S14; S21</x:v>
      </x:c>
      <x:c r="M544" s="28" t="str">
        <x:v>https://www.science.org/doi/10.1126/sciadv.abg4930</x:v>
      </x:c>
    </x:row>
    <x:row r="545" ht="48" customHeight="1">
      <x:c r="A545" s="64" t="str">
        <x:v>T0544</x:v>
      </x:c>
      <x:c r="B545" s="28" t="str">
        <x:v>实验设计与闭环优化</x:v>
      </x:c>
      <x:c r="C545" s="28" t="str">
        <x:v>贝叶斯优化与主动学习</x:v>
      </x:c>
      <x:c r="D545" s="28" t="str">
        <x:v>高维、离散与批量优化</x:v>
      </x:c>
      <x:c r="E545" s="28" t="str">
        <x:v>优化与主动学习</x:v>
      </x:c>
      <x:c r="F545" s="28" t="str">
        <x:v>类别变量BO</x:v>
      </x:c>
      <x:c r="G545" s="28" t="str">
        <x:v>围绕“类别变量BO”在昂贵黑箱实验中选择下一批最有价值实验，以更少样本找到更优方案或更好模型。</x:v>
      </x:c>
      <x:c r="H545" s="28" t="str">
        <x:v>采集函数、噪声、约束和批量异步条件下是否优于基线策略？</x:v>
      </x:c>
      <x:c r="I545" s="28" t="str">
        <x:v>累计/简单遗憾；达到目标所需实验数；最优值；校准误差；并行效率</x:v>
      </x:c>
      <x:c r="J545" s="64" t="str">
        <x:v>工程化关键</x:v>
      </x:c>
      <x:c r="K545" s="64" t="str">
        <x:v>P1</x:v>
      </x:c>
      <x:c r="L545" s="28" t="str">
        <x:v>S06; S13; S14; S21</x:v>
      </x:c>
      <x:c r="M545" s="28" t="str">
        <x:v>https://proceedings.neurips.cc/paper_files/paper/2020/file/f5b1b89d98b7286673128a5fb112cb9a-Paper.pdf</x:v>
      </x:c>
    </x:row>
    <x:row r="546" ht="48" customHeight="1">
      <x:c r="A546" s="64" t="str">
        <x:v>T0545</x:v>
      </x:c>
      <x:c r="B546" s="28" t="str">
        <x:v>实验设计与闭环优化</x:v>
      </x:c>
      <x:c r="C546" s="28" t="str">
        <x:v>贝叶斯优化与主动学习</x:v>
      </x:c>
      <x:c r="D546" s="28" t="str">
        <x:v>高维、离散与批量优化</x:v>
      </x:c>
      <x:c r="E546" s="28" t="str">
        <x:v>优化与主动学习</x:v>
      </x:c>
      <x:c r="F546" s="28" t="str">
        <x:v>混合变量BO</x:v>
      </x:c>
      <x:c r="G546" s="28" t="str">
        <x:v>围绕“混合变量BO”在昂贵黑箱实验中选择下一批最有价值实验，以更少样本找到更优方案或更好模型。</x:v>
      </x:c>
      <x:c r="H546" s="28" t="str">
        <x:v>采集函数、噪声、约束和批量异步条件下是否优于基线策略？</x:v>
      </x:c>
      <x:c r="I546" s="28" t="str">
        <x:v>累计/简单遗憾；达到目标所需实验数；最优值；校准误差；并行效率</x:v>
      </x:c>
      <x:c r="J546" s="64" t="str">
        <x:v>工程化关键</x:v>
      </x:c>
      <x:c r="K546" s="64" t="str">
        <x:v>P1</x:v>
      </x:c>
      <x:c r="L546" s="28" t="str">
        <x:v>S06; S13; S14; S21</x:v>
      </x:c>
      <x:c r="M546" s="28" t="str">
        <x:v>https://www.science.org/doi/10.1126/sciadv.aaz8867</x:v>
      </x:c>
    </x:row>
    <x:row r="547" ht="48" customHeight="1">
      <x:c r="A547" s="64" t="str">
        <x:v>T0546</x:v>
      </x:c>
      <x:c r="B547" s="28" t="str">
        <x:v>实验设计与闭环优化</x:v>
      </x:c>
      <x:c r="C547" s="28" t="str">
        <x:v>贝叶斯优化与主动学习</x:v>
      </x:c>
      <x:c r="D547" s="28" t="str">
        <x:v>高维、离散与批量优化</x:v>
      </x:c>
      <x:c r="E547" s="28" t="str">
        <x:v>优化与主动学习</x:v>
      </x:c>
      <x:c r="F547" s="28" t="str">
        <x:v>组合空间BO</x:v>
      </x:c>
      <x:c r="G547" s="28" t="str">
        <x:v>围绕“组合空间BO”在昂贵黑箱实验中选择下一批最有价值实验，以更少样本找到更优方案或更好模型。</x:v>
      </x:c>
      <x:c r="H547" s="28" t="str">
        <x:v>采集函数、噪声、约束和批量异步条件下是否优于基线策略？</x:v>
      </x:c>
      <x:c r="I547" s="28" t="str">
        <x:v>累计/简单遗憾；达到目标所需实验数；最优值；校准误差；并行效率</x:v>
      </x:c>
      <x:c r="J547" s="64" t="str">
        <x:v>工程化关键</x:v>
      </x:c>
      <x:c r="K547" s="64" t="str">
        <x:v>P1</x:v>
      </x:c>
      <x:c r="L547" s="28" t="str">
        <x:v>S06; S13; S14; S21</x:v>
      </x:c>
      <x:c r="M547" s="28" t="str">
        <x:v>https://www.science.org/doi/10.1126/sciadv.aaz1708</x:v>
      </x:c>
    </x:row>
    <x:row r="548" ht="48" customHeight="1">
      <x:c r="A548" s="64" t="str">
        <x:v>T0547</x:v>
      </x:c>
      <x:c r="B548" s="28" t="str">
        <x:v>实验设计与闭环优化</x:v>
      </x:c>
      <x:c r="C548" s="28" t="str">
        <x:v>贝叶斯优化与主动学习</x:v>
      </x:c>
      <x:c r="D548" s="28" t="str">
        <x:v>高维、离散与批量优化</x:v>
      </x:c>
      <x:c r="E548" s="28" t="str">
        <x:v>优化与主动学习</x:v>
      </x:c>
      <x:c r="F548" s="28" t="str">
        <x:v>潜空间BO</x:v>
      </x:c>
      <x:c r="G548" s="28" t="str">
        <x:v>围绕“潜空间BO”在昂贵黑箱实验中选择下一批最有价值实验，以更少样本找到更优方案或更好模型。</x:v>
      </x:c>
      <x:c r="H548" s="28" t="str">
        <x:v>采集函数、噪声、约束和批量异步条件下是否优于基线策略？</x:v>
      </x:c>
      <x:c r="I548" s="28" t="str">
        <x:v>累计/简单遗憾；达到目标所需实验数；最优值；校准误差；并行效率</x:v>
      </x:c>
      <x:c r="J548" s="64" t="str">
        <x:v>工程化关键</x:v>
      </x:c>
      <x:c r="K548" s="64" t="str">
        <x:v>P1</x:v>
      </x:c>
      <x:c r="L548" s="28" t="str">
        <x:v>S06; S13; S14; S21</x:v>
      </x:c>
      <x:c r="M548" s="28" t="str">
        <x:v>https://www.science.org/doi/10.1126/sciadv.abg4930</x:v>
      </x:c>
    </x:row>
    <x:row r="549" ht="48" customHeight="1">
      <x:c r="A549" s="64" t="str">
        <x:v>T0548</x:v>
      </x:c>
      <x:c r="B549" s="28" t="str">
        <x:v>实验设计与闭环优化</x:v>
      </x:c>
      <x:c r="C549" s="28" t="str">
        <x:v>贝叶斯优化与主动学习</x:v>
      </x:c>
      <x:c r="D549" s="28" t="str">
        <x:v>高维、离散与批量优化</x:v>
      </x:c>
      <x:c r="E549" s="28" t="str">
        <x:v>优化与主动学习</x:v>
      </x:c>
      <x:c r="F549" s="28" t="str">
        <x:v>不确定性采样</x:v>
      </x:c>
      <x:c r="G549" s="28" t="str">
        <x:v>围绕“不确定性采样”在昂贵黑箱实验中选择下一批最有价值实验，以更少样本找到更优方案或更好模型。</x:v>
      </x:c>
      <x:c r="H549" s="28" t="str">
        <x:v>采集函数、噪声、约束和批量异步条件下是否优于基线策略？</x:v>
      </x:c>
      <x:c r="I549" s="28" t="str">
        <x:v>累计/简单遗憾；达到目标所需实验数；最优值；校准误差；并行效率</x:v>
      </x:c>
      <x:c r="J549" s="64" t="str">
        <x:v>工程化关键</x:v>
      </x:c>
      <x:c r="K549" s="64" t="str">
        <x:v>P1</x:v>
      </x:c>
      <x:c r="L549" s="28" t="str">
        <x:v>S06; S13; S14; S21</x:v>
      </x:c>
      <x:c r="M549" s="28" t="str">
        <x:v>https://proceedings.neurips.cc/paper_files/paper/2020/file/f5b1b89d98b7286673128a5fb112cb9a-Paper.pdf</x:v>
      </x:c>
    </x:row>
    <x:row r="550" ht="48" customHeight="1">
      <x:c r="A550" s="64" t="str">
        <x:v>T0549</x:v>
      </x:c>
      <x:c r="B550" s="28" t="str">
        <x:v>实验设计与闭环优化</x:v>
      </x:c>
      <x:c r="C550" s="28" t="str">
        <x:v>贝叶斯优化与主动学习</x:v>
      </x:c>
      <x:c r="D550" s="28" t="str">
        <x:v>高维、离散与批量优化</x:v>
      </x:c>
      <x:c r="E550" s="28" t="str">
        <x:v>优化与主动学习</x:v>
      </x:c>
      <x:c r="F550" s="28" t="str">
        <x:v>委员会查询</x:v>
      </x:c>
      <x:c r="G550" s="28" t="str">
        <x:v>围绕“委员会查询”在昂贵黑箱实验中选择下一批最有价值实验，以更少样本找到更优方案或更好模型。</x:v>
      </x:c>
      <x:c r="H550" s="28" t="str">
        <x:v>采集函数、噪声、约束和批量异步条件下是否优于基线策略？</x:v>
      </x:c>
      <x:c r="I550" s="28" t="str">
        <x:v>累计/简单遗憾；达到目标所需实验数；最优值；校准误差；并行效率</x:v>
      </x:c>
      <x:c r="J550" s="64" t="str">
        <x:v>进阶能力</x:v>
      </x:c>
      <x:c r="K550" s="64" t="str">
        <x:v>P2</x:v>
      </x:c>
      <x:c r="L550" s="28" t="str">
        <x:v>S06; S13; S14; S21</x:v>
      </x:c>
      <x:c r="M550" s="28" t="str">
        <x:v>https://www.science.org/doi/10.1126/sciadv.aaz8867</x:v>
      </x:c>
    </x:row>
    <x:row r="551" ht="48" customHeight="1">
      <x:c r="A551" s="64" t="str">
        <x:v>T0550</x:v>
      </x:c>
      <x:c r="B551" s="28" t="str">
        <x:v>实验设计与闭环优化</x:v>
      </x:c>
      <x:c r="C551" s="28" t="str">
        <x:v>贝叶斯优化与主动学习</x:v>
      </x:c>
      <x:c r="D551" s="28" t="str">
        <x:v>高维、离散与批量优化</x:v>
      </x:c>
      <x:c r="E551" s="28" t="str">
        <x:v>优化与主动学习</x:v>
      </x:c>
      <x:c r="F551" s="28" t="str">
        <x:v>期望模型变化</x:v>
      </x:c>
      <x:c r="G551" s="28" t="str">
        <x:v>围绕“期望模型变化”在昂贵黑箱实验中选择下一批最有价值实验，以更少样本找到更优方案或更好模型。</x:v>
      </x:c>
      <x:c r="H551" s="28" t="str">
        <x:v>采集函数、噪声、约束和批量异步条件下是否优于基线策略？</x:v>
      </x:c>
      <x:c r="I551" s="28" t="str">
        <x:v>累计/简单遗憾；达到目标所需实验数；最优值；校准误差；并行效率</x:v>
      </x:c>
      <x:c r="J551" s="64" t="str">
        <x:v>进阶能力</x:v>
      </x:c>
      <x:c r="K551" s="64" t="str">
        <x:v>P2</x:v>
      </x:c>
      <x:c r="L551" s="28" t="str">
        <x:v>S06; S13; S14; S21</x:v>
      </x:c>
      <x:c r="M551" s="28" t="str">
        <x:v>https://www.science.org/doi/10.1126/sciadv.aaz1708</x:v>
      </x:c>
    </x:row>
    <x:row r="552" ht="48" customHeight="1">
      <x:c r="A552" s="64" t="str">
        <x:v>T0551</x:v>
      </x:c>
      <x:c r="B552" s="28" t="str">
        <x:v>实验设计与闭环优化</x:v>
      </x:c>
      <x:c r="C552" s="28" t="str">
        <x:v>贝叶斯优化与主动学习</x:v>
      </x:c>
      <x:c r="D552" s="28" t="str">
        <x:v>主动学习、迁移与收敛</x:v>
      </x:c>
      <x:c r="E552" s="28" t="str">
        <x:v>优化与主动学习</x:v>
      </x:c>
      <x:c r="F552" s="28" t="str">
        <x:v>多样性采样</x:v>
      </x:c>
      <x:c r="G552" s="28" t="str">
        <x:v>围绕“多样性采样”在昂贵黑箱实验中选择下一批最有价值实验，以更少样本找到更优方案或更好模型。</x:v>
      </x:c>
      <x:c r="H552" s="28" t="str">
        <x:v>采集函数、噪声、约束和批量异步条件下是否优于基线策略？</x:v>
      </x:c>
      <x:c r="I552" s="28" t="str">
        <x:v>累计/简单遗憾；达到目标所需实验数；最优值；校准误差；并行效率</x:v>
      </x:c>
      <x:c r="J552" s="64" t="str">
        <x:v>进阶能力</x:v>
      </x:c>
      <x:c r="K552" s="64" t="str">
        <x:v>P2</x:v>
      </x:c>
      <x:c r="L552" s="28" t="str">
        <x:v>S06; S13; S14; S21</x:v>
      </x:c>
      <x:c r="M552" s="28" t="str">
        <x:v>https://www.science.org/doi/10.1126/sciadv.abg4930</x:v>
      </x:c>
    </x:row>
    <x:row r="553" ht="48" customHeight="1">
      <x:c r="A553" s="64" t="str">
        <x:v>T0552</x:v>
      </x:c>
      <x:c r="B553" s="28" t="str">
        <x:v>实验设计与闭环优化</x:v>
      </x:c>
      <x:c r="C553" s="28" t="str">
        <x:v>贝叶斯优化与主动学习</x:v>
      </x:c>
      <x:c r="D553" s="28" t="str">
        <x:v>主动学习、迁移与收敛</x:v>
      </x:c>
      <x:c r="E553" s="28" t="str">
        <x:v>优化与主动学习</x:v>
      </x:c>
      <x:c r="F553" s="28" t="str">
        <x:v>池式主动学习</x:v>
      </x:c>
      <x:c r="G553" s="28" t="str">
        <x:v>围绕“池式主动学习”在昂贵黑箱实验中选择下一批最有价值实验，以更少样本找到更优方案或更好模型。</x:v>
      </x:c>
      <x:c r="H553" s="28" t="str">
        <x:v>采集函数、噪声、约束和批量异步条件下是否优于基线策略？</x:v>
      </x:c>
      <x:c r="I553" s="28" t="str">
        <x:v>累计/简单遗憾；达到目标所需实验数；最优值；校准误差；并行效率</x:v>
      </x:c>
      <x:c r="J553" s="64" t="str">
        <x:v>进阶能力</x:v>
      </x:c>
      <x:c r="K553" s="64" t="str">
        <x:v>P2</x:v>
      </x:c>
      <x:c r="L553" s="28" t="str">
        <x:v>S06; S13; S14; S21</x:v>
      </x:c>
      <x:c r="M553" s="28" t="str">
        <x:v>https://proceedings.neurips.cc/paper_files/paper/2020/file/f5b1b89d98b7286673128a5fb112cb9a-Paper.pdf</x:v>
      </x:c>
    </x:row>
    <x:row r="554" ht="48" customHeight="1">
      <x:c r="A554" s="64" t="str">
        <x:v>T0553</x:v>
      </x:c>
      <x:c r="B554" s="28" t="str">
        <x:v>实验设计与闭环优化</x:v>
      </x:c>
      <x:c r="C554" s="28" t="str">
        <x:v>贝叶斯优化与主动学习</x:v>
      </x:c>
      <x:c r="D554" s="28" t="str">
        <x:v>主动学习、迁移与收敛</x:v>
      </x:c>
      <x:c r="E554" s="28" t="str">
        <x:v>优化与主动学习</x:v>
      </x:c>
      <x:c r="F554" s="28" t="str">
        <x:v>流式主动学习</x:v>
      </x:c>
      <x:c r="G554" s="28" t="str">
        <x:v>围绕“流式主动学习”在昂贵黑箱实验中选择下一批最有价值实验，以更少样本找到更优方案或更好模型。</x:v>
      </x:c>
      <x:c r="H554" s="28" t="str">
        <x:v>采集函数、噪声、约束和批量异步条件下是否优于基线策略？</x:v>
      </x:c>
      <x:c r="I554" s="28" t="str">
        <x:v>累计/简单遗憾；达到目标所需实验数；最优值；校准误差；并行效率</x:v>
      </x:c>
      <x:c r="J554" s="64" t="str">
        <x:v>进阶能力</x:v>
      </x:c>
      <x:c r="K554" s="64" t="str">
        <x:v>P2</x:v>
      </x:c>
      <x:c r="L554" s="28" t="str">
        <x:v>S06; S13; S14; S21</x:v>
      </x:c>
      <x:c r="M554" s="28" t="str">
        <x:v>https://www.science.org/doi/10.1126/sciadv.aaz8867</x:v>
      </x:c>
    </x:row>
    <x:row r="555" ht="48" customHeight="1">
      <x:c r="A555" s="64" t="str">
        <x:v>T0554</x:v>
      </x:c>
      <x:c r="B555" s="28" t="str">
        <x:v>实验设计与闭环优化</x:v>
      </x:c>
      <x:c r="C555" s="28" t="str">
        <x:v>贝叶斯优化与主动学习</x:v>
      </x:c>
      <x:c r="D555" s="28" t="str">
        <x:v>主动学习、迁移与收敛</x:v>
      </x:c>
      <x:c r="E555" s="28" t="str">
        <x:v>优化与主动学习</x:v>
      </x:c>
      <x:c r="F555" s="28" t="str">
        <x:v>冷启动先验</x:v>
      </x:c>
      <x:c r="G555" s="28" t="str">
        <x:v>围绕“冷启动先验”在昂贵黑箱实验中选择下一批最有价值实验，以更少样本找到更优方案或更好模型。</x:v>
      </x:c>
      <x:c r="H555" s="28" t="str">
        <x:v>采集函数、噪声、约束和批量异步条件下是否优于基线策略？</x:v>
      </x:c>
      <x:c r="I555" s="28" t="str">
        <x:v>累计/简单遗憾；达到目标所需实验数；最优值；校准误差；并行效率</x:v>
      </x:c>
      <x:c r="J555" s="64" t="str">
        <x:v>进阶能力</x:v>
      </x:c>
      <x:c r="K555" s="64" t="str">
        <x:v>P2</x:v>
      </x:c>
      <x:c r="L555" s="28" t="str">
        <x:v>S06; S13; S14; S21</x:v>
      </x:c>
      <x:c r="M555" s="28" t="str">
        <x:v>https://www.science.org/doi/10.1126/sciadv.aaz1708</x:v>
      </x:c>
    </x:row>
    <x:row r="556" ht="48" customHeight="1">
      <x:c r="A556" s="64" t="str">
        <x:v>T0555</x:v>
      </x:c>
      <x:c r="B556" s="28" t="str">
        <x:v>实验设计与闭环优化</x:v>
      </x:c>
      <x:c r="C556" s="28" t="str">
        <x:v>贝叶斯优化与主动学习</x:v>
      </x:c>
      <x:c r="D556" s="28" t="str">
        <x:v>主动学习、迁移与收敛</x:v>
      </x:c>
      <x:c r="E556" s="28" t="str">
        <x:v>优化与主动学习</x:v>
      </x:c>
      <x:c r="F556" s="28" t="str">
        <x:v>迁移贝叶斯优化</x:v>
      </x:c>
      <x:c r="G556" s="28" t="str">
        <x:v>围绕“迁移贝叶斯优化”在昂贵黑箱实验中选择下一批最有价值实验，以更少样本找到更优方案或更好模型。</x:v>
      </x:c>
      <x:c r="H556" s="28" t="str">
        <x:v>采集函数、噪声、约束和批量异步条件下是否优于基线策略？</x:v>
      </x:c>
      <x:c r="I556" s="28" t="str">
        <x:v>累计/简单遗憾；达到目标所需实验数；最优值；校准误差；并行效率</x:v>
      </x:c>
      <x:c r="J556" s="64" t="str">
        <x:v>进阶能力</x:v>
      </x:c>
      <x:c r="K556" s="64" t="str">
        <x:v>P2</x:v>
      </x:c>
      <x:c r="L556" s="28" t="str">
        <x:v>S06; S13; S14; S21</x:v>
      </x:c>
      <x:c r="M556" s="28" t="str">
        <x:v>https://www.science.org/doi/10.1126/sciadv.abg4930</x:v>
      </x:c>
    </x:row>
    <x:row r="557" ht="48" customHeight="1">
      <x:c r="A557" s="64" t="str">
        <x:v>T0556</x:v>
      </x:c>
      <x:c r="B557" s="28" t="str">
        <x:v>实验设计与闭环优化</x:v>
      </x:c>
      <x:c r="C557" s="28" t="str">
        <x:v>贝叶斯优化与主动学习</x:v>
      </x:c>
      <x:c r="D557" s="28" t="str">
        <x:v>主动学习、迁移与收敛</x:v>
      </x:c>
      <x:c r="E557" s="28" t="str">
        <x:v>优化与主动学习</x:v>
      </x:c>
      <x:c r="F557" s="28" t="str">
        <x:v>元贝叶斯优化</x:v>
      </x:c>
      <x:c r="G557" s="28" t="str">
        <x:v>围绕“元贝叶斯优化”在昂贵黑箱实验中选择下一批最有价值实验，以更少样本找到更优方案或更好模型。</x:v>
      </x:c>
      <x:c r="H557" s="28" t="str">
        <x:v>采集函数、噪声、约束和批量异步条件下是否优于基线策略？</x:v>
      </x:c>
      <x:c r="I557" s="28" t="str">
        <x:v>累计/简单遗憾；达到目标所需实验数；最优值；校准误差；并行效率</x:v>
      </x:c>
      <x:c r="J557" s="64" t="str">
        <x:v>进阶能力</x:v>
      </x:c>
      <x:c r="K557" s="64" t="str">
        <x:v>P2</x:v>
      </x:c>
      <x:c r="L557" s="28" t="str">
        <x:v>S06; S13; S14; S21</x:v>
      </x:c>
      <x:c r="M557" s="28" t="str">
        <x:v>https://proceedings.neurips.cc/paper_files/paper/2020/file/f5b1b89d98b7286673128a5fb112cb9a-Paper.pdf</x:v>
      </x:c>
    </x:row>
    <x:row r="558" ht="48" customHeight="1">
      <x:c r="A558" s="64" t="str">
        <x:v>T0557</x:v>
      </x:c>
      <x:c r="B558" s="28" t="str">
        <x:v>实验设计与闭环优化</x:v>
      </x:c>
      <x:c r="C558" s="28" t="str">
        <x:v>贝叶斯优化与主动学习</x:v>
      </x:c>
      <x:c r="D558" s="28" t="str">
        <x:v>主动学习、迁移与收敛</x:v>
      </x:c>
      <x:c r="E558" s="28" t="str">
        <x:v>优化与主动学习</x:v>
      </x:c>
      <x:c r="F558" s="28" t="str">
        <x:v>暖启动</x:v>
      </x:c>
      <x:c r="G558" s="28" t="str">
        <x:v>围绕“暖启动”在昂贵黑箱实验中选择下一批最有价值实验，以更少样本找到更优方案或更好模型。</x:v>
      </x:c>
      <x:c r="H558" s="28" t="str">
        <x:v>采集函数、噪声、约束和批量异步条件下是否优于基线策略？</x:v>
      </x:c>
      <x:c r="I558" s="28" t="str">
        <x:v>累计/简单遗憾；达到目标所需实验数；最优值；校准误差；并行效率</x:v>
      </x:c>
      <x:c r="J558" s="64" t="str">
        <x:v>前沿能力</x:v>
      </x:c>
      <x:c r="K558" s="64" t="str">
        <x:v>P2</x:v>
      </x:c>
      <x:c r="L558" s="28" t="str">
        <x:v>S06; S13; S14; S21</x:v>
      </x:c>
      <x:c r="M558" s="28" t="str">
        <x:v>https://www.science.org/doi/10.1126/sciadv.aaz8867</x:v>
      </x:c>
    </x:row>
    <x:row r="559" ht="48" customHeight="1">
      <x:c r="A559" s="64" t="str">
        <x:v>T0558</x:v>
      </x:c>
      <x:c r="B559" s="28" t="str">
        <x:v>实验设计与闭环优化</x:v>
      </x:c>
      <x:c r="C559" s="28" t="str">
        <x:v>贝叶斯优化与主动学习</x:v>
      </x:c>
      <x:c r="D559" s="28" t="str">
        <x:v>主动学习、迁移与收敛</x:v>
      </x:c>
      <x:c r="E559" s="28" t="str">
        <x:v>优化与主动学习</x:v>
      </x:c>
      <x:c r="F559" s="28" t="str">
        <x:v>采集函数优化</x:v>
      </x:c>
      <x:c r="G559" s="28" t="str">
        <x:v>围绕“采集函数优化”在昂贵黑箱实验中选择下一批最有价值实验，以更少样本找到更优方案或更好模型。</x:v>
      </x:c>
      <x:c r="H559" s="28" t="str">
        <x:v>采集函数、噪声、约束和批量异步条件下是否优于基线策略？</x:v>
      </x:c>
      <x:c r="I559" s="28" t="str">
        <x:v>累计/简单遗憾；达到目标所需实验数；最优值；校准误差；并行效率</x:v>
      </x:c>
      <x:c r="J559" s="64" t="str">
        <x:v>前沿能力</x:v>
      </x:c>
      <x:c r="K559" s="64" t="str">
        <x:v>P2</x:v>
      </x:c>
      <x:c r="L559" s="28" t="str">
        <x:v>S06; S13; S14; S21</x:v>
      </x:c>
      <x:c r="M559" s="28" t="str">
        <x:v>https://www.science.org/doi/10.1126/sciadv.aaz1708</x:v>
      </x:c>
    </x:row>
    <x:row r="560" ht="48" customHeight="1">
      <x:c r="A560" s="64" t="str">
        <x:v>T0559</x:v>
      </x:c>
      <x:c r="B560" s="28" t="str">
        <x:v>实验设计与闭环优化</x:v>
      </x:c>
      <x:c r="C560" s="28" t="str">
        <x:v>贝叶斯优化与主动学习</x:v>
      </x:c>
      <x:c r="D560" s="28" t="str">
        <x:v>主动学习、迁移与收敛</x:v>
      </x:c>
      <x:c r="E560" s="28" t="str">
        <x:v>优化与主动学习</x:v>
      </x:c>
      <x:c r="F560" s="28" t="str">
        <x:v>探索系数调度</x:v>
      </x:c>
      <x:c r="G560" s="28" t="str">
        <x:v>围绕“探索系数调度”在昂贵黑箱实验中选择下一批最有价值实验，以更少样本找到更优方案或更好模型。</x:v>
      </x:c>
      <x:c r="H560" s="28" t="str">
        <x:v>采集函数、噪声、约束和批量异步条件下是否优于基线策略？</x:v>
      </x:c>
      <x:c r="I560" s="28" t="str">
        <x:v>累计/简单遗憾；达到目标所需实验数；最优值；校准误差；并行效率</x:v>
      </x:c>
      <x:c r="J560" s="64" t="str">
        <x:v>前沿能力</x:v>
      </x:c>
      <x:c r="K560" s="64" t="str">
        <x:v>P2</x:v>
      </x:c>
      <x:c r="L560" s="28" t="str">
        <x:v>S06; S13; S14; S21</x:v>
      </x:c>
      <x:c r="M560" s="28" t="str">
        <x:v>https://www.science.org/doi/10.1126/sciadv.abg4930</x:v>
      </x:c>
    </x:row>
    <x:row r="561" ht="48" customHeight="1">
      <x:c r="A561" s="64" t="str">
        <x:v>T0560</x:v>
      </x:c>
      <x:c r="B561" s="28" t="str">
        <x:v>实验设计与闭环优化</x:v>
      </x:c>
      <x:c r="C561" s="28" t="str">
        <x:v>贝叶斯优化与主动学习</x:v>
      </x:c>
      <x:c r="D561" s="28" t="str">
        <x:v>主动学习、迁移与收敛</x:v>
      </x:c>
      <x:c r="E561" s="28" t="str">
        <x:v>优化与主动学习</x:v>
      </x:c>
      <x:c r="F561" s="28" t="str">
        <x:v>终止与收敛诊断</x:v>
      </x:c>
      <x:c r="G561" s="28" t="str">
        <x:v>围绕“终止与收敛诊断”在昂贵黑箱实验中选择下一批最有价值实验，以更少样本找到更优方案或更好模型。</x:v>
      </x:c>
      <x:c r="H561" s="28" t="str">
        <x:v>采集函数、噪声、约束和批量异步条件下是否优于基线策略？</x:v>
      </x:c>
      <x:c r="I561" s="28" t="str">
        <x:v>累计/简单遗憾；达到目标所需实验数；最优值；校准误差；并行效率</x:v>
      </x:c>
      <x:c r="J561" s="64" t="str">
        <x:v>前沿能力</x:v>
      </x:c>
      <x:c r="K561" s="64" t="str">
        <x:v>P2</x:v>
      </x:c>
      <x:c r="L561" s="28" t="str">
        <x:v>S06; S13; S14; S21</x:v>
      </x:c>
      <x:c r="M561" s="28" t="str">
        <x:v>https://proceedings.neurips.cc/paper_files/paper/2020/file/f5b1b89d98b7286673128a5fb112cb9a-Paper.pdf</x:v>
      </x:c>
    </x:row>
    <x:row r="562" ht="48" customHeight="1">
      <x:c r="A562" s="64" t="str">
        <x:v>T0561</x:v>
      </x:c>
      <x:c r="B562" s="28" t="str">
        <x:v>实验设计与闭环优化</x:v>
      </x:c>
      <x:c r="C562" s="28" t="str">
        <x:v>多目标、约束、安全、成本与多保真优化</x:v>
      </x:c>
      <x:c r="D562" s="28" t="str">
        <x:v>多目标与偏好</x:v>
      </x:c>
      <x:c r="E562" s="28" t="str">
        <x:v>多目标与安全优化</x:v>
      </x:c>
      <x:c r="F562" s="28" t="str">
        <x:v>Pareto前沿</x:v>
      </x:c>
      <x:c r="G562" s="28" t="str">
        <x:v>用“Pareto前沿”同时处理性能、可行性、安全、成本、时间和保真度，输出可解释的折中解与安全边界。</x:v>
      </x:c>
      <x:c r="H562" s="28" t="str">
        <x:v>Pareto、可行概率、风险和成本是否被共同量化且可审计？</x:v>
      </x:c>
      <x:c r="I562" s="28" t="str">
        <x:v>超体积；可行率；安全违规率；单位改进成本；保真度节省；鲁棒性</x:v>
      </x:c>
      <x:c r="J562" s="64" t="str">
        <x:v>基础能力</x:v>
      </x:c>
      <x:c r="K562" s="64" t="str">
        <x:v>P0</x:v>
      </x:c>
      <x:c r="L562" s="28" t="str">
        <x:v>S03; S12; S21; S22</x:v>
      </x:c>
      <x:c r="M562" s="28" t="str">
        <x:v>https://www.nature.com/articles/s41467-024-45569-5</x:v>
      </x:c>
    </x:row>
    <x:row r="563" ht="48" customHeight="1">
      <x:c r="A563" s="64" t="str">
        <x:v>T0562</x:v>
      </x:c>
      <x:c r="B563" s="28" t="str">
        <x:v>实验设计与闭环优化</x:v>
      </x:c>
      <x:c r="C563" s="28" t="str">
        <x:v>多目标、约束、安全、成本与多保真优化</x:v>
      </x:c>
      <x:c r="D563" s="28" t="str">
        <x:v>多目标与偏好</x:v>
      </x:c>
      <x:c r="E563" s="28" t="str">
        <x:v>多目标与安全优化</x:v>
      </x:c>
      <x:c r="F563" s="28" t="str">
        <x:v>Pareto支配</x:v>
      </x:c>
      <x:c r="G563" s="28" t="str">
        <x:v>用“Pareto支配”同时处理性能、可行性、安全、成本、时间和保真度，输出可解释的折中解与安全边界。</x:v>
      </x:c>
      <x:c r="H563" s="28" t="str">
        <x:v>Pareto、可行概率、风险和成本是否被共同量化且可审计？</x:v>
      </x:c>
      <x:c r="I563" s="28" t="str">
        <x:v>超体积；可行率；安全违规率；单位改进成本；保真度节省；鲁棒性</x:v>
      </x:c>
      <x:c r="J563" s="64" t="str">
        <x:v>基础能力</x:v>
      </x:c>
      <x:c r="K563" s="64" t="str">
        <x:v>P0</x:v>
      </x:c>
      <x:c r="L563" s="28" t="str">
        <x:v>S03; S12; S21; S22</x:v>
      </x:c>
      <x:c r="M563" s="28" t="str">
        <x:v>https://www.science.org/doi/10.1126/science.adk9227</x:v>
      </x:c>
    </x:row>
    <x:row r="564" ht="48" customHeight="1">
      <x:c r="A564" s="64" t="str">
        <x:v>T0563</x:v>
      </x:c>
      <x:c r="B564" s="28" t="str">
        <x:v>实验设计与闭环优化</x:v>
      </x:c>
      <x:c r="C564" s="28" t="str">
        <x:v>多目标、约束、安全、成本与多保真优化</x:v>
      </x:c>
      <x:c r="D564" s="28" t="str">
        <x:v>多目标与偏好</x:v>
      </x:c>
      <x:c r="E564" s="28" t="str">
        <x:v>多目标与安全优化</x:v>
      </x:c>
      <x:c r="F564" s="28" t="str">
        <x:v>超体积指标</x:v>
      </x:c>
      <x:c r="G564" s="28" t="str">
        <x:v>用“超体积指标”同时处理性能、可行性、安全、成本、时间和保真度，输出可解释的折中解与安全边界。</x:v>
      </x:c>
      <x:c r="H564" s="28" t="str">
        <x:v>Pareto、可行概率、风险和成本是否被共同量化且可审计？</x:v>
      </x:c>
      <x:c r="I564" s="28" t="str">
        <x:v>超体积；可行率；安全违规率；单位改进成本；保真度节省；鲁棒性</x:v>
      </x:c>
      <x:c r="J564" s="64" t="str">
        <x:v>基础能力</x:v>
      </x:c>
      <x:c r="K564" s="64" t="str">
        <x:v>P0</x:v>
      </x:c>
      <x:c r="L564" s="28" t="str">
        <x:v>S03; S12; S21; S22</x:v>
      </x:c>
      <x:c r="M564" s="28" t="str">
        <x:v>https://proceedings.neurips.cc/paper_files/paper/2020/file/f5b1b89d98b7286673128a5fb112cb9a-Paper.pdf</x:v>
      </x:c>
    </x:row>
    <x:row r="565" ht="48" customHeight="1">
      <x:c r="A565" s="64" t="str">
        <x:v>T0564</x:v>
      </x:c>
      <x:c r="B565" s="28" t="str">
        <x:v>实验设计与闭环优化</x:v>
      </x:c>
      <x:c r="C565" s="28" t="str">
        <x:v>多目标、约束、安全、成本与多保真优化</x:v>
      </x:c>
      <x:c r="D565" s="28" t="str">
        <x:v>多目标与偏好</x:v>
      </x:c>
      <x:c r="E565" s="28" t="str">
        <x:v>多目标与安全优化</x:v>
      </x:c>
      <x:c r="F565" s="28" t="str">
        <x:v>EHVI/qEHVI</x:v>
      </x:c>
      <x:c r="G565" s="28" t="str">
        <x:v>用“EHVI/qEHVI”同时处理性能、可行性、安全、成本、时间和保真度，输出可解释的折中解与安全边界。</x:v>
      </x:c>
      <x:c r="H565" s="28" t="str">
        <x:v>Pareto、可行概率、风险和成本是否被共同量化且可审计？</x:v>
      </x:c>
      <x:c r="I565" s="28" t="str">
        <x:v>超体积；可行率；安全违规率；单位改进成本；保真度节省；鲁棒性</x:v>
      </x:c>
      <x:c r="J565" s="64" t="str">
        <x:v>基础能力</x:v>
      </x:c>
      <x:c r="K565" s="64" t="str">
        <x:v>P0</x:v>
      </x:c>
      <x:c r="L565" s="28" t="str">
        <x:v>S03; S12; S21; S22</x:v>
      </x:c>
      <x:c r="M565" s="28" t="str">
        <x:v>https://www.itl.nist.gov/div898/handbook/</x:v>
      </x:c>
    </x:row>
    <x:row r="566" ht="48" customHeight="1">
      <x:c r="A566" s="64" t="str">
        <x:v>T0565</x:v>
      </x:c>
      <x:c r="B566" s="28" t="str">
        <x:v>实验设计与闭环优化</x:v>
      </x:c>
      <x:c r="C566" s="28" t="str">
        <x:v>多目标、约束、安全、成本与多保真优化</x:v>
      </x:c>
      <x:c r="D566" s="28" t="str">
        <x:v>多目标与偏好</x:v>
      </x:c>
      <x:c r="E566" s="28" t="str">
        <x:v>多目标与安全优化</x:v>
      </x:c>
      <x:c r="F566" s="28" t="str">
        <x:v>标量化</x:v>
      </x:c>
      <x:c r="G566" s="28" t="str">
        <x:v>用“标量化”同时处理性能、可行性、安全、成本、时间和保真度，输出可解释的折中解与安全边界。</x:v>
      </x:c>
      <x:c r="H566" s="28" t="str">
        <x:v>Pareto、可行概率、风险和成本是否被共同量化且可审计？</x:v>
      </x:c>
      <x:c r="I566" s="28" t="str">
        <x:v>超体积；可行率；安全违规率；单位改进成本；保真度节省；鲁棒性</x:v>
      </x:c>
      <x:c r="J566" s="64" t="str">
        <x:v>基础能力</x:v>
      </x:c>
      <x:c r="K566" s="64" t="str">
        <x:v>P0</x:v>
      </x:c>
      <x:c r="L566" s="28" t="str">
        <x:v>S03; S12; S21; S22</x:v>
      </x:c>
      <x:c r="M566" s="28" t="str">
        <x:v>https://www.nature.com/articles/s41467-024-45569-5</x:v>
      </x:c>
    </x:row>
    <x:row r="567" ht="48" customHeight="1">
      <x:c r="A567" s="64" t="str">
        <x:v>T0566</x:v>
      </x:c>
      <x:c r="B567" s="28" t="str">
        <x:v>实验设计与闭环优化</x:v>
      </x:c>
      <x:c r="C567" s="28" t="str">
        <x:v>多目标、约束、安全、成本与多保真优化</x:v>
      </x:c>
      <x:c r="D567" s="28" t="str">
        <x:v>多目标与偏好</x:v>
      </x:c>
      <x:c r="E567" s="28" t="str">
        <x:v>多目标与安全优化</x:v>
      </x:c>
      <x:c r="F567" s="28" t="str">
        <x:v>ParEGO</x:v>
      </x:c>
      <x:c r="G567" s="28" t="str">
        <x:v>用“ParEGO”同时处理性能、可行性、安全、成本、时间和保真度，输出可解释的折中解与安全边界。</x:v>
      </x:c>
      <x:c r="H567" s="28" t="str">
        <x:v>Pareto、可行概率、风险和成本是否被共同量化且可审计？</x:v>
      </x:c>
      <x:c r="I567" s="28" t="str">
        <x:v>超体积；可行率；安全违规率；单位改进成本；保真度节省；鲁棒性</x:v>
      </x:c>
      <x:c r="J567" s="64" t="str">
        <x:v>基础能力</x:v>
      </x:c>
      <x:c r="K567" s="64" t="str">
        <x:v>P0</x:v>
      </x:c>
      <x:c r="L567" s="28" t="str">
        <x:v>S03; S12; S21; S22</x:v>
      </x:c>
      <x:c r="M567" s="28" t="str">
        <x:v>https://www.science.org/doi/10.1126/science.adk9227</x:v>
      </x:c>
    </x:row>
    <x:row r="568" ht="48" customHeight="1">
      <x:c r="A568" s="64" t="str">
        <x:v>T0567</x:v>
      </x:c>
      <x:c r="B568" s="28" t="str">
        <x:v>实验设计与闭环优化</x:v>
      </x:c>
      <x:c r="C568" s="28" t="str">
        <x:v>多目标、约束、安全、成本与多保真优化</x:v>
      </x:c>
      <x:c r="D568" s="28" t="str">
        <x:v>多目标与偏好</x:v>
      </x:c>
      <x:c r="E568" s="28" t="str">
        <x:v>多目标与安全优化</x:v>
      </x:c>
      <x:c r="F568" s="28" t="str">
        <x:v>偏好学习</x:v>
      </x:c>
      <x:c r="G568" s="28" t="str">
        <x:v>用“偏好学习”同时处理性能、可行性、安全、成本、时间和保真度，输出可解释的折中解与安全边界。</x:v>
      </x:c>
      <x:c r="H568" s="28" t="str">
        <x:v>Pareto、可行概率、风险和成本是否被共同量化且可审计？</x:v>
      </x:c>
      <x:c r="I568" s="28" t="str">
        <x:v>超体积；可行率；安全违规率；单位改进成本；保真度节省；鲁棒性</x:v>
      </x:c>
      <x:c r="J568" s="64" t="str">
        <x:v>基础能力</x:v>
      </x:c>
      <x:c r="K568" s="64" t="str">
        <x:v>P0</x:v>
      </x:c>
      <x:c r="L568" s="28" t="str">
        <x:v>S03; S12; S21; S22</x:v>
      </x:c>
      <x:c r="M568" s="28" t="str">
        <x:v>https://proceedings.neurips.cc/paper_files/paper/2020/file/f5b1b89d98b7286673128a5fb112cb9a-Paper.pdf</x:v>
      </x:c>
    </x:row>
    <x:row r="569" ht="48" customHeight="1">
      <x:c r="A569" s="64" t="str">
        <x:v>T0568</x:v>
      </x:c>
      <x:c r="B569" s="28" t="str">
        <x:v>实验设计与闭环优化</x:v>
      </x:c>
      <x:c r="C569" s="28" t="str">
        <x:v>多目标、约束、安全、成本与多保真优化</x:v>
      </x:c>
      <x:c r="D569" s="28" t="str">
        <x:v>多目标与偏好</x:v>
      </x:c>
      <x:c r="E569" s="28" t="str">
        <x:v>多目标与安全优化</x:v>
      </x:c>
      <x:c r="F569" s="28" t="str">
        <x:v>膝点选择</x:v>
      </x:c>
      <x:c r="G569" s="28" t="str">
        <x:v>用“膝点选择”同时处理性能、可行性、安全、成本、时间和保真度，输出可解释的折中解与安全边界。</x:v>
      </x:c>
      <x:c r="H569" s="28" t="str">
        <x:v>Pareto、可行概率、风险和成本是否被共同量化且可审计？</x:v>
      </x:c>
      <x:c r="I569" s="28" t="str">
        <x:v>超体积；可行率；安全违规率；单位改进成本；保真度节省；鲁棒性</x:v>
      </x:c>
      <x:c r="J569" s="64" t="str">
        <x:v>基础能力</x:v>
      </x:c>
      <x:c r="K569" s="64" t="str">
        <x:v>P0</x:v>
      </x:c>
      <x:c r="L569" s="28" t="str">
        <x:v>S03; S12; S21; S22</x:v>
      </x:c>
      <x:c r="M569" s="28" t="str">
        <x:v>https://www.itl.nist.gov/div898/handbook/</x:v>
      </x:c>
    </x:row>
    <x:row r="570" ht="48" customHeight="1">
      <x:c r="A570" s="64" t="str">
        <x:v>T0569</x:v>
      </x:c>
      <x:c r="B570" s="28" t="str">
        <x:v>实验设计与闭环优化</x:v>
      </x:c>
      <x:c r="C570" s="28" t="str">
        <x:v>多目标、约束、安全、成本与多保真优化</x:v>
      </x:c>
      <x:c r="D570" s="28" t="str">
        <x:v>多目标与偏好</x:v>
      </x:c>
      <x:c r="E570" s="28" t="str">
        <x:v>多目标与安全优化</x:v>
      </x:c>
      <x:c r="F570" s="28" t="str">
        <x:v>多目标权重不确定性</x:v>
      </x:c>
      <x:c r="G570" s="28" t="str">
        <x:v>用“多目标权重不确定性”同时处理性能、可行性、安全、成本、时间和保真度，输出可解释的折中解与安全边界。</x:v>
      </x:c>
      <x:c r="H570" s="28" t="str">
        <x:v>Pareto、可行概率、风险和成本是否被共同量化且可审计？</x:v>
      </x:c>
      <x:c r="I570" s="28" t="str">
        <x:v>超体积；可行率；安全违规率；单位改进成本；保真度节省；鲁棒性</x:v>
      </x:c>
      <x:c r="J570" s="64" t="str">
        <x:v>基础能力</x:v>
      </x:c>
      <x:c r="K570" s="64" t="str">
        <x:v>P0</x:v>
      </x:c>
      <x:c r="L570" s="28" t="str">
        <x:v>S03; S12; S21; S22</x:v>
      </x:c>
      <x:c r="M570" s="28" t="str">
        <x:v>https://www.nature.com/articles/s41467-024-45569-5</x:v>
      </x:c>
    </x:row>
    <x:row r="571" ht="48" customHeight="1">
      <x:c r="A571" s="64" t="str">
        <x:v>T0570</x:v>
      </x:c>
      <x:c r="B571" s="28" t="str">
        <x:v>实验设计与闭环优化</x:v>
      </x:c>
      <x:c r="C571" s="28" t="str">
        <x:v>多目标、约束、安全、成本与多保真优化</x:v>
      </x:c>
      <x:c r="D571" s="28" t="str">
        <x:v>多目标与偏好</x:v>
      </x:c>
      <x:c r="E571" s="28" t="str">
        <x:v>多目标与安全优化</x:v>
      </x:c>
      <x:c r="F571" s="28" t="str">
        <x:v>黑箱约束</x:v>
      </x:c>
      <x:c r="G571" s="28" t="str">
        <x:v>用“黑箱约束”同时处理性能、可行性、安全、成本、时间和保真度，输出可解释的折中解与安全边界。</x:v>
      </x:c>
      <x:c r="H571" s="28" t="str">
        <x:v>Pareto、可行概率、风险和成本是否被共同量化且可审计？</x:v>
      </x:c>
      <x:c r="I571" s="28" t="str">
        <x:v>超体积；可行率；安全违规率；单位改进成本；保真度节省；鲁棒性</x:v>
      </x:c>
      <x:c r="J571" s="64" t="str">
        <x:v>基础能力</x:v>
      </x:c>
      <x:c r="K571" s="64" t="str">
        <x:v>P0</x:v>
      </x:c>
      <x:c r="L571" s="28" t="str">
        <x:v>S03; S12; S21; S22</x:v>
      </x:c>
      <x:c r="M571" s="28" t="str">
        <x:v>https://www.science.org/doi/10.1126/science.adk9227</x:v>
      </x:c>
    </x:row>
    <x:row r="572" ht="48" customHeight="1">
      <x:c r="A572" s="64" t="str">
        <x:v>T0571</x:v>
      </x:c>
      <x:c r="B572" s="28" t="str">
        <x:v>实验设计与闭环优化</x:v>
      </x:c>
      <x:c r="C572" s="28" t="str">
        <x:v>多目标、约束、安全、成本与多保真优化</x:v>
      </x:c>
      <x:c r="D572" s="28" t="str">
        <x:v>约束、安全与风险</x:v>
      </x:c>
      <x:c r="E572" s="28" t="str">
        <x:v>多目标与安全优化</x:v>
      </x:c>
      <x:c r="F572" s="28" t="str">
        <x:v>可行性分类器</x:v>
      </x:c>
      <x:c r="G572" s="28" t="str">
        <x:v>用“可行性分类器”同时处理性能、可行性、安全、成本、时间和保真度，输出可解释的折中解与安全边界。</x:v>
      </x:c>
      <x:c r="H572" s="28" t="str">
        <x:v>Pareto、可行概率、风险和成本是否被共同量化且可审计？</x:v>
      </x:c>
      <x:c r="I572" s="28" t="str">
        <x:v>超体积；可行率；安全违规率；单位改进成本；保真度节省；鲁棒性</x:v>
      </x:c>
      <x:c r="J572" s="64" t="str">
        <x:v>基础能力</x:v>
      </x:c>
      <x:c r="K572" s="64" t="str">
        <x:v>P1</x:v>
      </x:c>
      <x:c r="L572" s="28" t="str">
        <x:v>S03; S12; S21; S22</x:v>
      </x:c>
      <x:c r="M572" s="28" t="str">
        <x:v>https://proceedings.neurips.cc/paper_files/paper/2020/file/f5b1b89d98b7286673128a5fb112cb9a-Paper.pdf</x:v>
      </x:c>
    </x:row>
    <x:row r="573" ht="48" customHeight="1">
      <x:c r="A573" s="64" t="str">
        <x:v>T0572</x:v>
      </x:c>
      <x:c r="B573" s="28" t="str">
        <x:v>实验设计与闭环优化</x:v>
      </x:c>
      <x:c r="C573" s="28" t="str">
        <x:v>多目标、约束、安全、成本与多保真优化</x:v>
      </x:c>
      <x:c r="D573" s="28" t="str">
        <x:v>约束、安全与风险</x:v>
      </x:c>
      <x:c r="E573" s="28" t="str">
        <x:v>多目标与安全优化</x:v>
      </x:c>
      <x:c r="F573" s="28" t="str">
        <x:v>约束期望改进</x:v>
      </x:c>
      <x:c r="G573" s="28" t="str">
        <x:v>用“约束期望改进”同时处理性能、可行性、安全、成本、时间和保真度，输出可解释的折中解与安全边界。</x:v>
      </x:c>
      <x:c r="H573" s="28" t="str">
        <x:v>Pareto、可行概率、风险和成本是否被共同量化且可审计？</x:v>
      </x:c>
      <x:c r="I573" s="28" t="str">
        <x:v>超体积；可行率；安全违规率；单位改进成本；保真度节省；鲁棒性</x:v>
      </x:c>
      <x:c r="J573" s="64" t="str">
        <x:v>基础能力</x:v>
      </x:c>
      <x:c r="K573" s="64" t="str">
        <x:v>P1</x:v>
      </x:c>
      <x:c r="L573" s="28" t="str">
        <x:v>S03; S12; S21; S22</x:v>
      </x:c>
      <x:c r="M573" s="28" t="str">
        <x:v>https://www.itl.nist.gov/div898/handbook/</x:v>
      </x:c>
    </x:row>
    <x:row r="574" ht="48" customHeight="1">
      <x:c r="A574" s="64" t="str">
        <x:v>T0573</x:v>
      </x:c>
      <x:c r="B574" s="28" t="str">
        <x:v>实验设计与闭环优化</x:v>
      </x:c>
      <x:c r="C574" s="28" t="str">
        <x:v>多目标、约束、安全、成本与多保真优化</x:v>
      </x:c>
      <x:c r="D574" s="28" t="str">
        <x:v>约束、安全与风险</x:v>
      </x:c>
      <x:c r="E574" s="28" t="str">
        <x:v>多目标与安全优化</x:v>
      </x:c>
      <x:c r="F574" s="28" t="str">
        <x:v>机会约束</x:v>
      </x:c>
      <x:c r="G574" s="28" t="str">
        <x:v>用“机会约束”同时处理性能、可行性、安全、成本、时间和保真度，输出可解释的折中解与安全边界。</x:v>
      </x:c>
      <x:c r="H574" s="28" t="str">
        <x:v>Pareto、可行概率、风险和成本是否被共同量化且可审计？</x:v>
      </x:c>
      <x:c r="I574" s="28" t="str">
        <x:v>超体积；可行率；安全违规率；单位改进成本；保真度节省；鲁棒性</x:v>
      </x:c>
      <x:c r="J574" s="64" t="str">
        <x:v>工程化关键</x:v>
      </x:c>
      <x:c r="K574" s="64" t="str">
        <x:v>P1</x:v>
      </x:c>
      <x:c r="L574" s="28" t="str">
        <x:v>S03; S12; S21; S22</x:v>
      </x:c>
      <x:c r="M574" s="28" t="str">
        <x:v>https://www.nature.com/articles/s41467-024-45569-5</x:v>
      </x:c>
    </x:row>
    <x:row r="575" ht="48" customHeight="1">
      <x:c r="A575" s="64" t="str">
        <x:v>T0574</x:v>
      </x:c>
      <x:c r="B575" s="28" t="str">
        <x:v>实验设计与闭环优化</x:v>
      </x:c>
      <x:c r="C575" s="28" t="str">
        <x:v>多目标、约束、安全、成本与多保真优化</x:v>
      </x:c>
      <x:c r="D575" s="28" t="str">
        <x:v>约束、安全与风险</x:v>
      </x:c>
      <x:c r="E575" s="28" t="str">
        <x:v>多目标与安全优化</x:v>
      </x:c>
      <x:c r="F575" s="28" t="str">
        <x:v>安全集扩张</x:v>
      </x:c>
      <x:c r="G575" s="28" t="str">
        <x:v>用“安全集扩张”同时处理性能、可行性、安全、成本、时间和保真度，输出可解释的折中解与安全边界。</x:v>
      </x:c>
      <x:c r="H575" s="28" t="str">
        <x:v>Pareto、可行概率、风险和成本是否被共同量化且可审计？</x:v>
      </x:c>
      <x:c r="I575" s="28" t="str">
        <x:v>超体积；可行率；安全违规率；单位改进成本；保真度节省；鲁棒性</x:v>
      </x:c>
      <x:c r="J575" s="64" t="str">
        <x:v>工程化关键</x:v>
      </x:c>
      <x:c r="K575" s="64" t="str">
        <x:v>P1</x:v>
      </x:c>
      <x:c r="L575" s="28" t="str">
        <x:v>S03; S12; S21; S22</x:v>
      </x:c>
      <x:c r="M575" s="28" t="str">
        <x:v>https://www.science.org/doi/10.1126/science.adk9227</x:v>
      </x:c>
    </x:row>
    <x:row r="576" ht="48" customHeight="1">
      <x:c r="A576" s="64" t="str">
        <x:v>T0575</x:v>
      </x:c>
      <x:c r="B576" s="28" t="str">
        <x:v>实验设计与闭环优化</x:v>
      </x:c>
      <x:c r="C576" s="28" t="str">
        <x:v>多目标、约束、安全、成本与多保真优化</x:v>
      </x:c>
      <x:c r="D576" s="28" t="str">
        <x:v>约束、安全与风险</x:v>
      </x:c>
      <x:c r="E576" s="28" t="str">
        <x:v>多目标与安全优化</x:v>
      </x:c>
      <x:c r="F576" s="28" t="str">
        <x:v>SafeOpt</x:v>
      </x:c>
      <x:c r="G576" s="28" t="str">
        <x:v>用“SafeOpt”同时处理性能、可行性、安全、成本、时间和保真度，输出可解释的折中解与安全边界。</x:v>
      </x:c>
      <x:c r="H576" s="28" t="str">
        <x:v>Pareto、可行概率、风险和成本是否被共同量化且可审计？</x:v>
      </x:c>
      <x:c r="I576" s="28" t="str">
        <x:v>超体积；可行率；安全违规率；单位改进成本；保真度节省；鲁棒性</x:v>
      </x:c>
      <x:c r="J576" s="64" t="str">
        <x:v>工程化关键</x:v>
      </x:c>
      <x:c r="K576" s="64" t="str">
        <x:v>P1</x:v>
      </x:c>
      <x:c r="L576" s="28" t="str">
        <x:v>S03; S12; S21; S22</x:v>
      </x:c>
      <x:c r="M576" s="28" t="str">
        <x:v>https://proceedings.neurips.cc/paper_files/paper/2020/file/f5b1b89d98b7286673128a5fb112cb9a-Paper.pdf</x:v>
      </x:c>
    </x:row>
    <x:row r="577" ht="48" customHeight="1">
      <x:c r="A577" s="64" t="str">
        <x:v>T0576</x:v>
      </x:c>
      <x:c r="B577" s="28" t="str">
        <x:v>实验设计与闭环优化</x:v>
      </x:c>
      <x:c r="C577" s="28" t="str">
        <x:v>多目标、约束、安全、成本与多保真优化</x:v>
      </x:c>
      <x:c r="D577" s="28" t="str">
        <x:v>约束、安全与风险</x:v>
      </x:c>
      <x:c r="E577" s="28" t="str">
        <x:v>多目标与安全优化</x:v>
      </x:c>
      <x:c r="F577" s="28" t="str">
        <x:v>CVaR风险</x:v>
      </x:c>
      <x:c r="G577" s="28" t="str">
        <x:v>用“CVaR风险”同时处理性能、可行性、安全、成本、时间和保真度，输出可解释的折中解与安全边界。</x:v>
      </x:c>
      <x:c r="H577" s="28" t="str">
        <x:v>Pareto、可行概率、风险和成本是否被共同量化且可审计？</x:v>
      </x:c>
      <x:c r="I577" s="28" t="str">
        <x:v>超体积；可行率；安全违规率；单位改进成本；保真度节省；鲁棒性</x:v>
      </x:c>
      <x:c r="J577" s="64" t="str">
        <x:v>工程化关键</x:v>
      </x:c>
      <x:c r="K577" s="64" t="str">
        <x:v>P1</x:v>
      </x:c>
      <x:c r="L577" s="28" t="str">
        <x:v>S03; S12; S21; S22</x:v>
      </x:c>
      <x:c r="M577" s="28" t="str">
        <x:v>https://www.itl.nist.gov/div898/handbook/</x:v>
      </x:c>
    </x:row>
    <x:row r="578" ht="48" customHeight="1">
      <x:c r="A578" s="64" t="str">
        <x:v>T0577</x:v>
      </x:c>
      <x:c r="B578" s="28" t="str">
        <x:v>实验设计与闭环优化</x:v>
      </x:c>
      <x:c r="C578" s="28" t="str">
        <x:v>多目标、约束、安全、成本与多保真优化</x:v>
      </x:c>
      <x:c r="D578" s="28" t="str">
        <x:v>约束、安全与风险</x:v>
      </x:c>
      <x:c r="E578" s="28" t="str">
        <x:v>多目标与安全优化</x:v>
      </x:c>
      <x:c r="F578" s="28" t="str">
        <x:v>鲁棒贝叶斯优化</x:v>
      </x:c>
      <x:c r="G578" s="28" t="str">
        <x:v>用“鲁棒贝叶斯优化”同时处理性能、可行性、安全、成本、时间和保真度，输出可解释的折中解与安全边界。</x:v>
      </x:c>
      <x:c r="H578" s="28" t="str">
        <x:v>Pareto、可行概率、风险和成本是否被共同量化且可审计？</x:v>
      </x:c>
      <x:c r="I578" s="28" t="str">
        <x:v>超体积；可行率；安全违规率；单位改进成本；保真度节省；鲁棒性</x:v>
      </x:c>
      <x:c r="J578" s="64" t="str">
        <x:v>工程化关键</x:v>
      </x:c>
      <x:c r="K578" s="64" t="str">
        <x:v>P1</x:v>
      </x:c>
      <x:c r="L578" s="28" t="str">
        <x:v>S03; S12; S21; S22</x:v>
      </x:c>
      <x:c r="M578" s="28" t="str">
        <x:v>https://www.nature.com/articles/s41467-024-45569-5</x:v>
      </x:c>
    </x:row>
    <x:row r="579" ht="48" customHeight="1">
      <x:c r="A579" s="64" t="str">
        <x:v>T0578</x:v>
      </x:c>
      <x:c r="B579" s="28" t="str">
        <x:v>实验设计与闭环优化</x:v>
      </x:c>
      <x:c r="C579" s="28" t="str">
        <x:v>多目标、约束、安全、成本与多保真优化</x:v>
      </x:c>
      <x:c r="D579" s="28" t="str">
        <x:v>约束、安全与风险</x:v>
      </x:c>
      <x:c r="E579" s="28" t="str">
        <x:v>多目标与安全优化</x:v>
      </x:c>
      <x:c r="F579" s="28" t="str">
        <x:v>最坏情形优化</x:v>
      </x:c>
      <x:c r="G579" s="28" t="str">
        <x:v>用“最坏情形优化”同时处理性能、可行性、安全、成本、时间和保真度，输出可解释的折中解与安全边界。</x:v>
      </x:c>
      <x:c r="H579" s="28" t="str">
        <x:v>Pareto、可行概率、风险和成本是否被共同量化且可审计？</x:v>
      </x:c>
      <x:c r="I579" s="28" t="str">
        <x:v>超体积；可行率；安全违规率；单位改进成本；保真度节省；鲁棒性</x:v>
      </x:c>
      <x:c r="J579" s="64" t="str">
        <x:v>工程化关键</x:v>
      </x:c>
      <x:c r="K579" s="64" t="str">
        <x:v>P1</x:v>
      </x:c>
      <x:c r="L579" s="28" t="str">
        <x:v>S03; S12; S21; S22</x:v>
      </x:c>
      <x:c r="M579" s="28" t="str">
        <x:v>https://www.science.org/doi/10.1126/science.adk9227</x:v>
      </x:c>
    </x:row>
    <x:row r="580" ht="48" customHeight="1">
      <x:c r="A580" s="64" t="str">
        <x:v>T0579</x:v>
      </x:c>
      <x:c r="B580" s="28" t="str">
        <x:v>实验设计与闭环优化</x:v>
      </x:c>
      <x:c r="C580" s="28" t="str">
        <x:v>多目标、约束、安全、成本与多保真优化</x:v>
      </x:c>
      <x:c r="D580" s="28" t="str">
        <x:v>约束、安全与风险</x:v>
      </x:c>
      <x:c r="E580" s="28" t="str">
        <x:v>多目标与安全优化</x:v>
      </x:c>
      <x:c r="F580" s="28" t="str">
        <x:v>分布鲁棒优化</x:v>
      </x:c>
      <x:c r="G580" s="28" t="str">
        <x:v>用“分布鲁棒优化”同时处理性能、可行性、安全、成本、时间和保真度，输出可解释的折中解与安全边界。</x:v>
      </x:c>
      <x:c r="H580" s="28" t="str">
        <x:v>Pareto、可行概率、风险和成本是否被共同量化且可审计？</x:v>
      </x:c>
      <x:c r="I580" s="28" t="str">
        <x:v>超体积；可行率；安全违规率；单位改进成本；保真度节省；鲁棒性</x:v>
      </x:c>
      <x:c r="J580" s="64" t="str">
        <x:v>工程化关键</x:v>
      </x:c>
      <x:c r="K580" s="64" t="str">
        <x:v>P1</x:v>
      </x:c>
      <x:c r="L580" s="28" t="str">
        <x:v>S03; S12; S21; S22</x:v>
      </x:c>
      <x:c r="M580" s="28" t="str">
        <x:v>https://proceedings.neurips.cc/paper_files/paper/2020/file/f5b1b89d98b7286673128a5fb112cb9a-Paper.pdf</x:v>
      </x:c>
    </x:row>
    <x:row r="581" ht="48" customHeight="1">
      <x:c r="A581" s="64" t="str">
        <x:v>T0580</x:v>
      </x:c>
      <x:c r="B581" s="28" t="str">
        <x:v>实验设计与闭环优化</x:v>
      </x:c>
      <x:c r="C581" s="28" t="str">
        <x:v>多目标、约束、安全、成本与多保真优化</x:v>
      </x:c>
      <x:c r="D581" s="28" t="str">
        <x:v>约束、安全与风险</x:v>
      </x:c>
      <x:c r="E581" s="28" t="str">
        <x:v>多目标与安全优化</x:v>
      </x:c>
      <x:c r="F581" s="28" t="str">
        <x:v>成本感知采集</x:v>
      </x:c>
      <x:c r="G581" s="28" t="str">
        <x:v>用“成本感知采集”同时处理性能、可行性、安全、成本、时间和保真度，输出可解释的折中解与安全边界。</x:v>
      </x:c>
      <x:c r="H581" s="28" t="str">
        <x:v>Pareto、可行概率、风险和成本是否被共同量化且可审计？</x:v>
      </x:c>
      <x:c r="I581" s="28" t="str">
        <x:v>超体积；可行率；安全违规率；单位改进成本；保真度节省；鲁棒性</x:v>
      </x:c>
      <x:c r="J581" s="64" t="str">
        <x:v>工程化关键</x:v>
      </x:c>
      <x:c r="K581" s="64" t="str">
        <x:v>P1</x:v>
      </x:c>
      <x:c r="L581" s="28" t="str">
        <x:v>S03; S12; S21; S22</x:v>
      </x:c>
      <x:c r="M581" s="28" t="str">
        <x:v>https://www.itl.nist.gov/div898/handbook/</x:v>
      </x:c>
    </x:row>
    <x:row r="582" ht="48" customHeight="1">
      <x:c r="A582" s="64" t="str">
        <x:v>T0581</x:v>
      </x:c>
      <x:c r="B582" s="28" t="str">
        <x:v>实验设计与闭环优化</x:v>
      </x:c>
      <x:c r="C582" s="28" t="str">
        <x:v>多目标、约束、安全、成本与多保真优化</x:v>
      </x:c>
      <x:c r="D582" s="28" t="str">
        <x:v>成本、多保真与资源</x:v>
      </x:c>
      <x:c r="E582" s="28" t="str">
        <x:v>多目标与安全优化</x:v>
      </x:c>
      <x:c r="F582" s="28" t="str">
        <x:v>预算约束优化</x:v>
      </x:c>
      <x:c r="G582" s="28" t="str">
        <x:v>用“预算约束优化”同时处理性能、可行性、安全、成本、时间和保真度，输出可解释的折中解与安全边界。</x:v>
      </x:c>
      <x:c r="H582" s="28" t="str">
        <x:v>Pareto、可行概率、风险和成本是否被共同量化且可审计？</x:v>
      </x:c>
      <x:c r="I582" s="28" t="str">
        <x:v>超体积；可行率；安全违规率；单位改进成本；保真度节省；鲁棒性</x:v>
      </x:c>
      <x:c r="J582" s="64" t="str">
        <x:v>工程化关键</x:v>
      </x:c>
      <x:c r="K582" s="64" t="str">
        <x:v>P1</x:v>
      </x:c>
      <x:c r="L582" s="28" t="str">
        <x:v>S03; S12; S21; S22</x:v>
      </x:c>
      <x:c r="M582" s="28" t="str">
        <x:v>https://www.nature.com/articles/s41467-024-45569-5</x:v>
      </x:c>
    </x:row>
    <x:row r="583" ht="48" customHeight="1">
      <x:c r="A583" s="64" t="str">
        <x:v>T0582</x:v>
      </x:c>
      <x:c r="B583" s="28" t="str">
        <x:v>实验设计与闭环优化</x:v>
      </x:c>
      <x:c r="C583" s="28" t="str">
        <x:v>多目标、约束、安全、成本与多保真优化</x:v>
      </x:c>
      <x:c r="D583" s="28" t="str">
        <x:v>成本、多保真与资源</x:v>
      </x:c>
      <x:c r="E583" s="28" t="str">
        <x:v>多目标与安全优化</x:v>
      </x:c>
      <x:c r="F583" s="28" t="str">
        <x:v>多保真优化</x:v>
      </x:c>
      <x:c r="G583" s="28" t="str">
        <x:v>用“多保真优化”同时处理性能、可行性、安全、成本、时间和保真度，输出可解释的折中解与安全边界。</x:v>
      </x:c>
      <x:c r="H583" s="28" t="str">
        <x:v>Pareto、可行概率、风险和成本是否被共同量化且可审计？</x:v>
      </x:c>
      <x:c r="I583" s="28" t="str">
        <x:v>超体积；可行率；安全违规率；单位改进成本；保真度节省；鲁棒性</x:v>
      </x:c>
      <x:c r="J583" s="64" t="str">
        <x:v>工程化关键</x:v>
      </x:c>
      <x:c r="K583" s="64" t="str">
        <x:v>P1</x:v>
      </x:c>
      <x:c r="L583" s="28" t="str">
        <x:v>S03; S12; S21; S22</x:v>
      </x:c>
      <x:c r="M583" s="28" t="str">
        <x:v>https://www.science.org/doi/10.1126/science.adk9227</x:v>
      </x:c>
    </x:row>
    <x:row r="584" ht="48" customHeight="1">
      <x:c r="A584" s="64" t="str">
        <x:v>T0583</x:v>
      </x:c>
      <x:c r="B584" s="28" t="str">
        <x:v>实验设计与闭环优化</x:v>
      </x:c>
      <x:c r="C584" s="28" t="str">
        <x:v>多目标、约束、安全、成本与多保真优化</x:v>
      </x:c>
      <x:c r="D584" s="28" t="str">
        <x:v>成本、多保真与资源</x:v>
      </x:c>
      <x:c r="E584" s="28" t="str">
        <x:v>多目标与安全优化</x:v>
      </x:c>
      <x:c r="F584" s="28" t="str">
        <x:v>协同克里金</x:v>
      </x:c>
      <x:c r="G584" s="28" t="str">
        <x:v>用“协同克里金”同时处理性能、可行性、安全、成本、时间和保真度，输出可解释的折中解与安全边界。</x:v>
      </x:c>
      <x:c r="H584" s="28" t="str">
        <x:v>Pareto、可行概率、风险和成本是否被共同量化且可审计？</x:v>
      </x:c>
      <x:c r="I584" s="28" t="str">
        <x:v>超体积；可行率；安全违规率；单位改进成本；保真度节省；鲁棒性</x:v>
      </x:c>
      <x:c r="J584" s="64" t="str">
        <x:v>工程化关键</x:v>
      </x:c>
      <x:c r="K584" s="64" t="str">
        <x:v>P1</x:v>
      </x:c>
      <x:c r="L584" s="28" t="str">
        <x:v>S03; S12; S21; S22</x:v>
      </x:c>
      <x:c r="M584" s="28" t="str">
        <x:v>https://proceedings.neurips.cc/paper_files/paper/2020/file/f5b1b89d98b7286673128a5fb112cb9a-Paper.pdf</x:v>
      </x:c>
    </x:row>
    <x:row r="585" ht="48" customHeight="1">
      <x:c r="A585" s="64" t="str">
        <x:v>T0584</x:v>
      </x:c>
      <x:c r="B585" s="28" t="str">
        <x:v>实验设计与闭环优化</x:v>
      </x:c>
      <x:c r="C585" s="28" t="str">
        <x:v>多目标、约束、安全、成本与多保真优化</x:v>
      </x:c>
      <x:c r="D585" s="28" t="str">
        <x:v>成本、多保真与资源</x:v>
      </x:c>
      <x:c r="E585" s="28" t="str">
        <x:v>多目标与安全优化</x:v>
      </x:c>
      <x:c r="F585" s="28" t="str">
        <x:v>多保真知识梯度</x:v>
      </x:c>
      <x:c r="G585" s="28" t="str">
        <x:v>用“多保真知识梯度”同时处理性能、可行性、安全、成本、时间和保真度，输出可解释的折中解与安全边界。</x:v>
      </x:c>
      <x:c r="H585" s="28" t="str">
        <x:v>Pareto、可行概率、风险和成本是否被共同量化且可审计？</x:v>
      </x:c>
      <x:c r="I585" s="28" t="str">
        <x:v>超体积；可行率；安全违规率；单位改进成本；保真度节省；鲁棒性</x:v>
      </x:c>
      <x:c r="J585" s="64" t="str">
        <x:v>工程化关键</x:v>
      </x:c>
      <x:c r="K585" s="64" t="str">
        <x:v>P1</x:v>
      </x:c>
      <x:c r="L585" s="28" t="str">
        <x:v>S03; S12; S21; S22</x:v>
      </x:c>
      <x:c r="M585" s="28" t="str">
        <x:v>https://www.itl.nist.gov/div898/handbook/</x:v>
      </x:c>
    </x:row>
    <x:row r="586" ht="48" customHeight="1">
      <x:c r="A586" s="64" t="str">
        <x:v>T0585</x:v>
      </x:c>
      <x:c r="B586" s="28" t="str">
        <x:v>实验设计与闭环优化</x:v>
      </x:c>
      <x:c r="C586" s="28" t="str">
        <x:v>多目标、约束、安全、成本与多保真优化</x:v>
      </x:c>
      <x:c r="D586" s="28" t="str">
        <x:v>成本、多保真与资源</x:v>
      </x:c>
      <x:c r="E586" s="28" t="str">
        <x:v>多目标与安全优化</x:v>
      </x:c>
      <x:c r="F586" s="28" t="str">
        <x:v>资源感知优化</x:v>
      </x:c>
      <x:c r="G586" s="28" t="str">
        <x:v>用“资源感知优化”同时处理性能、可行性、安全、成本、时间和保真度，输出可解释的折中解与安全边界。</x:v>
      </x:c>
      <x:c r="H586" s="28" t="str">
        <x:v>Pareto、可行概率、风险和成本是否被共同量化且可审计？</x:v>
      </x:c>
      <x:c r="I586" s="28" t="str">
        <x:v>超体积；可行率；安全违规率；单位改进成本；保真度节省；鲁棒性</x:v>
      </x:c>
      <x:c r="J586" s="64" t="str">
        <x:v>工程化关键</x:v>
      </x:c>
      <x:c r="K586" s="64" t="str">
        <x:v>P1</x:v>
      </x:c>
      <x:c r="L586" s="28" t="str">
        <x:v>S03; S12; S21; S22</x:v>
      </x:c>
      <x:c r="M586" s="28" t="str">
        <x:v>https://www.nature.com/articles/s41467-024-45569-5</x:v>
      </x:c>
    </x:row>
    <x:row r="587" ht="48" customHeight="1">
      <x:c r="A587" s="64" t="str">
        <x:v>T0586</x:v>
      </x:c>
      <x:c r="B587" s="28" t="str">
        <x:v>实验设计与闭环优化</x:v>
      </x:c>
      <x:c r="C587" s="28" t="str">
        <x:v>多目标、约束、安全、成本与多保真优化</x:v>
      </x:c>
      <x:c r="D587" s="28" t="str">
        <x:v>成本、多保真与资源</x:v>
      </x:c>
      <x:c r="E587" s="28" t="str">
        <x:v>多目标与安全优化</x:v>
      </x:c>
      <x:c r="F587" s="28" t="str">
        <x:v>时间感知优化</x:v>
      </x:c>
      <x:c r="G587" s="28" t="str">
        <x:v>用“时间感知优化”同时处理性能、可行性、安全、成本、时间和保真度，输出可解释的折中解与安全边界。</x:v>
      </x:c>
      <x:c r="H587" s="28" t="str">
        <x:v>Pareto、可行概率、风险和成本是否被共同量化且可审计？</x:v>
      </x:c>
      <x:c r="I587" s="28" t="str">
        <x:v>超体积；可行率；安全违规率；单位改进成本；保真度节省；鲁棒性</x:v>
      </x:c>
      <x:c r="J587" s="64" t="str">
        <x:v>工程化关键</x:v>
      </x:c>
      <x:c r="K587" s="64" t="str">
        <x:v>P1</x:v>
      </x:c>
      <x:c r="L587" s="28" t="str">
        <x:v>S03; S12; S21; S22</x:v>
      </x:c>
      <x:c r="M587" s="28" t="str">
        <x:v>https://www.science.org/doi/10.1126/science.adk9227</x:v>
      </x:c>
    </x:row>
    <x:row r="588" ht="48" customHeight="1">
      <x:c r="A588" s="64" t="str">
        <x:v>T0587</x:v>
      </x:c>
      <x:c r="B588" s="28" t="str">
        <x:v>实验设计与闭环优化</x:v>
      </x:c>
      <x:c r="C588" s="28" t="str">
        <x:v>多目标、约束、安全、成本与多保真优化</x:v>
      </x:c>
      <x:c r="D588" s="28" t="str">
        <x:v>成本、多保真与资源</x:v>
      </x:c>
      <x:c r="E588" s="28" t="str">
        <x:v>多目标与安全优化</x:v>
      </x:c>
      <x:c r="F588" s="28" t="str">
        <x:v>能耗感知优化</x:v>
      </x:c>
      <x:c r="G588" s="28" t="str">
        <x:v>用“能耗感知优化”同时处理性能、可行性、安全、成本、时间和保真度，输出可解释的折中解与安全边界。</x:v>
      </x:c>
      <x:c r="H588" s="28" t="str">
        <x:v>Pareto、可行概率、风险和成本是否被共同量化且可审计？</x:v>
      </x:c>
      <x:c r="I588" s="28" t="str">
        <x:v>超体积；可行率；安全违规率；单位改进成本；保真度节省；鲁棒性</x:v>
      </x:c>
      <x:c r="J588" s="64" t="str">
        <x:v>工程化关键</x:v>
      </x:c>
      <x:c r="K588" s="64" t="str">
        <x:v>P1</x:v>
      </x:c>
      <x:c r="L588" s="28" t="str">
        <x:v>S03; S12; S21; S22</x:v>
      </x:c>
      <x:c r="M588" s="28" t="str">
        <x:v>https://proceedings.neurips.cc/paper_files/paper/2020/file/f5b1b89d98b7286673128a5fb112cb9a-Paper.pdf</x:v>
      </x:c>
    </x:row>
    <x:row r="589" ht="48" customHeight="1">
      <x:c r="A589" s="64" t="str">
        <x:v>T0588</x:v>
      </x:c>
      <x:c r="B589" s="28" t="str">
        <x:v>实验设计与闭环优化</x:v>
      </x:c>
      <x:c r="C589" s="28" t="str">
        <x:v>多目标、约束、安全、成本与多保真优化</x:v>
      </x:c>
      <x:c r="D589" s="28" t="str">
        <x:v>成本、多保真与资源</x:v>
      </x:c>
      <x:c r="E589" s="28" t="str">
        <x:v>多目标与安全优化</x:v>
      </x:c>
      <x:c r="F589" s="28" t="str">
        <x:v>碳感知优化</x:v>
      </x:c>
      <x:c r="G589" s="28" t="str">
        <x:v>用“碳感知优化”同时处理性能、可行性、安全、成本、时间和保真度，输出可解释的折中解与安全边界。</x:v>
      </x:c>
      <x:c r="H589" s="28" t="str">
        <x:v>Pareto、可行概率、风险和成本是否被共同量化且可审计？</x:v>
      </x:c>
      <x:c r="I589" s="28" t="str">
        <x:v>超体积；可行率；安全违规率；单位改进成本；保真度节省；鲁棒性</x:v>
      </x:c>
      <x:c r="J589" s="64" t="str">
        <x:v>工程化关键</x:v>
      </x:c>
      <x:c r="K589" s="64" t="str">
        <x:v>P1</x:v>
      </x:c>
      <x:c r="L589" s="28" t="str">
        <x:v>S03; S12; S21; S22</x:v>
      </x:c>
      <x:c r="M589" s="28" t="str">
        <x:v>https://www.itl.nist.gov/div898/handbook/</x:v>
      </x:c>
    </x:row>
    <x:row r="590" ht="48" customHeight="1">
      <x:c r="A590" s="64" t="str">
        <x:v>T0589</x:v>
      </x:c>
      <x:c r="B590" s="28" t="str">
        <x:v>实验设计与闭环优化</x:v>
      </x:c>
      <x:c r="C590" s="28" t="str">
        <x:v>多目标、约束、安全、成本与多保真优化</x:v>
      </x:c>
      <x:c r="D590" s="28" t="str">
        <x:v>成本、多保真与资源</x:v>
      </x:c>
      <x:c r="E590" s="28" t="str">
        <x:v>多目标与安全优化</x:v>
      </x:c>
      <x:c r="F590" s="28" t="str">
        <x:v>批量资源约束</x:v>
      </x:c>
      <x:c r="G590" s="28" t="str">
        <x:v>用“批量资源约束”同时处理性能、可行性、安全、成本、时间和保真度，输出可解释的折中解与安全边界。</x:v>
      </x:c>
      <x:c r="H590" s="28" t="str">
        <x:v>Pareto、可行概率、风险和成本是否被共同量化且可审计？</x:v>
      </x:c>
      <x:c r="I590" s="28" t="str">
        <x:v>超体积；可行率；安全违规率；单位改进成本；保真度节省；鲁棒性</x:v>
      </x:c>
      <x:c r="J590" s="64" t="str">
        <x:v>进阶能力</x:v>
      </x:c>
      <x:c r="K590" s="64" t="str">
        <x:v>P2</x:v>
      </x:c>
      <x:c r="L590" s="28" t="str">
        <x:v>S03; S12; S21; S22</x:v>
      </x:c>
      <x:c r="M590" s="28" t="str">
        <x:v>https://www.nature.com/articles/s41467-024-45569-5</x:v>
      </x:c>
    </x:row>
    <x:row r="591" ht="48" customHeight="1">
      <x:c r="A591" s="64" t="str">
        <x:v>T0590</x:v>
      </x:c>
      <x:c r="B591" s="28" t="str">
        <x:v>实验设计与闭环优化</x:v>
      </x:c>
      <x:c r="C591" s="28" t="str">
        <x:v>多目标、约束、安全、成本与多保真优化</x:v>
      </x:c>
      <x:c r="D591" s="28" t="str">
        <x:v>成本、多保真与资源</x:v>
      </x:c>
      <x:c r="E591" s="28" t="str">
        <x:v>多目标与安全优化</x:v>
      </x:c>
      <x:c r="F591" s="28" t="str">
        <x:v>解耦测量</x:v>
      </x:c>
      <x:c r="G591" s="28" t="str">
        <x:v>用“解耦测量”同时处理性能、可行性、安全、成本、时间和保真度，输出可解释的折中解与安全边界。</x:v>
      </x:c>
      <x:c r="H591" s="28" t="str">
        <x:v>Pareto、可行概率、风险和成本是否被共同量化且可审计？</x:v>
      </x:c>
      <x:c r="I591" s="28" t="str">
        <x:v>超体积；可行率；安全违规率；单位改进成本；保真度节省；鲁棒性</x:v>
      </x:c>
      <x:c r="J591" s="64" t="str">
        <x:v>进阶能力</x:v>
      </x:c>
      <x:c r="K591" s="64" t="str">
        <x:v>P2</x:v>
      </x:c>
      <x:c r="L591" s="28" t="str">
        <x:v>S03; S12; S21; S22</x:v>
      </x:c>
      <x:c r="M591" s="28" t="str">
        <x:v>https://www.science.org/doi/10.1126/science.adk9227</x:v>
      </x:c>
    </x:row>
    <x:row r="592" ht="48" customHeight="1">
      <x:c r="A592" s="64" t="str">
        <x:v>T0591</x:v>
      </x:c>
      <x:c r="B592" s="28" t="str">
        <x:v>实验设计与闭环优化</x:v>
      </x:c>
      <x:c r="C592" s="28" t="str">
        <x:v>多目标、约束、安全、成本与多保真优化</x:v>
      </x:c>
      <x:c r="D592" s="28" t="str">
        <x:v>动态、失败与过程窗口</x:v>
      </x:c>
      <x:c r="E592" s="28" t="str">
        <x:v>多目标与安全优化</x:v>
      </x:c>
      <x:c r="F592" s="28" t="str">
        <x:v>早停策略</x:v>
      </x:c>
      <x:c r="G592" s="28" t="str">
        <x:v>用“早停策略”同时处理性能、可行性、安全、成本、时间和保真度，输出可解释的折中解与安全边界。</x:v>
      </x:c>
      <x:c r="H592" s="28" t="str">
        <x:v>Pareto、可行概率、风险和成本是否被共同量化且可审计？</x:v>
      </x:c>
      <x:c r="I592" s="28" t="str">
        <x:v>超体积；可行率；安全违规率；单位改进成本；保真度节省；鲁棒性</x:v>
      </x:c>
      <x:c r="J592" s="64" t="str">
        <x:v>进阶能力</x:v>
      </x:c>
      <x:c r="K592" s="64" t="str">
        <x:v>P2</x:v>
      </x:c>
      <x:c r="L592" s="28" t="str">
        <x:v>S03; S12; S21; S22</x:v>
      </x:c>
      <x:c r="M592" s="28" t="str">
        <x:v>https://proceedings.neurips.cc/paper_files/paper/2020/file/f5b1b89d98b7286673128a5fb112cb9a-Paper.pdf</x:v>
      </x:c>
    </x:row>
    <x:row r="593" ht="48" customHeight="1">
      <x:c r="A593" s="64" t="str">
        <x:v>T0592</x:v>
      </x:c>
      <x:c r="B593" s="28" t="str">
        <x:v>实验设计与闭环优化</x:v>
      </x:c>
      <x:c r="C593" s="28" t="str">
        <x:v>多目标、约束、安全、成本与多保真优化</x:v>
      </x:c>
      <x:c r="D593" s="28" t="str">
        <x:v>动态、失败与过程窗口</x:v>
      </x:c>
      <x:c r="E593" s="28" t="str">
        <x:v>多目标与安全优化</x:v>
      </x:c>
      <x:c r="F593" s="28" t="str">
        <x:v>多任务贝叶斯优化</x:v>
      </x:c>
      <x:c r="G593" s="28" t="str">
        <x:v>用“多任务贝叶斯优化”同时处理性能、可行性、安全、成本、时间和保真度，输出可解释的折中解与安全边界。</x:v>
      </x:c>
      <x:c r="H593" s="28" t="str">
        <x:v>Pareto、可行概率、风险和成本是否被共同量化且可审计？</x:v>
      </x:c>
      <x:c r="I593" s="28" t="str">
        <x:v>超体积；可行率；安全违规率；单位改进成本；保真度节省；鲁棒性</x:v>
      </x:c>
      <x:c r="J593" s="64" t="str">
        <x:v>进阶能力</x:v>
      </x:c>
      <x:c r="K593" s="64" t="str">
        <x:v>P2</x:v>
      </x:c>
      <x:c r="L593" s="28" t="str">
        <x:v>S03; S12; S21; S22</x:v>
      </x:c>
      <x:c r="M593" s="28" t="str">
        <x:v>https://www.itl.nist.gov/div898/handbook/</x:v>
      </x:c>
    </x:row>
    <x:row r="594" ht="48" customHeight="1">
      <x:c r="A594" s="64" t="str">
        <x:v>T0593</x:v>
      </x:c>
      <x:c r="B594" s="28" t="str">
        <x:v>实验设计与闭环优化</x:v>
      </x:c>
      <x:c r="C594" s="28" t="str">
        <x:v>多目标、约束、安全、成本与多保真优化</x:v>
      </x:c>
      <x:c r="D594" s="28" t="str">
        <x:v>动态、失败与过程窗口</x:v>
      </x:c>
      <x:c r="E594" s="28" t="str">
        <x:v>多目标与安全优化</x:v>
      </x:c>
      <x:c r="F594" s="28" t="str">
        <x:v>上下文贝叶斯优化</x:v>
      </x:c>
      <x:c r="G594" s="28" t="str">
        <x:v>用“上下文贝叶斯优化”同时处理性能、可行性、安全、成本、时间和保真度，输出可解释的折中解与安全边界。</x:v>
      </x:c>
      <x:c r="H594" s="28" t="str">
        <x:v>Pareto、可行概率、风险和成本是否被共同量化且可审计？</x:v>
      </x:c>
      <x:c r="I594" s="28" t="str">
        <x:v>超体积；可行率；安全违规率；单位改进成本；保真度节省；鲁棒性</x:v>
      </x:c>
      <x:c r="J594" s="64" t="str">
        <x:v>进阶能力</x:v>
      </x:c>
      <x:c r="K594" s="64" t="str">
        <x:v>P2</x:v>
      </x:c>
      <x:c r="L594" s="28" t="str">
        <x:v>S03; S12; S21; S22</x:v>
      </x:c>
      <x:c r="M594" s="28" t="str">
        <x:v>https://www.nature.com/articles/s41467-024-45569-5</x:v>
      </x:c>
    </x:row>
    <x:row r="595" ht="48" customHeight="1">
      <x:c r="A595" s="64" t="str">
        <x:v>T0594</x:v>
      </x:c>
      <x:c r="B595" s="28" t="str">
        <x:v>实验设计与闭环优化</x:v>
      </x:c>
      <x:c r="C595" s="28" t="str">
        <x:v>多目标、约束、安全、成本与多保真优化</x:v>
      </x:c>
      <x:c r="D595" s="28" t="str">
        <x:v>动态、失败与过程窗口</x:v>
      </x:c>
      <x:c r="E595" s="28" t="str">
        <x:v>多目标与安全优化</x:v>
      </x:c>
      <x:c r="F595" s="28" t="str">
        <x:v>动态贝叶斯优化</x:v>
      </x:c>
      <x:c r="G595" s="28" t="str">
        <x:v>用“动态贝叶斯优化”同时处理性能、可行性、安全、成本、时间和保真度，输出可解释的折中解与安全边界。</x:v>
      </x:c>
      <x:c r="H595" s="28" t="str">
        <x:v>Pareto、可行概率、风险和成本是否被共同量化且可审计？</x:v>
      </x:c>
      <x:c r="I595" s="28" t="str">
        <x:v>超体积；可行率；安全违规率；单位改进成本；保真度节省；鲁棒性</x:v>
      </x:c>
      <x:c r="J595" s="64" t="str">
        <x:v>进阶能力</x:v>
      </x:c>
      <x:c r="K595" s="64" t="str">
        <x:v>P2</x:v>
      </x:c>
      <x:c r="L595" s="28" t="str">
        <x:v>S03; S12; S21; S22</x:v>
      </x:c>
      <x:c r="M595" s="28" t="str">
        <x:v>https://www.science.org/doi/10.1126/science.adk9227</x:v>
      </x:c>
    </x:row>
    <x:row r="596" ht="48" customHeight="1">
      <x:c r="A596" s="64" t="str">
        <x:v>T0595</x:v>
      </x:c>
      <x:c r="B596" s="28" t="str">
        <x:v>实验设计与闭环优化</x:v>
      </x:c>
      <x:c r="C596" s="28" t="str">
        <x:v>多目标、约束、安全、成本与多保真优化</x:v>
      </x:c>
      <x:c r="D596" s="28" t="str">
        <x:v>动态、失败与过程窗口</x:v>
      </x:c>
      <x:c r="E596" s="28" t="str">
        <x:v>多目标与安全优化</x:v>
      </x:c>
      <x:c r="F596" s="28" t="str">
        <x:v>非平稳建模</x:v>
      </x:c>
      <x:c r="G596" s="28" t="str">
        <x:v>用“非平稳建模”同时处理性能、可行性、安全、成本、时间和保真度，输出可解释的折中解与安全边界。</x:v>
      </x:c>
      <x:c r="H596" s="28" t="str">
        <x:v>Pareto、可行概率、风险和成本是否被共同量化且可审计？</x:v>
      </x:c>
      <x:c r="I596" s="28" t="str">
        <x:v>超体积；可行率；安全违规率；单位改进成本；保真度节省；鲁棒性</x:v>
      </x:c>
      <x:c r="J596" s="64" t="str">
        <x:v>进阶能力</x:v>
      </x:c>
      <x:c r="K596" s="64" t="str">
        <x:v>P2</x:v>
      </x:c>
      <x:c r="L596" s="28" t="str">
        <x:v>S03; S12; S21; S22</x:v>
      </x:c>
      <x:c r="M596" s="28" t="str">
        <x:v>https://proceedings.neurips.cc/paper_files/paper/2020/file/f5b1b89d98b7286673128a5fb112cb9a-Paper.pdf</x:v>
      </x:c>
    </x:row>
    <x:row r="597" ht="48" customHeight="1">
      <x:c r="A597" s="64" t="str">
        <x:v>T0596</x:v>
      </x:c>
      <x:c r="B597" s="28" t="str">
        <x:v>实验设计与闭环优化</x:v>
      </x:c>
      <x:c r="C597" s="28" t="str">
        <x:v>多目标、约束、安全、成本与多保真优化</x:v>
      </x:c>
      <x:c r="D597" s="28" t="str">
        <x:v>动态、失败与过程窗口</x:v>
      </x:c>
      <x:c r="E597" s="28" t="str">
        <x:v>多目标与安全优化</x:v>
      </x:c>
      <x:c r="F597" s="28" t="str">
        <x:v>漂移感知</x:v>
      </x:c>
      <x:c r="G597" s="28" t="str">
        <x:v>用“漂移感知”同时处理性能、可行性、安全、成本、时间和保真度，输出可解释的折中解与安全边界。</x:v>
      </x:c>
      <x:c r="H597" s="28" t="str">
        <x:v>Pareto、可行概率、风险和成本是否被共同量化且可审计？</x:v>
      </x:c>
      <x:c r="I597" s="28" t="str">
        <x:v>超体积；可行率；安全违规率；单位改进成本；保真度节省；鲁棒性</x:v>
      </x:c>
      <x:c r="J597" s="64" t="str">
        <x:v>进阶能力</x:v>
      </x:c>
      <x:c r="K597" s="64" t="str">
        <x:v>P2</x:v>
      </x:c>
      <x:c r="L597" s="28" t="str">
        <x:v>S03; S12; S21; S22</x:v>
      </x:c>
      <x:c r="M597" s="28" t="str">
        <x:v>https://www.itl.nist.gov/div898/handbook/</x:v>
      </x:c>
    </x:row>
    <x:row r="598" ht="48" customHeight="1">
      <x:c r="A598" s="64" t="str">
        <x:v>T0597</x:v>
      </x:c>
      <x:c r="B598" s="28" t="str">
        <x:v>实验设计与闭环优化</x:v>
      </x:c>
      <x:c r="C598" s="28" t="str">
        <x:v>多目标、约束、安全、成本与多保真优化</x:v>
      </x:c>
      <x:c r="D598" s="28" t="str">
        <x:v>动态、失败与过程窗口</x:v>
      </x:c>
      <x:c r="E598" s="28" t="str">
        <x:v>多目标与安全优化</x:v>
      </x:c>
      <x:c r="F598" s="28" t="str">
        <x:v>延迟反馈</x:v>
      </x:c>
      <x:c r="G598" s="28" t="str">
        <x:v>用“延迟反馈”同时处理性能、可行性、安全、成本、时间和保真度，输出可解释的折中解与安全边界。</x:v>
      </x:c>
      <x:c r="H598" s="28" t="str">
        <x:v>Pareto、可行概率、风险和成本是否被共同量化且可审计？</x:v>
      </x:c>
      <x:c r="I598" s="28" t="str">
        <x:v>超体积；可行率；安全违规率；单位改进成本；保真度节省；鲁棒性</x:v>
      </x:c>
      <x:c r="J598" s="64" t="str">
        <x:v>前沿能力</x:v>
      </x:c>
      <x:c r="K598" s="64" t="str">
        <x:v>P2</x:v>
      </x:c>
      <x:c r="L598" s="28" t="str">
        <x:v>S03; S12; S21; S22</x:v>
      </x:c>
      <x:c r="M598" s="28" t="str">
        <x:v>https://www.nature.com/articles/s41467-024-45569-5</x:v>
      </x:c>
    </x:row>
    <x:row r="599" ht="48" customHeight="1">
      <x:c r="A599" s="64" t="str">
        <x:v>T0598</x:v>
      </x:c>
      <x:c r="B599" s="28" t="str">
        <x:v>实验设计与闭环优化</x:v>
      </x:c>
      <x:c r="C599" s="28" t="str">
        <x:v>多目标、约束、安全、成本与多保真优化</x:v>
      </x:c>
      <x:c r="D599" s="28" t="str">
        <x:v>动态、失败与过程窗口</x:v>
      </x:c>
      <x:c r="E599" s="28" t="str">
        <x:v>多目标与安全优化</x:v>
      </x:c>
      <x:c r="F599" s="28" t="str">
        <x:v>失败感知优化</x:v>
      </x:c>
      <x:c r="G599" s="28" t="str">
        <x:v>用“失败感知优化”同时处理性能、可行性、安全、成本、时间和保真度，输出可解释的折中解与安全边界。</x:v>
      </x:c>
      <x:c r="H599" s="28" t="str">
        <x:v>Pareto、可行概率、风险和成本是否被共同量化且可审计？</x:v>
      </x:c>
      <x:c r="I599" s="28" t="str">
        <x:v>超体积；可行率；安全违规率；单位改进成本；保真度节省；鲁棒性</x:v>
      </x:c>
      <x:c r="J599" s="64" t="str">
        <x:v>前沿能力</x:v>
      </x:c>
      <x:c r="K599" s="64" t="str">
        <x:v>P2</x:v>
      </x:c>
      <x:c r="L599" s="28" t="str">
        <x:v>S03; S12; S21; S22</x:v>
      </x:c>
      <x:c r="M599" s="28" t="str">
        <x:v>https://www.science.org/doi/10.1126/science.adk9227</x:v>
      </x:c>
    </x:row>
    <x:row r="600" ht="48" customHeight="1">
      <x:c r="A600" s="64" t="str">
        <x:v>T0599</x:v>
      </x:c>
      <x:c r="B600" s="28" t="str">
        <x:v>实验设计与闭环优化</x:v>
      </x:c>
      <x:c r="C600" s="28" t="str">
        <x:v>多目标、约束、安全、成本与多保真优化</x:v>
      </x:c>
      <x:c r="D600" s="28" t="str">
        <x:v>动态、失败与过程窗口</x:v>
      </x:c>
      <x:c r="E600" s="28" t="str">
        <x:v>多目标与安全优化</x:v>
      </x:c>
      <x:c r="F600" s="28" t="str">
        <x:v>过程窗口优化</x:v>
      </x:c>
      <x:c r="G600" s="28" t="str">
        <x:v>用“过程窗口优化”同时处理性能、可行性、安全、成本、时间和保真度，输出可解释的折中解与安全边界。</x:v>
      </x:c>
      <x:c r="H600" s="28" t="str">
        <x:v>Pareto、可行概率、风险和成本是否被共同量化且可审计？</x:v>
      </x:c>
      <x:c r="I600" s="28" t="str">
        <x:v>超体积；可行率；安全违规率；单位改进成本；保真度节省；鲁棒性</x:v>
      </x:c>
      <x:c r="J600" s="64" t="str">
        <x:v>前沿能力</x:v>
      </x:c>
      <x:c r="K600" s="64" t="str">
        <x:v>P2</x:v>
      </x:c>
      <x:c r="L600" s="28" t="str">
        <x:v>S03; S12; S21; S22</x:v>
      </x:c>
      <x:c r="M600" s="28" t="str">
        <x:v>https://proceedings.neurips.cc/paper_files/paper/2020/file/f5b1b89d98b7286673128a5fb112cb9a-Paper.pdf</x:v>
      </x:c>
    </x:row>
    <x:row r="601" ht="48" customHeight="1">
      <x:c r="A601" s="64" t="str">
        <x:v>T0600</x:v>
      </x:c>
      <x:c r="B601" s="28" t="str">
        <x:v>实验设计与闭环优化</x:v>
      </x:c>
      <x:c r="C601" s="28" t="str">
        <x:v>多目标、约束、安全、成本与多保真优化</x:v>
      </x:c>
      <x:c r="D601" s="28" t="str">
        <x:v>动态、失败与过程窗口</x:v>
      </x:c>
      <x:c r="E601" s="28" t="str">
        <x:v>多目标与安全优化</x:v>
      </x:c>
      <x:c r="F601" s="28" t="str">
        <x:v>安全屏蔽器</x:v>
      </x:c>
      <x:c r="G601" s="28" t="str">
        <x:v>用“安全屏蔽器”同时处理性能、可行性、安全、成本、时间和保真度，输出可解释的折中解与安全边界。</x:v>
      </x:c>
      <x:c r="H601" s="28" t="str">
        <x:v>Pareto、可行概率、风险和成本是否被共同量化且可审计？</x:v>
      </x:c>
      <x:c r="I601" s="28" t="str">
        <x:v>超体积；可行率；安全违规率；单位改进成本；保真度节省；鲁棒性</x:v>
      </x:c>
      <x:c r="J601" s="64" t="str">
        <x:v>前沿能力</x:v>
      </x:c>
      <x:c r="K601" s="64" t="str">
        <x:v>P2</x:v>
      </x:c>
      <x:c r="L601" s="28" t="str">
        <x:v>S03; S12; S21; S22</x:v>
      </x:c>
      <x:c r="M601" s="28" t="str">
        <x:v>https://www.itl.nist.gov/div898/handbook/</x:v>
      </x:c>
    </x:row>
    <x:row r="602" ht="48" customHeight="1">
      <x:c r="A602" s="64" t="str">
        <x:v>T0601</x:v>
      </x:c>
      <x:c r="B602" s="28" t="str">
        <x:v>实验设计与闭环优化</x:v>
      </x:c>
      <x:c r="C602" s="28" t="str">
        <x:v>代理模型、不确定性与分布外识别</x:v>
      </x:c>
      <x:c r="D602" s="28" t="str">
        <x:v>不确定性建模</x:v>
      </x:c>
      <x:c r="E602" s="28" t="str">
        <x:v>不确定性与可信建模</x:v>
      </x:c>
      <x:c r="F602" s="28" t="str">
        <x:v>偶然不确定性</x:v>
      </x:c>
      <x:c r="G602" s="28" t="str">
        <x:v>围绕“偶然不确定性”区分模型不知道什么、何时超出适用域，并把不确定性传入实验选择与风险决策。</x:v>
      </x:c>
      <x:c r="H602" s="28" t="str">
        <x:v>置信度是否校准；遇到OOD与漂移时是否会拒绝或升级？</x:v>
      </x:c>
      <x:c r="I602" s="28" t="str">
        <x:v>覆盖率；区间宽度；ECE；OOD AUROC；拒绝后风险；漂移检测延迟</x:v>
      </x:c>
      <x:c r="J602" s="64" t="str">
        <x:v>基础能力</x:v>
      </x:c>
      <x:c r="K602" s="64" t="str">
        <x:v>P0</x:v>
      </x:c>
      <x:c r="L602" s="28" t="str">
        <x:v>S03; S21; S45</x:v>
      </x:c>
      <x:c r="M602" s="28" t="str">
        <x:v>https://www.nature.com/articles/s41467-024-45569-5</x:v>
      </x:c>
    </x:row>
    <x:row r="603" ht="48" customHeight="1">
      <x:c r="A603" s="64" t="str">
        <x:v>T0602</x:v>
      </x:c>
      <x:c r="B603" s="28" t="str">
        <x:v>实验设计与闭环优化</x:v>
      </x:c>
      <x:c r="C603" s="28" t="str">
        <x:v>代理模型、不确定性与分布外识别</x:v>
      </x:c>
      <x:c r="D603" s="28" t="str">
        <x:v>不确定性建模</x:v>
      </x:c>
      <x:c r="E603" s="28" t="str">
        <x:v>不确定性与可信建模</x:v>
      </x:c>
      <x:c r="F603" s="28" t="str">
        <x:v>认知不确定性</x:v>
      </x:c>
      <x:c r="G603" s="28" t="str">
        <x:v>围绕“认知不确定性”区分模型不知道什么、何时超出适用域，并把不确定性传入实验选择与风险决策。</x:v>
      </x:c>
      <x:c r="H603" s="28" t="str">
        <x:v>置信度是否校准；遇到OOD与漂移时是否会拒绝或升级？</x:v>
      </x:c>
      <x:c r="I603" s="28" t="str">
        <x:v>覆盖率；区间宽度；ECE；OOD AUROC；拒绝后风险；漂移检测延迟</x:v>
      </x:c>
      <x:c r="J603" s="64" t="str">
        <x:v>基础能力</x:v>
      </x:c>
      <x:c r="K603" s="64" t="str">
        <x:v>P0</x:v>
      </x:c>
      <x:c r="L603" s="28" t="str">
        <x:v>S03; S21; S45</x:v>
      </x:c>
      <x:c r="M603" s="28" t="str">
        <x:v>https://proceedings.neurips.cc/paper_files/paper/2020/file/f5b1b89d98b7286673128a5fb112cb9a-Paper.pdf</x:v>
      </x:c>
    </x:row>
    <x:row r="604" ht="48" customHeight="1">
      <x:c r="A604" s="64" t="str">
        <x:v>T0603</x:v>
      </x:c>
      <x:c r="B604" s="28" t="str">
        <x:v>实验设计与闭环优化</x:v>
      </x:c>
      <x:c r="C604" s="28" t="str">
        <x:v>代理模型、不确定性与分布外识别</x:v>
      </x:c>
      <x:c r="D604" s="28" t="str">
        <x:v>不确定性建模</x:v>
      </x:c>
      <x:c r="E604" s="28" t="str">
        <x:v>不确定性与可信建模</x:v>
      </x:c>
      <x:c r="F604" s="28" t="str">
        <x:v>后验预测分布</x:v>
      </x:c>
      <x:c r="G604" s="28" t="str">
        <x:v>围绕“后验预测分布”区分模型不知道什么、何时超出适用域，并把不确定性传入实验选择与风险决策。</x:v>
      </x:c>
      <x:c r="H604" s="28" t="str">
        <x:v>置信度是否校准；遇到OOD与漂移时是否会拒绝或升级？</x:v>
      </x:c>
      <x:c r="I604" s="28" t="str">
        <x:v>覆盖率；区间宽度；ECE；OOD AUROC；拒绝后风险；漂移检测延迟</x:v>
      </x:c>
      <x:c r="J604" s="64" t="str">
        <x:v>基础能力</x:v>
      </x:c>
      <x:c r="K604" s="64" t="str">
        <x:v>P0</x:v>
      </x:c>
      <x:c r="L604" s="28" t="str">
        <x:v>S03; S21; S45</x:v>
      </x:c>
      <x:c r="M604" s="28" t="str">
        <x:v>https://arxiv.org/abs/2107.07511</x:v>
      </x:c>
    </x:row>
    <x:row r="605" ht="48" customHeight="1">
      <x:c r="A605" s="64" t="str">
        <x:v>T0604</x:v>
      </x:c>
      <x:c r="B605" s="28" t="str">
        <x:v>实验设计与闭环优化</x:v>
      </x:c>
      <x:c r="C605" s="28" t="str">
        <x:v>代理模型、不确定性与分布外识别</x:v>
      </x:c>
      <x:c r="D605" s="28" t="str">
        <x:v>不确定性建模</x:v>
      </x:c>
      <x:c r="E605" s="28" t="str">
        <x:v>不确定性与可信建模</x:v>
      </x:c>
      <x:c r="F605" s="28" t="str">
        <x:v>深度集成</x:v>
      </x:c>
      <x:c r="G605" s="28" t="str">
        <x:v>围绕“深度集成”区分模型不知道什么、何时超出适用域，并把不确定性传入实验选择与风险决策。</x:v>
      </x:c>
      <x:c r="H605" s="28" t="str">
        <x:v>置信度是否校准；遇到OOD与漂移时是否会拒绝或升级？</x:v>
      </x:c>
      <x:c r="I605" s="28" t="str">
        <x:v>覆盖率；区间宽度；ECE；OOD AUROC；拒绝后风险；漂移检测延迟</x:v>
      </x:c>
      <x:c r="J605" s="64" t="str">
        <x:v>基础能力</x:v>
      </x:c>
      <x:c r="K605" s="64" t="str">
        <x:v>P0</x:v>
      </x:c>
      <x:c r="L605" s="28" t="str">
        <x:v>S03; S21; S45</x:v>
      </x:c>
      <x:c r="M605" s="28" t="str">
        <x:v>https://www.nature.com/articles/s41467-024-45569-5</x:v>
      </x:c>
    </x:row>
    <x:row r="606" ht="48" customHeight="1">
      <x:c r="A606" s="64" t="str">
        <x:v>T0605</x:v>
      </x:c>
      <x:c r="B606" s="28" t="str">
        <x:v>实验设计与闭环优化</x:v>
      </x:c>
      <x:c r="C606" s="28" t="str">
        <x:v>代理模型、不确定性与分布外识别</x:v>
      </x:c>
      <x:c r="D606" s="28" t="str">
        <x:v>不确定性建模</x:v>
      </x:c>
      <x:c r="E606" s="28" t="str">
        <x:v>不确定性与可信建模</x:v>
      </x:c>
      <x:c r="F606" s="28" t="str">
        <x:v>MC Dropout</x:v>
      </x:c>
      <x:c r="G606" s="28" t="str">
        <x:v>围绕“MC Dropout”区分模型不知道什么、何时超出适用域，并把不确定性传入实验选择与风险决策。</x:v>
      </x:c>
      <x:c r="H606" s="28" t="str">
        <x:v>置信度是否校准；遇到OOD与漂移时是否会拒绝或升级？</x:v>
      </x:c>
      <x:c r="I606" s="28" t="str">
        <x:v>覆盖率；区间宽度；ECE；OOD AUROC；拒绝后风险；漂移检测延迟</x:v>
      </x:c>
      <x:c r="J606" s="64" t="str">
        <x:v>基础能力</x:v>
      </x:c>
      <x:c r="K606" s="64" t="str">
        <x:v>P0</x:v>
      </x:c>
      <x:c r="L606" s="28" t="str">
        <x:v>S03; S21; S45</x:v>
      </x:c>
      <x:c r="M606" s="28" t="str">
        <x:v>https://proceedings.neurips.cc/paper_files/paper/2020/file/f5b1b89d98b7286673128a5fb112cb9a-Paper.pdf</x:v>
      </x:c>
    </x:row>
    <x:row r="607" ht="48" customHeight="1">
      <x:c r="A607" s="64" t="str">
        <x:v>T0606</x:v>
      </x:c>
      <x:c r="B607" s="28" t="str">
        <x:v>实验设计与闭环优化</x:v>
      </x:c>
      <x:c r="C607" s="28" t="str">
        <x:v>代理模型、不确定性与分布外识别</x:v>
      </x:c>
      <x:c r="D607" s="28" t="str">
        <x:v>不确定性建模</x:v>
      </x:c>
      <x:c r="E607" s="28" t="str">
        <x:v>不确定性与可信建模</x:v>
      </x:c>
      <x:c r="F607" s="28" t="str">
        <x:v>贝叶斯神经网络</x:v>
      </x:c>
      <x:c r="G607" s="28" t="str">
        <x:v>围绕“贝叶斯神经网络”区分模型不知道什么、何时超出适用域，并把不确定性传入实验选择与风险决策。</x:v>
      </x:c>
      <x:c r="H607" s="28" t="str">
        <x:v>置信度是否校准；遇到OOD与漂移时是否会拒绝或升级？</x:v>
      </x:c>
      <x:c r="I607" s="28" t="str">
        <x:v>覆盖率；区间宽度；ECE；OOD AUROC；拒绝后风险；漂移检测延迟</x:v>
      </x:c>
      <x:c r="J607" s="64" t="str">
        <x:v>基础能力</x:v>
      </x:c>
      <x:c r="K607" s="64" t="str">
        <x:v>P0</x:v>
      </x:c>
      <x:c r="L607" s="28" t="str">
        <x:v>S03; S21; S45</x:v>
      </x:c>
      <x:c r="M607" s="28" t="str">
        <x:v>https://arxiv.org/abs/2107.07511</x:v>
      </x:c>
    </x:row>
    <x:row r="608" ht="48" customHeight="1">
      <x:c r="A608" s="64" t="str">
        <x:v>T0607</x:v>
      </x:c>
      <x:c r="B608" s="28" t="str">
        <x:v>实验设计与闭环优化</x:v>
      </x:c>
      <x:c r="C608" s="28" t="str">
        <x:v>代理模型、不确定性与分布外识别</x:v>
      </x:c>
      <x:c r="D608" s="28" t="str">
        <x:v>不确定性建模</x:v>
      </x:c>
      <x:c r="E608" s="28" t="str">
        <x:v>不确定性与可信建模</x:v>
      </x:c>
      <x:c r="F608" s="28" t="str">
        <x:v>Laplace近似</x:v>
      </x:c>
      <x:c r="G608" s="28" t="str">
        <x:v>围绕“Laplace近似”区分模型不知道什么、何时超出适用域，并把不确定性传入实验选择与风险决策。</x:v>
      </x:c>
      <x:c r="H608" s="28" t="str">
        <x:v>置信度是否校准；遇到OOD与漂移时是否会拒绝或升级？</x:v>
      </x:c>
      <x:c r="I608" s="28" t="str">
        <x:v>覆盖率；区间宽度；ECE；OOD AUROC；拒绝后风险；漂移检测延迟</x:v>
      </x:c>
      <x:c r="J608" s="64" t="str">
        <x:v>基础能力</x:v>
      </x:c>
      <x:c r="K608" s="64" t="str">
        <x:v>P0</x:v>
      </x:c>
      <x:c r="L608" s="28" t="str">
        <x:v>S03; S21; S45</x:v>
      </x:c>
      <x:c r="M608" s="28" t="str">
        <x:v>https://www.nature.com/articles/s41467-024-45569-5</x:v>
      </x:c>
    </x:row>
    <x:row r="609" ht="48" customHeight="1">
      <x:c r="A609" s="64" t="str">
        <x:v>T0608</x:v>
      </x:c>
      <x:c r="B609" s="28" t="str">
        <x:v>实验设计与闭环优化</x:v>
      </x:c>
      <x:c r="C609" s="28" t="str">
        <x:v>代理模型、不确定性与分布外识别</x:v>
      </x:c>
      <x:c r="D609" s="28" t="str">
        <x:v>不确定性建模</x:v>
      </x:c>
      <x:c r="E609" s="28" t="str">
        <x:v>不确定性与可信建模</x:v>
      </x:c>
      <x:c r="F609" s="28" t="str">
        <x:v>共形预测</x:v>
      </x:c>
      <x:c r="G609" s="28" t="str">
        <x:v>围绕“共形预测”区分模型不知道什么、何时超出适用域，并把不确定性传入实验选择与风险决策。</x:v>
      </x:c>
      <x:c r="H609" s="28" t="str">
        <x:v>置信度是否校准；遇到OOD与漂移时是否会拒绝或升级？</x:v>
      </x:c>
      <x:c r="I609" s="28" t="str">
        <x:v>覆盖率；区间宽度；ECE；OOD AUROC；拒绝后风险；漂移检测延迟</x:v>
      </x:c>
      <x:c r="J609" s="64" t="str">
        <x:v>基础能力</x:v>
      </x:c>
      <x:c r="K609" s="64" t="str">
        <x:v>P0</x:v>
      </x:c>
      <x:c r="L609" s="28" t="str">
        <x:v>S03; S21; S45</x:v>
      </x:c>
      <x:c r="M609" s="28" t="str">
        <x:v>https://proceedings.neurips.cc/paper_files/paper/2020/file/f5b1b89d98b7286673128a5fb112cb9a-Paper.pdf</x:v>
      </x:c>
    </x:row>
    <x:row r="610" ht="48" customHeight="1">
      <x:c r="A610" s="64" t="str">
        <x:v>T0609</x:v>
      </x:c>
      <x:c r="B610" s="28" t="str">
        <x:v>实验设计与闭环优化</x:v>
      </x:c>
      <x:c r="C610" s="28" t="str">
        <x:v>代理模型、不确定性与分布外识别</x:v>
      </x:c>
      <x:c r="D610" s="28" t="str">
        <x:v>不确定性建模</x:v>
      </x:c>
      <x:c r="E610" s="28" t="str">
        <x:v>不确定性与可信建模</x:v>
      </x:c>
      <x:c r="F610" s="28" t="str">
        <x:v>分位数回归</x:v>
      </x:c>
      <x:c r="G610" s="28" t="str">
        <x:v>围绕“分位数回归”区分模型不知道什么、何时超出适用域，并把不确定性传入实验选择与风险决策。</x:v>
      </x:c>
      <x:c r="H610" s="28" t="str">
        <x:v>置信度是否校准；遇到OOD与漂移时是否会拒绝或升级？</x:v>
      </x:c>
      <x:c r="I610" s="28" t="str">
        <x:v>覆盖率；区间宽度；ECE；OOD AUROC；拒绝后风险；漂移检测延迟</x:v>
      </x:c>
      <x:c r="J610" s="64" t="str">
        <x:v>基础能力</x:v>
      </x:c>
      <x:c r="K610" s="64" t="str">
        <x:v>P0</x:v>
      </x:c>
      <x:c r="L610" s="28" t="str">
        <x:v>S03; S21; S45</x:v>
      </x:c>
      <x:c r="M610" s="28" t="str">
        <x:v>https://arxiv.org/abs/2107.07511</x:v>
      </x:c>
    </x:row>
    <x:row r="611" ht="48" customHeight="1">
      <x:c r="A611" s="64" t="str">
        <x:v>T0610</x:v>
      </x:c>
      <x:c r="B611" s="28" t="str">
        <x:v>实验设计与闭环优化</x:v>
      </x:c>
      <x:c r="C611" s="28" t="str">
        <x:v>代理模型、不确定性与分布外识别</x:v>
      </x:c>
      <x:c r="D611" s="28" t="str">
        <x:v>不确定性建模</x:v>
      </x:c>
      <x:c r="E611" s="28" t="str">
        <x:v>不确定性与可信建模</x:v>
      </x:c>
      <x:c r="F611" s="28" t="str">
        <x:v>自助法Bootstrap</x:v>
      </x:c>
      <x:c r="G611" s="28" t="str">
        <x:v>围绕“自助法Bootstrap”区分模型不知道什么、何时超出适用域，并把不确定性传入实验选择与风险决策。</x:v>
      </x:c>
      <x:c r="H611" s="28" t="str">
        <x:v>置信度是否校准；遇到OOD与漂移时是否会拒绝或升级？</x:v>
      </x:c>
      <x:c r="I611" s="28" t="str">
        <x:v>覆盖率；区间宽度；ECE；OOD AUROC；拒绝后风险；漂移检测延迟</x:v>
      </x:c>
      <x:c r="J611" s="64" t="str">
        <x:v>基础能力</x:v>
      </x:c>
      <x:c r="K611" s="64" t="str">
        <x:v>P0</x:v>
      </x:c>
      <x:c r="L611" s="28" t="str">
        <x:v>S03; S21; S45</x:v>
      </x:c>
      <x:c r="M611" s="28" t="str">
        <x:v>https://www.nature.com/articles/s41467-024-45569-5</x:v>
      </x:c>
    </x:row>
    <x:row r="612" ht="48" customHeight="1">
      <x:c r="A612" s="64" t="str">
        <x:v>T0611</x:v>
      </x:c>
      <x:c r="B612" s="28" t="str">
        <x:v>实验设计与闭环优化</x:v>
      </x:c>
      <x:c r="C612" s="28" t="str">
        <x:v>代理模型、不确定性与分布外识别</x:v>
      </x:c>
      <x:c r="D612" s="28" t="str">
        <x:v>校准与覆盖</x:v>
      </x:c>
      <x:c r="E612" s="28" t="str">
        <x:v>不确定性与可信建模</x:v>
      </x:c>
      <x:c r="F612" s="28" t="str">
        <x:v>Jackknife</x:v>
      </x:c>
      <x:c r="G612" s="28" t="str">
        <x:v>围绕“Jackknife”区分模型不知道什么、何时超出适用域，并把不确定性传入实验选择与风险决策。</x:v>
      </x:c>
      <x:c r="H612" s="28" t="str">
        <x:v>置信度是否校准；遇到OOD与漂移时是否会拒绝或升级？</x:v>
      </x:c>
      <x:c r="I612" s="28" t="str">
        <x:v>覆盖率；区间宽度；ECE；OOD AUROC；拒绝后风险；漂移检测延迟</x:v>
      </x:c>
      <x:c r="J612" s="64" t="str">
        <x:v>基础能力</x:v>
      </x:c>
      <x:c r="K612" s="64" t="str">
        <x:v>P1</x:v>
      </x:c>
      <x:c r="L612" s="28" t="str">
        <x:v>S03; S21; S45</x:v>
      </x:c>
      <x:c r="M612" s="28" t="str">
        <x:v>https://proceedings.neurips.cc/paper_files/paper/2020/file/f5b1b89d98b7286673128a5fb112cb9a-Paper.pdf</x:v>
      </x:c>
    </x:row>
    <x:row r="613" ht="48" customHeight="1">
      <x:c r="A613" s="64" t="str">
        <x:v>T0612</x:v>
      </x:c>
      <x:c r="B613" s="28" t="str">
        <x:v>实验设计与闭环优化</x:v>
      </x:c>
      <x:c r="C613" s="28" t="str">
        <x:v>代理模型、不确定性与分布外识别</x:v>
      </x:c>
      <x:c r="D613" s="28" t="str">
        <x:v>校准与覆盖</x:v>
      </x:c>
      <x:c r="E613" s="28" t="str">
        <x:v>不确定性与可信建模</x:v>
      </x:c>
      <x:c r="F613" s="28" t="str">
        <x:v>可靠性图</x:v>
      </x:c>
      <x:c r="G613" s="28" t="str">
        <x:v>围绕“可靠性图”区分模型不知道什么、何时超出适用域，并把不确定性传入实验选择与风险决策。</x:v>
      </x:c>
      <x:c r="H613" s="28" t="str">
        <x:v>置信度是否校准；遇到OOD与漂移时是否会拒绝或升级？</x:v>
      </x:c>
      <x:c r="I613" s="28" t="str">
        <x:v>覆盖率；区间宽度；ECE；OOD AUROC；拒绝后风险；漂移检测延迟</x:v>
      </x:c>
      <x:c r="J613" s="64" t="str">
        <x:v>基础能力</x:v>
      </x:c>
      <x:c r="K613" s="64" t="str">
        <x:v>P1</x:v>
      </x:c>
      <x:c r="L613" s="28" t="str">
        <x:v>S03; S21; S45</x:v>
      </x:c>
      <x:c r="M613" s="28" t="str">
        <x:v>https://arxiv.org/abs/2107.07511</x:v>
      </x:c>
    </x:row>
    <x:row r="614" ht="48" customHeight="1">
      <x:c r="A614" s="64" t="str">
        <x:v>T0613</x:v>
      </x:c>
      <x:c r="B614" s="28" t="str">
        <x:v>实验设计与闭环优化</x:v>
      </x:c>
      <x:c r="C614" s="28" t="str">
        <x:v>代理模型、不确定性与分布外识别</x:v>
      </x:c>
      <x:c r="D614" s="28" t="str">
        <x:v>校准与覆盖</x:v>
      </x:c>
      <x:c r="E614" s="28" t="str">
        <x:v>不确定性与可信建模</x:v>
      </x:c>
      <x:c r="F614" s="28" t="str">
        <x:v>期望校准误差</x:v>
      </x:c>
      <x:c r="G614" s="28" t="str">
        <x:v>围绕“期望校准误差”区分模型不知道什么、何时超出适用域，并把不确定性传入实验选择与风险决策。</x:v>
      </x:c>
      <x:c r="H614" s="28" t="str">
        <x:v>置信度是否校准；遇到OOD与漂移时是否会拒绝或升级？</x:v>
      </x:c>
      <x:c r="I614" s="28" t="str">
        <x:v>覆盖率；区间宽度；ECE；OOD AUROC；拒绝后风险；漂移检测延迟</x:v>
      </x:c>
      <x:c r="J614" s="64" t="str">
        <x:v>工程化关键</x:v>
      </x:c>
      <x:c r="K614" s="64" t="str">
        <x:v>P1</x:v>
      </x:c>
      <x:c r="L614" s="28" t="str">
        <x:v>S03; S21; S45</x:v>
      </x:c>
      <x:c r="M614" s="28" t="str">
        <x:v>https://www.nature.com/articles/s41467-024-45569-5</x:v>
      </x:c>
    </x:row>
    <x:row r="615" ht="48" customHeight="1">
      <x:c r="A615" s="64" t="str">
        <x:v>T0614</x:v>
      </x:c>
      <x:c r="B615" s="28" t="str">
        <x:v>实验设计与闭环优化</x:v>
      </x:c>
      <x:c r="C615" s="28" t="str">
        <x:v>代理模型、不确定性与分布外识别</x:v>
      </x:c>
      <x:c r="D615" s="28" t="str">
        <x:v>校准与覆盖</x:v>
      </x:c>
      <x:c r="E615" s="28" t="str">
        <x:v>不确定性与可信建模</x:v>
      </x:c>
      <x:c r="F615" s="28" t="str">
        <x:v>预测锐度</x:v>
      </x:c>
      <x:c r="G615" s="28" t="str">
        <x:v>围绕“预测锐度”区分模型不知道什么、何时超出适用域，并把不确定性传入实验选择与风险决策。</x:v>
      </x:c>
      <x:c r="H615" s="28" t="str">
        <x:v>置信度是否校准；遇到OOD与漂移时是否会拒绝或升级？</x:v>
      </x:c>
      <x:c r="I615" s="28" t="str">
        <x:v>覆盖率；区间宽度；ECE；OOD AUROC；拒绝后风险；漂移检测延迟</x:v>
      </x:c>
      <x:c r="J615" s="64" t="str">
        <x:v>工程化关键</x:v>
      </x:c>
      <x:c r="K615" s="64" t="str">
        <x:v>P1</x:v>
      </x:c>
      <x:c r="L615" s="28" t="str">
        <x:v>S03; S21; S45</x:v>
      </x:c>
      <x:c r="M615" s="28" t="str">
        <x:v>https://proceedings.neurips.cc/paper_files/paper/2020/file/f5b1b89d98b7286673128a5fb112cb9a-Paper.pdf</x:v>
      </x:c>
    </x:row>
    <x:row r="616" ht="48" customHeight="1">
      <x:c r="A616" s="64" t="str">
        <x:v>T0615</x:v>
      </x:c>
      <x:c r="B616" s="28" t="str">
        <x:v>实验设计与闭环优化</x:v>
      </x:c>
      <x:c r="C616" s="28" t="str">
        <x:v>代理模型、不确定性与分布外识别</x:v>
      </x:c>
      <x:c r="D616" s="28" t="str">
        <x:v>校准与覆盖</x:v>
      </x:c>
      <x:c r="E616" s="28" t="str">
        <x:v>不确定性与可信建模</x:v>
      </x:c>
      <x:c r="F616" s="28" t="str">
        <x:v>区间覆盖率</x:v>
      </x:c>
      <x:c r="G616" s="28" t="str">
        <x:v>围绕“区间覆盖率”区分模型不知道什么、何时超出适用域，并把不确定性传入实验选择与风险决策。</x:v>
      </x:c>
      <x:c r="H616" s="28" t="str">
        <x:v>置信度是否校准；遇到OOD与漂移时是否会拒绝或升级？</x:v>
      </x:c>
      <x:c r="I616" s="28" t="str">
        <x:v>覆盖率；区间宽度；ECE；OOD AUROC；拒绝后风险；漂移检测延迟</x:v>
      </x:c>
      <x:c r="J616" s="64" t="str">
        <x:v>工程化关键</x:v>
      </x:c>
      <x:c r="K616" s="64" t="str">
        <x:v>P1</x:v>
      </x:c>
      <x:c r="L616" s="28" t="str">
        <x:v>S03; S21; S45</x:v>
      </x:c>
      <x:c r="M616" s="28" t="str">
        <x:v>https://arxiv.org/abs/2107.07511</x:v>
      </x:c>
    </x:row>
    <x:row r="617" ht="48" customHeight="1">
      <x:c r="A617" s="64" t="str">
        <x:v>T0616</x:v>
      </x:c>
      <x:c r="B617" s="28" t="str">
        <x:v>实验设计与闭环优化</x:v>
      </x:c>
      <x:c r="C617" s="28" t="str">
        <x:v>代理模型、不确定性与分布外识别</x:v>
      </x:c>
      <x:c r="D617" s="28" t="str">
        <x:v>校准与覆盖</x:v>
      </x:c>
      <x:c r="E617" s="28" t="str">
        <x:v>不确定性与可信建模</x:v>
      </x:c>
      <x:c r="F617" s="28" t="str">
        <x:v>OOD检测</x:v>
      </x:c>
      <x:c r="G617" s="28" t="str">
        <x:v>围绕“OOD检测”区分模型不知道什么、何时超出适用域，并把不确定性传入实验选择与风险决策。</x:v>
      </x:c>
      <x:c r="H617" s="28" t="str">
        <x:v>置信度是否校准；遇到OOD与漂移时是否会拒绝或升级？</x:v>
      </x:c>
      <x:c r="I617" s="28" t="str">
        <x:v>覆盖率；区间宽度；ECE；OOD AUROC；拒绝后风险；漂移检测延迟</x:v>
      </x:c>
      <x:c r="J617" s="64" t="str">
        <x:v>工程化关键</x:v>
      </x:c>
      <x:c r="K617" s="64" t="str">
        <x:v>P1</x:v>
      </x:c>
      <x:c r="L617" s="28" t="str">
        <x:v>S03; S21; S45</x:v>
      </x:c>
      <x:c r="M617" s="28" t="str">
        <x:v>https://www.nature.com/articles/s41467-024-45569-5</x:v>
      </x:c>
    </x:row>
    <x:row r="618" ht="48" customHeight="1">
      <x:c r="A618" s="64" t="str">
        <x:v>T0617</x:v>
      </x:c>
      <x:c r="B618" s="28" t="str">
        <x:v>实验设计与闭环优化</x:v>
      </x:c>
      <x:c r="C618" s="28" t="str">
        <x:v>代理模型、不确定性与分布外识别</x:v>
      </x:c>
      <x:c r="D618" s="28" t="str">
        <x:v>校准与覆盖</x:v>
      </x:c>
      <x:c r="E618" s="28" t="str">
        <x:v>不确定性与可信建模</x:v>
      </x:c>
      <x:c r="F618" s="28" t="str">
        <x:v>域偏移</x:v>
      </x:c>
      <x:c r="G618" s="28" t="str">
        <x:v>围绕“域偏移”区分模型不知道什么、何时超出适用域，并把不确定性传入实验选择与风险决策。</x:v>
      </x:c>
      <x:c r="H618" s="28" t="str">
        <x:v>置信度是否校准；遇到OOD与漂移时是否会拒绝或升级？</x:v>
      </x:c>
      <x:c r="I618" s="28" t="str">
        <x:v>覆盖率；区间宽度；ECE；OOD AUROC；拒绝后风险；漂移检测延迟</x:v>
      </x:c>
      <x:c r="J618" s="64" t="str">
        <x:v>工程化关键</x:v>
      </x:c>
      <x:c r="K618" s="64" t="str">
        <x:v>P1</x:v>
      </x:c>
      <x:c r="L618" s="28" t="str">
        <x:v>S03; S21; S45</x:v>
      </x:c>
      <x:c r="M618" s="28" t="str">
        <x:v>https://proceedings.neurips.cc/paper_files/paper/2020/file/f5b1b89d98b7286673128a5fb112cb9a-Paper.pdf</x:v>
      </x:c>
    </x:row>
    <x:row r="619" ht="48" customHeight="1">
      <x:c r="A619" s="64" t="str">
        <x:v>T0618</x:v>
      </x:c>
      <x:c r="B619" s="28" t="str">
        <x:v>实验设计与闭环优化</x:v>
      </x:c>
      <x:c r="C619" s="28" t="str">
        <x:v>代理模型、不确定性与分布外识别</x:v>
      </x:c>
      <x:c r="D619" s="28" t="str">
        <x:v>校准与覆盖</x:v>
      </x:c>
      <x:c r="E619" s="28" t="str">
        <x:v>不确定性与可信建模</x:v>
      </x:c>
      <x:c r="F619" s="28" t="str">
        <x:v>协变量偏移</x:v>
      </x:c>
      <x:c r="G619" s="28" t="str">
        <x:v>围绕“协变量偏移”区分模型不知道什么、何时超出适用域，并把不确定性传入实验选择与风险决策。</x:v>
      </x:c>
      <x:c r="H619" s="28" t="str">
        <x:v>置信度是否校准；遇到OOD与漂移时是否会拒绝或升级？</x:v>
      </x:c>
      <x:c r="I619" s="28" t="str">
        <x:v>覆盖率；区间宽度；ECE；OOD AUROC；拒绝后风险；漂移检测延迟</x:v>
      </x:c>
      <x:c r="J619" s="64" t="str">
        <x:v>工程化关键</x:v>
      </x:c>
      <x:c r="K619" s="64" t="str">
        <x:v>P1</x:v>
      </x:c>
      <x:c r="L619" s="28" t="str">
        <x:v>S03; S21; S45</x:v>
      </x:c>
      <x:c r="M619" s="28" t="str">
        <x:v>https://arxiv.org/abs/2107.07511</x:v>
      </x:c>
    </x:row>
    <x:row r="620" ht="48" customHeight="1">
      <x:c r="A620" s="64" t="str">
        <x:v>T0619</x:v>
      </x:c>
      <x:c r="B620" s="28" t="str">
        <x:v>实验设计与闭环优化</x:v>
      </x:c>
      <x:c r="C620" s="28" t="str">
        <x:v>代理模型、不确定性与分布外识别</x:v>
      </x:c>
      <x:c r="D620" s="28" t="str">
        <x:v>校准与覆盖</x:v>
      </x:c>
      <x:c r="E620" s="28" t="str">
        <x:v>不确定性与可信建模</x:v>
      </x:c>
      <x:c r="F620" s="28" t="str">
        <x:v>概念漂移</x:v>
      </x:c>
      <x:c r="G620" s="28" t="str">
        <x:v>围绕“概念漂移”区分模型不知道什么、何时超出适用域，并把不确定性传入实验选择与风险决策。</x:v>
      </x:c>
      <x:c r="H620" s="28" t="str">
        <x:v>置信度是否校准；遇到OOD与漂移时是否会拒绝或升级？</x:v>
      </x:c>
      <x:c r="I620" s="28" t="str">
        <x:v>覆盖率；区间宽度；ECE；OOD AUROC；拒绝后风险；漂移检测延迟</x:v>
      </x:c>
      <x:c r="J620" s="64" t="str">
        <x:v>工程化关键</x:v>
      </x:c>
      <x:c r="K620" s="64" t="str">
        <x:v>P1</x:v>
      </x:c>
      <x:c r="L620" s="28" t="str">
        <x:v>S03; S21; S45</x:v>
      </x:c>
      <x:c r="M620" s="28" t="str">
        <x:v>https://www.nature.com/articles/s41467-024-45569-5</x:v>
      </x:c>
    </x:row>
    <x:row r="621" ht="48" customHeight="1">
      <x:c r="A621" s="64" t="str">
        <x:v>T0620</x:v>
      </x:c>
      <x:c r="B621" s="28" t="str">
        <x:v>实验设计与闭环优化</x:v>
      </x:c>
      <x:c r="C621" s="28" t="str">
        <x:v>代理模型、不确定性与分布外识别</x:v>
      </x:c>
      <x:c r="D621" s="28" t="str">
        <x:v>校准与覆盖</x:v>
      </x:c>
      <x:c r="E621" s="28" t="str">
        <x:v>不确定性与可信建模</x:v>
      </x:c>
      <x:c r="F621" s="28" t="str">
        <x:v>新颖性检测</x:v>
      </x:c>
      <x:c r="G621" s="28" t="str">
        <x:v>围绕“新颖性检测”区分模型不知道什么、何时超出适用域，并把不确定性传入实验选择与风险决策。</x:v>
      </x:c>
      <x:c r="H621" s="28" t="str">
        <x:v>置信度是否校准；遇到OOD与漂移时是否会拒绝或升级？</x:v>
      </x:c>
      <x:c r="I621" s="28" t="str">
        <x:v>覆盖率；区间宽度；ECE；OOD AUROC；拒绝后风险；漂移检测延迟</x:v>
      </x:c>
      <x:c r="J621" s="64" t="str">
        <x:v>工程化关键</x:v>
      </x:c>
      <x:c r="K621" s="64" t="str">
        <x:v>P1</x:v>
      </x:c>
      <x:c r="L621" s="28" t="str">
        <x:v>S03; S21; S45</x:v>
      </x:c>
      <x:c r="M621" s="28" t="str">
        <x:v>https://proceedings.neurips.cc/paper_files/paper/2020/file/f5b1b89d98b7286673128a5fb112cb9a-Paper.pdf</x:v>
      </x:c>
    </x:row>
    <x:row r="622" ht="48" customHeight="1">
      <x:c r="A622" s="64" t="str">
        <x:v>T0621</x:v>
      </x:c>
      <x:c r="B622" s="28" t="str">
        <x:v>实验设计与闭环优化</x:v>
      </x:c>
      <x:c r="C622" s="28" t="str">
        <x:v>代理模型、不确定性与分布外识别</x:v>
      </x:c>
      <x:c r="D622" s="28" t="str">
        <x:v>OOD、漂移与适用域</x:v>
      </x:c>
      <x:c r="E622" s="28" t="str">
        <x:v>不确定性与可信建模</x:v>
      </x:c>
      <x:c r="F622" s="28" t="str">
        <x:v>适用域</x:v>
      </x:c>
      <x:c r="G622" s="28" t="str">
        <x:v>围绕“适用域”区分模型不知道什么、何时超出适用域，并把不确定性传入实验选择与风险决策。</x:v>
      </x:c>
      <x:c r="H622" s="28" t="str">
        <x:v>置信度是否校准；遇到OOD与漂移时是否会拒绝或升级？</x:v>
      </x:c>
      <x:c r="I622" s="28" t="str">
        <x:v>覆盖率；区间宽度；ECE；OOD AUROC；拒绝后风险；漂移检测延迟</x:v>
      </x:c>
      <x:c r="J622" s="64" t="str">
        <x:v>工程化关键</x:v>
      </x:c>
      <x:c r="K622" s="64" t="str">
        <x:v>P1</x:v>
      </x:c>
      <x:c r="L622" s="28" t="str">
        <x:v>S03; S21; S45</x:v>
      </x:c>
      <x:c r="M622" s="28" t="str">
        <x:v>https://arxiv.org/abs/2107.07511</x:v>
      </x:c>
    </x:row>
    <x:row r="623" ht="48" customHeight="1">
      <x:c r="A623" s="64" t="str">
        <x:v>T0622</x:v>
      </x:c>
      <x:c r="B623" s="28" t="str">
        <x:v>实验设计与闭环优化</x:v>
      </x:c>
      <x:c r="C623" s="28" t="str">
        <x:v>代理模型、不确定性与分布外识别</x:v>
      </x:c>
      <x:c r="D623" s="28" t="str">
        <x:v>OOD、漂移与适用域</x:v>
      </x:c>
      <x:c r="E623" s="28" t="str">
        <x:v>不确定性与可信建模</x:v>
      </x:c>
      <x:c r="F623" s="28" t="str">
        <x:v>杠杆值诊断</x:v>
      </x:c>
      <x:c r="G623" s="28" t="str">
        <x:v>围绕“杠杆值诊断”区分模型不知道什么、何时超出适用域，并把不确定性传入实验选择与风险决策。</x:v>
      </x:c>
      <x:c r="H623" s="28" t="str">
        <x:v>置信度是否校准；遇到OOD与漂移时是否会拒绝或升级？</x:v>
      </x:c>
      <x:c r="I623" s="28" t="str">
        <x:v>覆盖率；区间宽度；ECE；OOD AUROC；拒绝后风险；漂移检测延迟</x:v>
      </x:c>
      <x:c r="J623" s="64" t="str">
        <x:v>工程化关键</x:v>
      </x:c>
      <x:c r="K623" s="64" t="str">
        <x:v>P1</x:v>
      </x:c>
      <x:c r="L623" s="28" t="str">
        <x:v>S03; S21; S45</x:v>
      </x:c>
      <x:c r="M623" s="28" t="str">
        <x:v>https://www.nature.com/articles/s41467-024-45569-5</x:v>
      </x:c>
    </x:row>
    <x:row r="624" ht="48" customHeight="1">
      <x:c r="A624" s="64" t="str">
        <x:v>T0623</x:v>
      </x:c>
      <x:c r="B624" s="28" t="str">
        <x:v>实验设计与闭环优化</x:v>
      </x:c>
      <x:c r="C624" s="28" t="str">
        <x:v>代理模型、不确定性与分布外识别</x:v>
      </x:c>
      <x:c r="D624" s="28" t="str">
        <x:v>OOD、漂移与适用域</x:v>
      </x:c>
      <x:c r="E624" s="28" t="str">
        <x:v>不确定性与可信建模</x:v>
      </x:c>
      <x:c r="F624" s="28" t="str">
        <x:v>距离型不确定性</x:v>
      </x:c>
      <x:c r="G624" s="28" t="str">
        <x:v>围绕“距离型不确定性”区分模型不知道什么、何时超出适用域，并把不确定性传入实验选择与风险决策。</x:v>
      </x:c>
      <x:c r="H624" s="28" t="str">
        <x:v>置信度是否校准；遇到OOD与漂移时是否会拒绝或升级？</x:v>
      </x:c>
      <x:c r="I624" s="28" t="str">
        <x:v>覆盖率；区间宽度；ECE；OOD AUROC；拒绝后风险；漂移检测延迟</x:v>
      </x:c>
      <x:c r="J624" s="64" t="str">
        <x:v>工程化关键</x:v>
      </x:c>
      <x:c r="K624" s="64" t="str">
        <x:v>P1</x:v>
      </x:c>
      <x:c r="L624" s="28" t="str">
        <x:v>S03; S21; S45</x:v>
      </x:c>
      <x:c r="M624" s="28" t="str">
        <x:v>https://proceedings.neurips.cc/paper_files/paper/2020/file/f5b1b89d98b7286673128a5fb112cb9a-Paper.pdf</x:v>
      </x:c>
    </x:row>
    <x:row r="625" ht="48" customHeight="1">
      <x:c r="A625" s="64" t="str">
        <x:v>T0624</x:v>
      </x:c>
      <x:c r="B625" s="28" t="str">
        <x:v>实验设计与闭环优化</x:v>
      </x:c>
      <x:c r="C625" s="28" t="str">
        <x:v>代理模型、不确定性与分布外识别</x:v>
      </x:c>
      <x:c r="D625" s="28" t="str">
        <x:v>OOD、漂移与适用域</x:v>
      </x:c>
      <x:c r="E625" s="28" t="str">
        <x:v>不确定性与可信建模</x:v>
      </x:c>
      <x:c r="F625" s="28" t="str">
        <x:v>密度估计</x:v>
      </x:c>
      <x:c r="G625" s="28" t="str">
        <x:v>围绕“密度估计”区分模型不知道什么、何时超出适用域，并把不确定性传入实验选择与风险决策。</x:v>
      </x:c>
      <x:c r="H625" s="28" t="str">
        <x:v>置信度是否校准；遇到OOD与漂移时是否会拒绝或升级？</x:v>
      </x:c>
      <x:c r="I625" s="28" t="str">
        <x:v>覆盖率；区间宽度；ECE；OOD AUROC；拒绝后风险；漂移检测延迟</x:v>
      </x:c>
      <x:c r="J625" s="64" t="str">
        <x:v>工程化关键</x:v>
      </x:c>
      <x:c r="K625" s="64" t="str">
        <x:v>P1</x:v>
      </x:c>
      <x:c r="L625" s="28" t="str">
        <x:v>S03; S21; S45</x:v>
      </x:c>
      <x:c r="M625" s="28" t="str">
        <x:v>https://arxiv.org/abs/2107.07511</x:v>
      </x:c>
    </x:row>
    <x:row r="626" ht="48" customHeight="1">
      <x:c r="A626" s="64" t="str">
        <x:v>T0625</x:v>
      </x:c>
      <x:c r="B626" s="28" t="str">
        <x:v>实验设计与闭环优化</x:v>
      </x:c>
      <x:c r="C626" s="28" t="str">
        <x:v>代理模型、不确定性与分布外识别</x:v>
      </x:c>
      <x:c r="D626" s="28" t="str">
        <x:v>OOD、漂移与适用域</x:v>
      </x:c>
      <x:c r="E626" s="28" t="str">
        <x:v>不确定性与可信建模</x:v>
      </x:c>
      <x:c r="F626" s="28" t="str">
        <x:v>不确定性分解</x:v>
      </x:c>
      <x:c r="G626" s="28" t="str">
        <x:v>围绕“不确定性分解”区分模型不知道什么、何时超出适用域，并把不确定性传入实验选择与风险决策。</x:v>
      </x:c>
      <x:c r="H626" s="28" t="str">
        <x:v>置信度是否校准；遇到OOD与漂移时是否会拒绝或升级？</x:v>
      </x:c>
      <x:c r="I626" s="28" t="str">
        <x:v>覆盖率；区间宽度；ECE；OOD AUROC；拒绝后风险；漂移检测延迟</x:v>
      </x:c>
      <x:c r="J626" s="64" t="str">
        <x:v>工程化关键</x:v>
      </x:c>
      <x:c r="K626" s="64" t="str">
        <x:v>P1</x:v>
      </x:c>
      <x:c r="L626" s="28" t="str">
        <x:v>S03; S21; S45</x:v>
      </x:c>
      <x:c r="M626" s="28" t="str">
        <x:v>https://www.nature.com/articles/s41467-024-45569-5</x:v>
      </x:c>
    </x:row>
    <x:row r="627" ht="48" customHeight="1">
      <x:c r="A627" s="64" t="str">
        <x:v>T0626</x:v>
      </x:c>
      <x:c r="B627" s="28" t="str">
        <x:v>实验设计与闭环优化</x:v>
      </x:c>
      <x:c r="C627" s="28" t="str">
        <x:v>代理模型、不确定性与分布外识别</x:v>
      </x:c>
      <x:c r="D627" s="28" t="str">
        <x:v>OOD、漂移与适用域</x:v>
      </x:c>
      <x:c r="E627" s="28" t="str">
        <x:v>不确定性与可信建模</x:v>
      </x:c>
      <x:c r="F627" s="28" t="str">
        <x:v>误差代理模型</x:v>
      </x:c>
      <x:c r="G627" s="28" t="str">
        <x:v>围绕“误差代理模型”区分模型不知道什么、何时超出适用域，并把不确定性传入实验选择与风险决策。</x:v>
      </x:c>
      <x:c r="H627" s="28" t="str">
        <x:v>置信度是否校准；遇到OOD与漂移时是否会拒绝或升级？</x:v>
      </x:c>
      <x:c r="I627" s="28" t="str">
        <x:v>覆盖率；区间宽度；ECE；OOD AUROC；拒绝后风险；漂移检测延迟</x:v>
      </x:c>
      <x:c r="J627" s="64" t="str">
        <x:v>工程化关键</x:v>
      </x:c>
      <x:c r="K627" s="64" t="str">
        <x:v>P1</x:v>
      </x:c>
      <x:c r="L627" s="28" t="str">
        <x:v>S03; S21; S45</x:v>
      </x:c>
      <x:c r="M627" s="28" t="str">
        <x:v>https://proceedings.neurips.cc/paper_files/paper/2020/file/f5b1b89d98b7286673128a5fb112cb9a-Paper.pdf</x:v>
      </x:c>
    </x:row>
    <x:row r="628" ht="48" customHeight="1">
      <x:c r="A628" s="64" t="str">
        <x:v>T0627</x:v>
      </x:c>
      <x:c r="B628" s="28" t="str">
        <x:v>实验设计与闭环优化</x:v>
      </x:c>
      <x:c r="C628" s="28" t="str">
        <x:v>代理模型、不确定性与分布外识别</x:v>
      </x:c>
      <x:c r="D628" s="28" t="str">
        <x:v>OOD、漂移与适用域</x:v>
      </x:c>
      <x:c r="E628" s="28" t="str">
        <x:v>不确定性与可信建模</x:v>
      </x:c>
      <x:c r="F628" s="28" t="str">
        <x:v>残差建模</x:v>
      </x:c>
      <x:c r="G628" s="28" t="str">
        <x:v>围绕“残差建模”区分模型不知道什么、何时超出适用域，并把不确定性传入实验选择与风险决策。</x:v>
      </x:c>
      <x:c r="H628" s="28" t="str">
        <x:v>置信度是否校准；遇到OOD与漂移时是否会拒绝或升级？</x:v>
      </x:c>
      <x:c r="I628" s="28" t="str">
        <x:v>覆盖率；区间宽度；ECE；OOD AUROC；拒绝后风险；漂移检测延迟</x:v>
      </x:c>
      <x:c r="J628" s="64" t="str">
        <x:v>工程化关键</x:v>
      </x:c>
      <x:c r="K628" s="64" t="str">
        <x:v>P1</x:v>
      </x:c>
      <x:c r="L628" s="28" t="str">
        <x:v>S03; S21; S45</x:v>
      </x:c>
      <x:c r="M628" s="28" t="str">
        <x:v>https://arxiv.org/abs/2107.07511</x:v>
      </x:c>
    </x:row>
    <x:row r="629" ht="48" customHeight="1">
      <x:c r="A629" s="64" t="str">
        <x:v>T0628</x:v>
      </x:c>
      <x:c r="B629" s="28" t="str">
        <x:v>实验设计与闭环优化</x:v>
      </x:c>
      <x:c r="C629" s="28" t="str">
        <x:v>代理模型、不确定性与分布外识别</x:v>
      </x:c>
      <x:c r="D629" s="28" t="str">
        <x:v>OOD、漂移与适用域</x:v>
      </x:c>
      <x:c r="E629" s="28" t="str">
        <x:v>不确定性与可信建模</x:v>
      </x:c>
      <x:c r="F629" s="28" t="str">
        <x:v>异方差误差</x:v>
      </x:c>
      <x:c r="G629" s="28" t="str">
        <x:v>围绕“异方差误差”区分模型不知道什么、何时超出适用域，并把不确定性传入实验选择与风险决策。</x:v>
      </x:c>
      <x:c r="H629" s="28" t="str">
        <x:v>置信度是否校准；遇到OOD与漂移时是否会拒绝或升级？</x:v>
      </x:c>
      <x:c r="I629" s="28" t="str">
        <x:v>覆盖率；区间宽度；ECE；OOD AUROC；拒绝后风险；漂移检测延迟</x:v>
      </x:c>
      <x:c r="J629" s="64" t="str">
        <x:v>工程化关键</x:v>
      </x:c>
      <x:c r="K629" s="64" t="str">
        <x:v>P1</x:v>
      </x:c>
      <x:c r="L629" s="28" t="str">
        <x:v>S03; S21; S45</x:v>
      </x:c>
      <x:c r="M629" s="28" t="str">
        <x:v>https://www.nature.com/articles/s41467-024-45569-5</x:v>
      </x:c>
    </x:row>
    <x:row r="630" ht="48" customHeight="1">
      <x:c r="A630" s="64" t="str">
        <x:v>T0629</x:v>
      </x:c>
      <x:c r="B630" s="28" t="str">
        <x:v>实验设计与闭环优化</x:v>
      </x:c>
      <x:c r="C630" s="28" t="str">
        <x:v>代理模型、不确定性与分布外识别</x:v>
      </x:c>
      <x:c r="D630" s="28" t="str">
        <x:v>OOD、漂移与适用域</x:v>
      </x:c>
      <x:c r="E630" s="28" t="str">
        <x:v>不确定性与可信建模</x:v>
      </x:c>
      <x:c r="F630" s="28" t="str">
        <x:v>相关输出建模</x:v>
      </x:c>
      <x:c r="G630" s="28" t="str">
        <x:v>围绕“相关输出建模”区分模型不知道什么、何时超出适用域，并把不确定性传入实验选择与风险决策。</x:v>
      </x:c>
      <x:c r="H630" s="28" t="str">
        <x:v>置信度是否校准；遇到OOD与漂移时是否会拒绝或升级？</x:v>
      </x:c>
      <x:c r="I630" s="28" t="str">
        <x:v>覆盖率；区间宽度；ECE；OOD AUROC；拒绝后风险；漂移检测延迟</x:v>
      </x:c>
      <x:c r="J630" s="64" t="str">
        <x:v>进阶能力</x:v>
      </x:c>
      <x:c r="K630" s="64" t="str">
        <x:v>P2</x:v>
      </x:c>
      <x:c r="L630" s="28" t="str">
        <x:v>S03; S21; S45</x:v>
      </x:c>
      <x:c r="M630" s="28" t="str">
        <x:v>https://proceedings.neurips.cc/paper_files/paper/2020/file/f5b1b89d98b7286673128a5fb112cb9a-Paper.pdf</x:v>
      </x:c>
    </x:row>
    <x:row r="631" ht="48" customHeight="1">
      <x:c r="A631" s="64" t="str">
        <x:v>T0630</x:v>
      </x:c>
      <x:c r="B631" s="28" t="str">
        <x:v>实验设计与闭环优化</x:v>
      </x:c>
      <x:c r="C631" s="28" t="str">
        <x:v>代理模型、不确定性与分布外识别</x:v>
      </x:c>
      <x:c r="D631" s="28" t="str">
        <x:v>OOD、漂移与适用域</x:v>
      </x:c>
      <x:c r="E631" s="28" t="str">
        <x:v>不确定性与可信建模</x:v>
      </x:c>
      <x:c r="F631" s="28" t="str">
        <x:v>多输出高斯过程</x:v>
      </x:c>
      <x:c r="G631" s="28" t="str">
        <x:v>围绕“多输出高斯过程”区分模型不知道什么、何时超出适用域，并把不确定性传入实验选择与风险决策。</x:v>
      </x:c>
      <x:c r="H631" s="28" t="str">
        <x:v>置信度是否校准；遇到OOD与漂移时是否会拒绝或升级？</x:v>
      </x:c>
      <x:c r="I631" s="28" t="str">
        <x:v>覆盖率；区间宽度；ECE；OOD AUROC；拒绝后风险；漂移检测延迟</x:v>
      </x:c>
      <x:c r="J631" s="64" t="str">
        <x:v>进阶能力</x:v>
      </x:c>
      <x:c r="K631" s="64" t="str">
        <x:v>P2</x:v>
      </x:c>
      <x:c r="L631" s="28" t="str">
        <x:v>S03; S21; S45</x:v>
      </x:c>
      <x:c r="M631" s="28" t="str">
        <x:v>https://arxiv.org/abs/2107.07511</x:v>
      </x:c>
    </x:row>
    <x:row r="632" ht="48" customHeight="1">
      <x:c r="A632" s="64" t="str">
        <x:v>T0631</x:v>
      </x:c>
      <x:c r="B632" s="28" t="str">
        <x:v>实验设计与闭环优化</x:v>
      </x:c>
      <x:c r="C632" s="28" t="str">
        <x:v>代理模型、不确定性与分布外识别</x:v>
      </x:c>
      <x:c r="D632" s="28" t="str">
        <x:v>验证、传播与解释</x:v>
      </x:c>
      <x:c r="E632" s="28" t="str">
        <x:v>不确定性与可信建模</x:v>
      </x:c>
      <x:c r="F632" s="28" t="str">
        <x:v>潜变量代理</x:v>
      </x:c>
      <x:c r="G632" s="28" t="str">
        <x:v>围绕“潜变量代理”区分模型不知道什么、何时超出适用域，并把不确定性传入实验选择与风险决策。</x:v>
      </x:c>
      <x:c r="H632" s="28" t="str">
        <x:v>置信度是否校准；遇到OOD与漂移时是否会拒绝或升级？</x:v>
      </x:c>
      <x:c r="I632" s="28" t="str">
        <x:v>覆盖率；区间宽度；ECE；OOD AUROC；拒绝后风险；漂移检测延迟</x:v>
      </x:c>
      <x:c r="J632" s="64" t="str">
        <x:v>进阶能力</x:v>
      </x:c>
      <x:c r="K632" s="64" t="str">
        <x:v>P2</x:v>
      </x:c>
      <x:c r="L632" s="28" t="str">
        <x:v>S03; S21; S45</x:v>
      </x:c>
      <x:c r="M632" s="28" t="str">
        <x:v>https://www.nature.com/articles/s41467-024-45569-5</x:v>
      </x:c>
    </x:row>
    <x:row r="633" ht="48" customHeight="1">
      <x:c r="A633" s="64" t="str">
        <x:v>T0632</x:v>
      </x:c>
      <x:c r="B633" s="28" t="str">
        <x:v>实验设计与闭环优化</x:v>
      </x:c>
      <x:c r="C633" s="28" t="str">
        <x:v>代理模型、不确定性与分布外识别</x:v>
      </x:c>
      <x:c r="D633" s="28" t="str">
        <x:v>验证、传播与解释</x:v>
      </x:c>
      <x:c r="E633" s="28" t="str">
        <x:v>不确定性与可信建模</x:v>
      </x:c>
      <x:c r="F633" s="28" t="str">
        <x:v>代理模型外部验证</x:v>
      </x:c>
      <x:c r="G633" s="28" t="str">
        <x:v>围绕“代理模型外部验证”区分模型不知道什么、何时超出适用域，并把不确定性传入实验选择与风险决策。</x:v>
      </x:c>
      <x:c r="H633" s="28" t="str">
        <x:v>置信度是否校准；遇到OOD与漂移时是否会拒绝或升级？</x:v>
      </x:c>
      <x:c r="I633" s="28" t="str">
        <x:v>覆盖率；区间宽度；ECE；OOD AUROC；拒绝后风险；漂移检测延迟</x:v>
      </x:c>
      <x:c r="J633" s="64" t="str">
        <x:v>进阶能力</x:v>
      </x:c>
      <x:c r="K633" s="64" t="str">
        <x:v>P2</x:v>
      </x:c>
      <x:c r="L633" s="28" t="str">
        <x:v>S03; S21; S45</x:v>
      </x:c>
      <x:c r="M633" s="28" t="str">
        <x:v>https://proceedings.neurips.cc/paper_files/paper/2020/file/f5b1b89d98b7286673128a5fb112cb9a-Paper.pdf</x:v>
      </x:c>
    </x:row>
    <x:row r="634" ht="48" customHeight="1">
      <x:c r="A634" s="64" t="str">
        <x:v>T0633</x:v>
      </x:c>
      <x:c r="B634" s="28" t="str">
        <x:v>实验设计与闭环优化</x:v>
      </x:c>
      <x:c r="C634" s="28" t="str">
        <x:v>代理模型、不确定性与分布外识别</x:v>
      </x:c>
      <x:c r="D634" s="28" t="str">
        <x:v>验证、传播与解释</x:v>
      </x:c>
      <x:c r="E634" s="28" t="str">
        <x:v>不确定性与可信建模</x:v>
      </x:c>
      <x:c r="F634" s="28" t="str">
        <x:v>分组交叉验证</x:v>
      </x:c>
      <x:c r="G634" s="28" t="str">
        <x:v>围绕“分组交叉验证”区分模型不知道什么、何时超出适用域，并把不确定性传入实验选择与风险决策。</x:v>
      </x:c>
      <x:c r="H634" s="28" t="str">
        <x:v>置信度是否校准；遇到OOD与漂移时是否会拒绝或升级？</x:v>
      </x:c>
      <x:c r="I634" s="28" t="str">
        <x:v>覆盖率；区间宽度；ECE；OOD AUROC；拒绝后风险；漂移检测延迟</x:v>
      </x:c>
      <x:c r="J634" s="64" t="str">
        <x:v>进阶能力</x:v>
      </x:c>
      <x:c r="K634" s="64" t="str">
        <x:v>P2</x:v>
      </x:c>
      <x:c r="L634" s="28" t="str">
        <x:v>S03; S21; S45</x:v>
      </x:c>
      <x:c r="M634" s="28" t="str">
        <x:v>https://arxiv.org/abs/2107.07511</x:v>
      </x:c>
    </x:row>
    <x:row r="635" ht="48" customHeight="1">
      <x:c r="A635" s="64" t="str">
        <x:v>T0634</x:v>
      </x:c>
      <x:c r="B635" s="28" t="str">
        <x:v>实验设计与闭环优化</x:v>
      </x:c>
      <x:c r="C635" s="28" t="str">
        <x:v>代理模型、不确定性与分布外识别</x:v>
      </x:c>
      <x:c r="D635" s="28" t="str">
        <x:v>验证、传播与解释</x:v>
      </x:c>
      <x:c r="E635" s="28" t="str">
        <x:v>不确定性与可信建模</x:v>
      </x:c>
      <x:c r="F635" s="28" t="str">
        <x:v>时间切分验证</x:v>
      </x:c>
      <x:c r="G635" s="28" t="str">
        <x:v>围绕“时间切分验证”区分模型不知道什么、何时超出适用域，并把不确定性传入实验选择与风险决策。</x:v>
      </x:c>
      <x:c r="H635" s="28" t="str">
        <x:v>置信度是否校准；遇到OOD与漂移时是否会拒绝或升级？</x:v>
      </x:c>
      <x:c r="I635" s="28" t="str">
        <x:v>覆盖率；区间宽度；ECE；OOD AUROC；拒绝后风险；漂移检测延迟</x:v>
      </x:c>
      <x:c r="J635" s="64" t="str">
        <x:v>进阶能力</x:v>
      </x:c>
      <x:c r="K635" s="64" t="str">
        <x:v>P2</x:v>
      </x:c>
      <x:c r="L635" s="28" t="str">
        <x:v>S03; S21; S45</x:v>
      </x:c>
      <x:c r="M635" s="28" t="str">
        <x:v>https://www.nature.com/articles/s41467-024-45569-5</x:v>
      </x:c>
    </x:row>
    <x:row r="636" ht="48" customHeight="1">
      <x:c r="A636" s="64" t="str">
        <x:v>T0635</x:v>
      </x:c>
      <x:c r="B636" s="28" t="str">
        <x:v>实验设计与闭环优化</x:v>
      </x:c>
      <x:c r="C636" s="28" t="str">
        <x:v>代理模型、不确定性与分布外识别</x:v>
      </x:c>
      <x:c r="D636" s="28" t="str">
        <x:v>验证、传播与解释</x:v>
      </x:c>
      <x:c r="E636" s="28" t="str">
        <x:v>不确定性与可信建模</x:v>
      </x:c>
      <x:c r="F636" s="28" t="str">
        <x:v>主动校准</x:v>
      </x:c>
      <x:c r="G636" s="28" t="str">
        <x:v>围绕“主动校准”区分模型不知道什么、何时超出适用域，并把不确定性传入实验选择与风险决策。</x:v>
      </x:c>
      <x:c r="H636" s="28" t="str">
        <x:v>置信度是否校准；遇到OOD与漂移时是否会拒绝或升级？</x:v>
      </x:c>
      <x:c r="I636" s="28" t="str">
        <x:v>覆盖率；区间宽度；ECE；OOD AUROC；拒绝后风险；漂移检测延迟</x:v>
      </x:c>
      <x:c r="J636" s="64" t="str">
        <x:v>进阶能力</x:v>
      </x:c>
      <x:c r="K636" s="64" t="str">
        <x:v>P2</x:v>
      </x:c>
      <x:c r="L636" s="28" t="str">
        <x:v>S03; S21; S45</x:v>
      </x:c>
      <x:c r="M636" s="28" t="str">
        <x:v>https://proceedings.neurips.cc/paper_files/paper/2020/file/f5b1b89d98b7286673128a5fb112cb9a-Paper.pdf</x:v>
      </x:c>
    </x:row>
    <x:row r="637" ht="48" customHeight="1">
      <x:c r="A637" s="64" t="str">
        <x:v>T0636</x:v>
      </x:c>
      <x:c r="B637" s="28" t="str">
        <x:v>实验设计与闭环优化</x:v>
      </x:c>
      <x:c r="C637" s="28" t="str">
        <x:v>代理模型、不确定性与分布外识别</x:v>
      </x:c>
      <x:c r="D637" s="28" t="str">
        <x:v>验证、传播与解释</x:v>
      </x:c>
      <x:c r="E637" s="28" t="str">
        <x:v>不确定性与可信建模</x:v>
      </x:c>
      <x:c r="F637" s="28" t="str">
        <x:v>拒绝/弃权机制</x:v>
      </x:c>
      <x:c r="G637" s="28" t="str">
        <x:v>围绕“拒绝/弃权机制”区分模型不知道什么、何时超出适用域，并把不确定性传入实验选择与风险决策。</x:v>
      </x:c>
      <x:c r="H637" s="28" t="str">
        <x:v>置信度是否校准；遇到OOD与漂移时是否会拒绝或升级？</x:v>
      </x:c>
      <x:c r="I637" s="28" t="str">
        <x:v>覆盖率；区间宽度；ECE；OOD AUROC；拒绝后风险；漂移检测延迟</x:v>
      </x:c>
      <x:c r="J637" s="64" t="str">
        <x:v>进阶能力</x:v>
      </x:c>
      <x:c r="K637" s="64" t="str">
        <x:v>P2</x:v>
      </x:c>
      <x:c r="L637" s="28" t="str">
        <x:v>S03; S21; S45</x:v>
      </x:c>
      <x:c r="M637" s="28" t="str">
        <x:v>https://arxiv.org/abs/2107.07511</x:v>
      </x:c>
    </x:row>
    <x:row r="638" ht="48" customHeight="1">
      <x:c r="A638" s="64" t="str">
        <x:v>T0637</x:v>
      </x:c>
      <x:c r="B638" s="28" t="str">
        <x:v>实验设计与闭环优化</x:v>
      </x:c>
      <x:c r="C638" s="28" t="str">
        <x:v>代理模型、不确定性与分布外识别</x:v>
      </x:c>
      <x:c r="D638" s="28" t="str">
        <x:v>验证、传播与解释</x:v>
      </x:c>
      <x:c r="E638" s="28" t="str">
        <x:v>不确定性与可信建模</x:v>
      </x:c>
      <x:c r="F638" s="28" t="str">
        <x:v>不确定性传播</x:v>
      </x:c>
      <x:c r="G638" s="28" t="str">
        <x:v>围绕“不确定性传播”区分模型不知道什么、何时超出适用域，并把不确定性传入实验选择与风险决策。</x:v>
      </x:c>
      <x:c r="H638" s="28" t="str">
        <x:v>置信度是否校准；遇到OOD与漂移时是否会拒绝或升级？</x:v>
      </x:c>
      <x:c r="I638" s="28" t="str">
        <x:v>覆盖率；区间宽度；ECE；OOD AUROC；拒绝后风险；漂移检测延迟</x:v>
      </x:c>
      <x:c r="J638" s="64" t="str">
        <x:v>前沿能力</x:v>
      </x:c>
      <x:c r="K638" s="64" t="str">
        <x:v>P2</x:v>
      </x:c>
      <x:c r="L638" s="28" t="str">
        <x:v>S03; S21; S45</x:v>
      </x:c>
      <x:c r="M638" s="28" t="str">
        <x:v>https://www.nature.com/articles/s41467-024-45569-5</x:v>
      </x:c>
    </x:row>
    <x:row r="639" ht="48" customHeight="1">
      <x:c r="A639" s="64" t="str">
        <x:v>T0638</x:v>
      </x:c>
      <x:c r="B639" s="28" t="str">
        <x:v>实验设计与闭环优化</x:v>
      </x:c>
      <x:c r="C639" s="28" t="str">
        <x:v>代理模型、不确定性与分布外识别</x:v>
      </x:c>
      <x:c r="D639" s="28" t="str">
        <x:v>验证、传播与解释</x:v>
      </x:c>
      <x:c r="E639" s="28" t="str">
        <x:v>不确定性与可信建模</x:v>
      </x:c>
      <x:c r="F639" s="28" t="str">
        <x:v>全局敏感性分析</x:v>
      </x:c>
      <x:c r="G639" s="28" t="str">
        <x:v>围绕“全局敏感性分析”区分模型不知道什么、何时超出适用域，并把不确定性传入实验选择与风险决策。</x:v>
      </x:c>
      <x:c r="H639" s="28" t="str">
        <x:v>置信度是否校准；遇到OOD与漂移时是否会拒绝或升级？</x:v>
      </x:c>
      <x:c r="I639" s="28" t="str">
        <x:v>覆盖率；区间宽度；ECE；OOD AUROC；拒绝后风险；漂移检测延迟</x:v>
      </x:c>
      <x:c r="J639" s="64" t="str">
        <x:v>前沿能力</x:v>
      </x:c>
      <x:c r="K639" s="64" t="str">
        <x:v>P2</x:v>
      </x:c>
      <x:c r="L639" s="28" t="str">
        <x:v>S03; S21; S45</x:v>
      </x:c>
      <x:c r="M639" s="28" t="str">
        <x:v>https://proceedings.neurips.cc/paper_files/paper/2020/file/f5b1b89d98b7286673128a5fb112cb9a-Paper.pdf</x:v>
      </x:c>
    </x:row>
    <x:row r="640" ht="48" customHeight="1">
      <x:c r="A640" s="64" t="str">
        <x:v>T0639</x:v>
      </x:c>
      <x:c r="B640" s="28" t="str">
        <x:v>实验设计与闭环优化</x:v>
      </x:c>
      <x:c r="C640" s="28" t="str">
        <x:v>代理模型、不确定性与分布外识别</x:v>
      </x:c>
      <x:c r="D640" s="28" t="str">
        <x:v>验证、传播与解释</x:v>
      </x:c>
      <x:c r="E640" s="28" t="str">
        <x:v>不确定性与可信建模</x:v>
      </x:c>
      <x:c r="F640" s="28" t="str">
        <x:v>Sobol敏感度指数</x:v>
      </x:c>
      <x:c r="G640" s="28" t="str">
        <x:v>围绕“Sobol敏感度指数”区分模型不知道什么、何时超出适用域，并把不确定性传入实验选择与风险决策。</x:v>
      </x:c>
      <x:c r="H640" s="28" t="str">
        <x:v>置信度是否校准；遇到OOD与漂移时是否会拒绝或升级？</x:v>
      </x:c>
      <x:c r="I640" s="28" t="str">
        <x:v>覆盖率；区间宽度；ECE；OOD AUROC；拒绝后风险；漂移检测延迟</x:v>
      </x:c>
      <x:c r="J640" s="64" t="str">
        <x:v>前沿能力</x:v>
      </x:c>
      <x:c r="K640" s="64" t="str">
        <x:v>P2</x:v>
      </x:c>
      <x:c r="L640" s="28" t="str">
        <x:v>S03; S21; S45</x:v>
      </x:c>
      <x:c r="M640" s="28" t="str">
        <x:v>https://arxiv.org/abs/2107.07511</x:v>
      </x:c>
    </x:row>
    <x:row r="641" ht="48" customHeight="1">
      <x:c r="A641" s="64" t="str">
        <x:v>T0640</x:v>
      </x:c>
      <x:c r="B641" s="28" t="str">
        <x:v>实验设计与闭环优化</x:v>
      </x:c>
      <x:c r="C641" s="28" t="str">
        <x:v>代理模型、不确定性与分布外识别</x:v>
      </x:c>
      <x:c r="D641" s="28" t="str">
        <x:v>验证、传播与解释</x:v>
      </x:c>
      <x:c r="E641" s="28" t="str">
        <x:v>不确定性与可信建模</x:v>
      </x:c>
      <x:c r="F641" s="28" t="str">
        <x:v>反事实解释</x:v>
      </x:c>
      <x:c r="G641" s="28" t="str">
        <x:v>围绕“反事实解释”区分模型不知道什么、何时超出适用域，并把不确定性传入实验选择与风险决策。</x:v>
      </x:c>
      <x:c r="H641" s="28" t="str">
        <x:v>置信度是否校准；遇到OOD与漂移时是否会拒绝或升级？</x:v>
      </x:c>
      <x:c r="I641" s="28" t="str">
        <x:v>覆盖率；区间宽度；ECE；OOD AUROC；拒绝后风险；漂移检测延迟</x:v>
      </x:c>
      <x:c r="J641" s="64" t="str">
        <x:v>前沿能力</x:v>
      </x:c>
      <x:c r="K641" s="64" t="str">
        <x:v>P2</x:v>
      </x:c>
      <x:c r="L641" s="28" t="str">
        <x:v>S03; S21; S45</x:v>
      </x:c>
      <x:c r="M641" s="28" t="str">
        <x:v>https://www.nature.com/articles/s41467-024-45569-5</x:v>
      </x:c>
    </x:row>
    <x:row r="642" ht="48" customHeight="1">
      <x:c r="A642" s="64" t="str">
        <x:v>T0641</x:v>
      </x:c>
      <x:c r="B642" s="28" t="str">
        <x:v>科学AI、仿真与数字孪生</x:v>
      </x:c>
      <x:c r="C642" s="28" t="str">
        <x:v>科学机器学习、仿真与数字孪生</x:v>
      </x:c>
      <x:c r="D642" s="28" t="str">
        <x:v>机理与多尺度仿真</x:v>
      </x:c>
      <x:c r="E642" s="28" t="str">
        <x:v>科学机器学习</x:v>
      </x:c>
      <x:c r="F642" s="28" t="str">
        <x:v>机理模型</x:v>
      </x:c>
      <x:c r="G642" s="28" t="str">
        <x:v>通过“机理模型”融合机理、仿真和实验数据，形成可校准、可同化、可实时同步的预测与控制模型。</x:v>
      </x:c>
      <x:c r="H642" s="28" t="str">
        <x:v>模型偏差、参数可辨识性、数值稳定性和实验校准是否充分？</x:v>
      </x:c>
      <x:c r="I642" s="28" t="str">
        <x:v>预测误差；参数置信区间；守恒残差；实时因子；孪生同步偏差</x:v>
      </x:c>
      <x:c r="J642" s="64" t="str">
        <x:v>基础能力</x:v>
      </x:c>
      <x:c r="K642" s="64" t="str">
        <x:v>P0</x:v>
      </x:c>
      <x:c r="L642" s="28" t="str">
        <x:v>S40; S41; S43; S44</x:v>
      </x:c>
      <x:c r="M642" s="28" t="str">
        <x:v>https://www.nature.com/articles/s41586-021-03819-2</x:v>
      </x:c>
    </x:row>
    <x:row r="643" ht="48" customHeight="1">
      <x:c r="A643" s="64" t="str">
        <x:v>T0642</x:v>
      </x:c>
      <x:c r="B643" s="28" t="str">
        <x:v>科学AI、仿真与数字孪生</x:v>
      </x:c>
      <x:c r="C643" s="28" t="str">
        <x:v>科学机器学习、仿真与数字孪生</x:v>
      </x:c>
      <x:c r="D643" s="28" t="str">
        <x:v>机理与多尺度仿真</x:v>
      </x:c>
      <x:c r="E643" s="28" t="str">
        <x:v>科学机器学习</x:v>
      </x:c>
      <x:c r="F643" s="28" t="str">
        <x:v>第一性原理计算</x:v>
      </x:c>
      <x:c r="G643" s="28" t="str">
        <x:v>通过“第一性原理计算”融合机理、仿真和实验数据，形成可校准、可同化、可实时同步的预测与控制模型。</x:v>
      </x:c>
      <x:c r="H643" s="28" t="str">
        <x:v>模型偏差、参数可辨识性、数值稳定性和实验校准是否充分？</x:v>
      </x:c>
      <x:c r="I643" s="28" t="str">
        <x:v>预测误差；参数置信区间；守恒残差；实时因子；孪生同步偏差</x:v>
      </x:c>
      <x:c r="J643" s="64" t="str">
        <x:v>基础能力</x:v>
      </x:c>
      <x:c r="K643" s="64" t="str">
        <x:v>P0</x:v>
      </x:c>
      <x:c r="L643" s="28" t="str">
        <x:v>S40; S41; S43; S44</x:v>
      </x:c>
      <x:c r="M643" s="28" t="str">
        <x:v>https://www.nature.com/articles/s41586-023-06735-9</x:v>
      </x:c>
    </x:row>
    <x:row r="644" ht="48" customHeight="1">
      <x:c r="A644" s="64" t="str">
        <x:v>T0643</x:v>
      </x:c>
      <x:c r="B644" s="28" t="str">
        <x:v>科学AI、仿真与数字孪生</x:v>
      </x:c>
      <x:c r="C644" s="28" t="str">
        <x:v>科学机器学习、仿真与数字孪生</x:v>
      </x:c>
      <x:c r="D644" s="28" t="str">
        <x:v>机理与多尺度仿真</x:v>
      </x:c>
      <x:c r="E644" s="28" t="str">
        <x:v>科学机器学习</x:v>
      </x:c>
      <x:c r="F644" s="28" t="str">
        <x:v>密度泛函理论DFT</x:v>
      </x:c>
      <x:c r="G644" s="28" t="str">
        <x:v>通过“密度泛函理论DFT”融合机理、仿真和实验数据，形成可校准、可同化、可实时同步的预测与控制模型。</x:v>
      </x:c>
      <x:c r="H644" s="28" t="str">
        <x:v>模型偏差、参数可辨识性、数值稳定性和实验校准是否充分？</x:v>
      </x:c>
      <x:c r="I644" s="28" t="str">
        <x:v>预测误差；参数置信区间；守恒残差；实时因子；孪生同步偏差</x:v>
      </x:c>
      <x:c r="J644" s="64" t="str">
        <x:v>基础能力</x:v>
      </x:c>
      <x:c r="K644" s="64" t="str">
        <x:v>P0</x:v>
      </x:c>
      <x:c r="L644" s="28" t="str">
        <x:v>S40; S41; S43; S44</x:v>
      </x:c>
      <x:c r="M644" s="28" t="str">
        <x:v>https://arxiv.org/abs/1711.10561</x:v>
      </x:c>
    </x:row>
    <x:row r="645" ht="48" customHeight="1">
      <x:c r="A645" s="64" t="str">
        <x:v>T0644</x:v>
      </x:c>
      <x:c r="B645" s="28" t="str">
        <x:v>科学AI、仿真与数字孪生</x:v>
      </x:c>
      <x:c r="C645" s="28" t="str">
        <x:v>科学机器学习、仿真与数字孪生</x:v>
      </x:c>
      <x:c r="D645" s="28" t="str">
        <x:v>机理与多尺度仿真</x:v>
      </x:c>
      <x:c r="E645" s="28" t="str">
        <x:v>科学机器学习</x:v>
      </x:c>
      <x:c r="F645" s="28" t="str">
        <x:v>分子动力学MD</x:v>
      </x:c>
      <x:c r="G645" s="28" t="str">
        <x:v>通过“分子动力学MD”融合机理、仿真和实验数据，形成可校准、可同化、可实时同步的预测与控制模型。</x:v>
      </x:c>
      <x:c r="H645" s="28" t="str">
        <x:v>模型偏差、参数可辨识性、数值稳定性和实验校准是否充分？</x:v>
      </x:c>
      <x:c r="I645" s="28" t="str">
        <x:v>预测误差；参数置信区间；守恒残差；实时因子；孪生同步偏差</x:v>
      </x:c>
      <x:c r="J645" s="64" t="str">
        <x:v>基础能力</x:v>
      </x:c>
      <x:c r="K645" s="64" t="str">
        <x:v>P0</x:v>
      </x:c>
      <x:c r="L645" s="28" t="str">
        <x:v>S40; S41; S43; S44</x:v>
      </x:c>
      <x:c r="M645" s="28" t="str">
        <x:v>https://www.nist.gov/digital-twins</x:v>
      </x:c>
    </x:row>
    <x:row r="646" ht="48" customHeight="1">
      <x:c r="A646" s="64" t="str">
        <x:v>T0645</x:v>
      </x:c>
      <x:c r="B646" s="28" t="str">
        <x:v>科学AI、仿真与数字孪生</x:v>
      </x:c>
      <x:c r="C646" s="28" t="str">
        <x:v>科学机器学习、仿真与数字孪生</x:v>
      </x:c>
      <x:c r="D646" s="28" t="str">
        <x:v>机理与多尺度仿真</x:v>
      </x:c>
      <x:c r="E646" s="28" t="str">
        <x:v>科学机器学习</x:v>
      </x:c>
      <x:c r="F646" s="28" t="str">
        <x:v>有限元FEM</x:v>
      </x:c>
      <x:c r="G646" s="28" t="str">
        <x:v>通过“有限元FEM”融合机理、仿真和实验数据，形成可校准、可同化、可实时同步的预测与控制模型。</x:v>
      </x:c>
      <x:c r="H646" s="28" t="str">
        <x:v>模型偏差、参数可辨识性、数值稳定性和实验校准是否充分？</x:v>
      </x:c>
      <x:c r="I646" s="28" t="str">
        <x:v>预测误差；参数置信区间；守恒残差；实时因子；孪生同步偏差</x:v>
      </x:c>
      <x:c r="J646" s="64" t="str">
        <x:v>基础能力</x:v>
      </x:c>
      <x:c r="K646" s="64" t="str">
        <x:v>P0</x:v>
      </x:c>
      <x:c r="L646" s="28" t="str">
        <x:v>S40; S41; S43; S44</x:v>
      </x:c>
      <x:c r="M646" s="28" t="str">
        <x:v>https://www.nature.com/articles/s41586-021-03819-2</x:v>
      </x:c>
    </x:row>
    <x:row r="647" ht="48" customHeight="1">
      <x:c r="A647" s="64" t="str">
        <x:v>T0646</x:v>
      </x:c>
      <x:c r="B647" s="28" t="str">
        <x:v>科学AI、仿真与数字孪生</x:v>
      </x:c>
      <x:c r="C647" s="28" t="str">
        <x:v>科学机器学习、仿真与数字孪生</x:v>
      </x:c>
      <x:c r="D647" s="28" t="str">
        <x:v>机理与多尺度仿真</x:v>
      </x:c>
      <x:c r="E647" s="28" t="str">
        <x:v>科学机器学习</x:v>
      </x:c>
      <x:c r="F647" s="28" t="str">
        <x:v>计算流体力学CFD</x:v>
      </x:c>
      <x:c r="G647" s="28" t="str">
        <x:v>通过“计算流体力学CFD”融合机理、仿真和实验数据，形成可校准、可同化、可实时同步的预测与控制模型。</x:v>
      </x:c>
      <x:c r="H647" s="28" t="str">
        <x:v>模型偏差、参数可辨识性、数值稳定性和实验校准是否充分？</x:v>
      </x:c>
      <x:c r="I647" s="28" t="str">
        <x:v>预测误差；参数置信区间；守恒残差；实时因子；孪生同步偏差</x:v>
      </x:c>
      <x:c r="J647" s="64" t="str">
        <x:v>基础能力</x:v>
      </x:c>
      <x:c r="K647" s="64" t="str">
        <x:v>P0</x:v>
      </x:c>
      <x:c r="L647" s="28" t="str">
        <x:v>S40; S41; S43; S44</x:v>
      </x:c>
      <x:c r="M647" s="28" t="str">
        <x:v>https://www.nature.com/articles/s41586-023-06735-9</x:v>
      </x:c>
    </x:row>
    <x:row r="648" ht="48" customHeight="1">
      <x:c r="A648" s="64" t="str">
        <x:v>T0647</x:v>
      </x:c>
      <x:c r="B648" s="28" t="str">
        <x:v>科学AI、仿真与数字孪生</x:v>
      </x:c>
      <x:c r="C648" s="28" t="str">
        <x:v>科学机器学习、仿真与数字孪生</x:v>
      </x:c>
      <x:c r="D648" s="28" t="str">
        <x:v>机理与多尺度仿真</x:v>
      </x:c>
      <x:c r="E648" s="28" t="str">
        <x:v>科学机器学习</x:v>
      </x:c>
      <x:c r="F648" s="28" t="str">
        <x:v>动力学蒙特卡洛</x:v>
      </x:c>
      <x:c r="G648" s="28" t="str">
        <x:v>通过“动力学蒙特卡洛”融合机理、仿真和实验数据，形成可校准、可同化、可实时同步的预测与控制模型。</x:v>
      </x:c>
      <x:c r="H648" s="28" t="str">
        <x:v>模型偏差、参数可辨识性、数值稳定性和实验校准是否充分？</x:v>
      </x:c>
      <x:c r="I648" s="28" t="str">
        <x:v>预测误差；参数置信区间；守恒残差；实时因子；孪生同步偏差</x:v>
      </x:c>
      <x:c r="J648" s="64" t="str">
        <x:v>基础能力</x:v>
      </x:c>
      <x:c r="K648" s="64" t="str">
        <x:v>P0</x:v>
      </x:c>
      <x:c r="L648" s="28" t="str">
        <x:v>S40; S41; S43; S44</x:v>
      </x:c>
      <x:c r="M648" s="28" t="str">
        <x:v>https://arxiv.org/abs/1711.10561</x:v>
      </x:c>
    </x:row>
    <x:row r="649" ht="48" customHeight="1">
      <x:c r="A649" s="64" t="str">
        <x:v>T0648</x:v>
      </x:c>
      <x:c r="B649" s="28" t="str">
        <x:v>科学AI、仿真与数字孪生</x:v>
      </x:c>
      <x:c r="C649" s="28" t="str">
        <x:v>科学机器学习、仿真与数字孪生</x:v>
      </x:c>
      <x:c r="D649" s="28" t="str">
        <x:v>机理与多尺度仿真</x:v>
      </x:c>
      <x:c r="E649" s="28" t="str">
        <x:v>科学机器学习</x:v>
      </x:c>
      <x:c r="F649" s="28" t="str">
        <x:v>相场模型</x:v>
      </x:c>
      <x:c r="G649" s="28" t="str">
        <x:v>通过“相场模型”融合机理、仿真和实验数据，形成可校准、可同化、可实时同步的预测与控制模型。</x:v>
      </x:c>
      <x:c r="H649" s="28" t="str">
        <x:v>模型偏差、参数可辨识性、数值稳定性和实验校准是否充分？</x:v>
      </x:c>
      <x:c r="I649" s="28" t="str">
        <x:v>预测误差；参数置信区间；守恒残差；实时因子；孪生同步偏差</x:v>
      </x:c>
      <x:c r="J649" s="64" t="str">
        <x:v>基础能力</x:v>
      </x:c>
      <x:c r="K649" s="64" t="str">
        <x:v>P0</x:v>
      </x:c>
      <x:c r="L649" s="28" t="str">
        <x:v>S40; S41; S43; S44</x:v>
      </x:c>
      <x:c r="M649" s="28" t="str">
        <x:v>https://www.nist.gov/digital-twins</x:v>
      </x:c>
    </x:row>
    <x:row r="650" ht="48" customHeight="1">
      <x:c r="A650" s="64" t="str">
        <x:v>T0649</x:v>
      </x:c>
      <x:c r="B650" s="28" t="str">
        <x:v>科学AI、仿真与数字孪生</x:v>
      </x:c>
      <x:c r="C650" s="28" t="str">
        <x:v>科学机器学习、仿真与数字孪生</x:v>
      </x:c>
      <x:c r="D650" s="28" t="str">
        <x:v>机理与多尺度仿真</x:v>
      </x:c>
      <x:c r="E650" s="28" t="str">
        <x:v>科学机器学习</x:v>
      </x:c>
      <x:c r="F650" s="28" t="str">
        <x:v>群体平衡模型</x:v>
      </x:c>
      <x:c r="G650" s="28" t="str">
        <x:v>通过“群体平衡模型”融合机理、仿真和实验数据，形成可校准、可同化、可实时同步的预测与控制模型。</x:v>
      </x:c>
      <x:c r="H650" s="28" t="str">
        <x:v>模型偏差、参数可辨识性、数值稳定性和实验校准是否充分？</x:v>
      </x:c>
      <x:c r="I650" s="28" t="str">
        <x:v>预测误差；参数置信区间；守恒残差；实时因子；孪生同步偏差</x:v>
      </x:c>
      <x:c r="J650" s="64" t="str">
        <x:v>基础能力</x:v>
      </x:c>
      <x:c r="K650" s="64" t="str">
        <x:v>P0</x:v>
      </x:c>
      <x:c r="L650" s="28" t="str">
        <x:v>S40; S41; S43; S44</x:v>
      </x:c>
      <x:c r="M650" s="28" t="str">
        <x:v>https://www.nature.com/articles/s41586-021-03819-2</x:v>
      </x:c>
    </x:row>
    <x:row r="651" ht="48" customHeight="1">
      <x:c r="A651" s="64" t="str">
        <x:v>T0650</x:v>
      </x:c>
      <x:c r="B651" s="28" t="str">
        <x:v>科学AI、仿真与数字孪生</x:v>
      </x:c>
      <x:c r="C651" s="28" t="str">
        <x:v>科学机器学习、仿真与数字孪生</x:v>
      </x:c>
      <x:c r="D651" s="28" t="str">
        <x:v>机理与多尺度仿真</x:v>
      </x:c>
      <x:c r="E651" s="28" t="str">
        <x:v>科学机器学习</x:v>
      </x:c>
      <x:c r="F651" s="28" t="str">
        <x:v>热力学模型</x:v>
      </x:c>
      <x:c r="G651" s="28" t="str">
        <x:v>通过“热力学模型”融合机理、仿真和实验数据，形成可校准、可同化、可实时同步的预测与控制模型。</x:v>
      </x:c>
      <x:c r="H651" s="28" t="str">
        <x:v>模型偏差、参数可辨识性、数值稳定性和实验校准是否充分？</x:v>
      </x:c>
      <x:c r="I651" s="28" t="str">
        <x:v>预测误差；参数置信区间；守恒残差；实时因子；孪生同步偏差</x:v>
      </x:c>
      <x:c r="J651" s="64" t="str">
        <x:v>基础能力</x:v>
      </x:c>
      <x:c r="K651" s="64" t="str">
        <x:v>P0</x:v>
      </x:c>
      <x:c r="L651" s="28" t="str">
        <x:v>S40; S41; S43; S44</x:v>
      </x:c>
      <x:c r="M651" s="28" t="str">
        <x:v>https://www.nature.com/articles/s41586-023-06735-9</x:v>
      </x:c>
    </x:row>
    <x:row r="652" ht="48" customHeight="1">
      <x:c r="A652" s="64" t="str">
        <x:v>T0651</x:v>
      </x:c>
      <x:c r="B652" s="28" t="str">
        <x:v>科学AI、仿真与数字孪生</x:v>
      </x:c>
      <x:c r="C652" s="28" t="str">
        <x:v>科学机器学习、仿真与数字孪生</x:v>
      </x:c>
      <x:c r="D652" s="28" t="str">
        <x:v>科学机器学习与可微建模</x:v>
      </x:c>
      <x:c r="E652" s="28" t="str">
        <x:v>科学机器学习</x:v>
      </x:c>
      <x:c r="F652" s="28" t="str">
        <x:v>反应动力学模型</x:v>
      </x:c>
      <x:c r="G652" s="28" t="str">
        <x:v>通过“反应动力学模型”融合机理、仿真和实验数据，形成可校准、可同化、可实时同步的预测与控制模型。</x:v>
      </x:c>
      <x:c r="H652" s="28" t="str">
        <x:v>模型偏差、参数可辨识性、数值稳定性和实验校准是否充分？</x:v>
      </x:c>
      <x:c r="I652" s="28" t="str">
        <x:v>预测误差；参数置信区间；守恒残差；实时因子；孪生同步偏差</x:v>
      </x:c>
      <x:c r="J652" s="64" t="str">
        <x:v>基础能力</x:v>
      </x:c>
      <x:c r="K652" s="64" t="str">
        <x:v>P1</x:v>
      </x:c>
      <x:c r="L652" s="28" t="str">
        <x:v>S40; S41; S43; S44</x:v>
      </x:c>
      <x:c r="M652" s="28" t="str">
        <x:v>https://arxiv.org/abs/1711.10561</x:v>
      </x:c>
    </x:row>
    <x:row r="653" ht="48" customHeight="1">
      <x:c r="A653" s="64" t="str">
        <x:v>T0652</x:v>
      </x:c>
      <x:c r="B653" s="28" t="str">
        <x:v>科学AI、仿真与数字孪生</x:v>
      </x:c>
      <x:c r="C653" s="28" t="str">
        <x:v>科学机器学习、仿真与数字孪生</x:v>
      </x:c>
      <x:c r="D653" s="28" t="str">
        <x:v>科学机器学习与可微建模</x:v>
      </x:c>
      <x:c r="E653" s="28" t="str">
        <x:v>科学机器学习</x:v>
      </x:c>
      <x:c r="F653" s="28" t="str">
        <x:v>反应网络</x:v>
      </x:c>
      <x:c r="G653" s="28" t="str">
        <x:v>通过“反应网络”融合机理、仿真和实验数据，形成可校准、可同化、可实时同步的预测与控制模型。</x:v>
      </x:c>
      <x:c r="H653" s="28" t="str">
        <x:v>模型偏差、参数可辨识性、数值稳定性和实验校准是否充分？</x:v>
      </x:c>
      <x:c r="I653" s="28" t="str">
        <x:v>预测误差；参数置信区间；守恒残差；实时因子；孪生同步偏差</x:v>
      </x:c>
      <x:c r="J653" s="64" t="str">
        <x:v>基础能力</x:v>
      </x:c>
      <x:c r="K653" s="64" t="str">
        <x:v>P1</x:v>
      </x:c>
      <x:c r="L653" s="28" t="str">
        <x:v>S40; S41; S43; S44</x:v>
      </x:c>
      <x:c r="M653" s="28" t="str">
        <x:v>https://www.nist.gov/digital-twins</x:v>
      </x:c>
    </x:row>
    <x:row r="654" ht="48" customHeight="1">
      <x:c r="A654" s="64" t="str">
        <x:v>T0653</x:v>
      </x:c>
      <x:c r="B654" s="28" t="str">
        <x:v>科学AI、仿真与数字孪生</x:v>
      </x:c>
      <x:c r="C654" s="28" t="str">
        <x:v>科学机器学习、仿真与数字孪生</x:v>
      </x:c>
      <x:c r="D654" s="28" t="str">
        <x:v>科学机器学习与可微建模</x:v>
      </x:c>
      <x:c r="E654" s="28" t="str">
        <x:v>科学机器学习</x:v>
      </x:c>
      <x:c r="F654" s="28" t="str">
        <x:v>系统生物学模型</x:v>
      </x:c>
      <x:c r="G654" s="28" t="str">
        <x:v>通过“系统生物学模型”融合机理、仿真和实验数据，形成可校准、可同化、可实时同步的预测与控制模型。</x:v>
      </x:c>
      <x:c r="H654" s="28" t="str">
        <x:v>模型偏差、参数可辨识性、数值稳定性和实验校准是否充分？</x:v>
      </x:c>
      <x:c r="I654" s="28" t="str">
        <x:v>预测误差；参数置信区间；守恒残差；实时因子；孪生同步偏差</x:v>
      </x:c>
      <x:c r="J654" s="64" t="str">
        <x:v>工程化关键</x:v>
      </x:c>
      <x:c r="K654" s="64" t="str">
        <x:v>P1</x:v>
      </x:c>
      <x:c r="L654" s="28" t="str">
        <x:v>S40; S41; S43; S44</x:v>
      </x:c>
      <x:c r="M654" s="28" t="str">
        <x:v>https://www.nature.com/articles/s41586-021-03819-2</x:v>
      </x:c>
    </x:row>
    <x:row r="655" ht="48" customHeight="1">
      <x:c r="A655" s="64" t="str">
        <x:v>T0654</x:v>
      </x:c>
      <x:c r="B655" s="28" t="str">
        <x:v>科学AI、仿真与数字孪生</x:v>
      </x:c>
      <x:c r="C655" s="28" t="str">
        <x:v>科学机器学习、仿真与数字孪生</x:v>
      </x:c>
      <x:c r="D655" s="28" t="str">
        <x:v>科学机器学习与可微建模</x:v>
      </x:c>
      <x:c r="E655" s="28" t="str">
        <x:v>科学机器学习</x:v>
      </x:c>
      <x:c r="F655" s="28" t="str">
        <x:v>多尺度耦合</x:v>
      </x:c>
      <x:c r="G655" s="28" t="str">
        <x:v>通过“多尺度耦合”融合机理、仿真和实验数据，形成可校准、可同化、可实时同步的预测与控制模型。</x:v>
      </x:c>
      <x:c r="H655" s="28" t="str">
        <x:v>模型偏差、参数可辨识性、数值稳定性和实验校准是否充分？</x:v>
      </x:c>
      <x:c r="I655" s="28" t="str">
        <x:v>预测误差；参数置信区间；守恒残差；实时因子；孪生同步偏差</x:v>
      </x:c>
      <x:c r="J655" s="64" t="str">
        <x:v>工程化关键</x:v>
      </x:c>
      <x:c r="K655" s="64" t="str">
        <x:v>P1</x:v>
      </x:c>
      <x:c r="L655" s="28" t="str">
        <x:v>S40; S41; S43; S44</x:v>
      </x:c>
      <x:c r="M655" s="28" t="str">
        <x:v>https://www.nature.com/articles/s41586-023-06735-9</x:v>
      </x:c>
    </x:row>
    <x:row r="656" ht="48" customHeight="1">
      <x:c r="A656" s="64" t="str">
        <x:v>T0655</x:v>
      </x:c>
      <x:c r="B656" s="28" t="str">
        <x:v>科学AI、仿真与数字孪生</x:v>
      </x:c>
      <x:c r="C656" s="28" t="str">
        <x:v>科学机器学习、仿真与数字孪生</x:v>
      </x:c>
      <x:c r="D656" s="28" t="str">
        <x:v>科学机器学习与可微建模</x:v>
      </x:c>
      <x:c r="E656" s="28" t="str">
        <x:v>科学机器学习</x:v>
      </x:c>
      <x:c r="F656" s="28" t="str">
        <x:v>联合仿真</x:v>
      </x:c>
      <x:c r="G656" s="28" t="str">
        <x:v>通过“联合仿真”融合机理、仿真和实验数据，形成可校准、可同化、可实时同步的预测与控制模型。</x:v>
      </x:c>
      <x:c r="H656" s="28" t="str">
        <x:v>模型偏差、参数可辨识性、数值稳定性和实验校准是否充分？</x:v>
      </x:c>
      <x:c r="I656" s="28" t="str">
        <x:v>预测误差；参数置信区间；守恒残差；实时因子；孪生同步偏差</x:v>
      </x:c>
      <x:c r="J656" s="64" t="str">
        <x:v>工程化关键</x:v>
      </x:c>
      <x:c r="K656" s="64" t="str">
        <x:v>P1</x:v>
      </x:c>
      <x:c r="L656" s="28" t="str">
        <x:v>S40; S41; S43; S44</x:v>
      </x:c>
      <x:c r="M656" s="28" t="str">
        <x:v>https://arxiv.org/abs/1711.10561</x:v>
      </x:c>
    </x:row>
    <x:row r="657" ht="48" customHeight="1">
      <x:c r="A657" s="64" t="str">
        <x:v>T0656</x:v>
      </x:c>
      <x:c r="B657" s="28" t="str">
        <x:v>科学AI、仿真与数字孪生</x:v>
      </x:c>
      <x:c r="C657" s="28" t="str">
        <x:v>科学机器学习、仿真与数字孪生</x:v>
      </x:c>
      <x:c r="D657" s="28" t="str">
        <x:v>科学机器学习与可微建模</x:v>
      </x:c>
      <x:c r="E657" s="28" t="str">
        <x:v>科学机器学习</x:v>
      </x:c>
      <x:c r="F657" s="28" t="str">
        <x:v>降阶模型</x:v>
      </x:c>
      <x:c r="G657" s="28" t="str">
        <x:v>通过“降阶模型”融合机理、仿真和实验数据，形成可校准、可同化、可实时同步的预测与控制模型。</x:v>
      </x:c>
      <x:c r="H657" s="28" t="str">
        <x:v>模型偏差、参数可辨识性、数值稳定性和实验校准是否充分？</x:v>
      </x:c>
      <x:c r="I657" s="28" t="str">
        <x:v>预测误差；参数置信区间；守恒残差；实时因子；孪生同步偏差</x:v>
      </x:c>
      <x:c r="J657" s="64" t="str">
        <x:v>工程化关键</x:v>
      </x:c>
      <x:c r="K657" s="64" t="str">
        <x:v>P1</x:v>
      </x:c>
      <x:c r="L657" s="28" t="str">
        <x:v>S40; S41; S43; S44</x:v>
      </x:c>
      <x:c r="M657" s="28" t="str">
        <x:v>https://www.nist.gov/digital-twins</x:v>
      </x:c>
    </x:row>
    <x:row r="658" ht="48" customHeight="1">
      <x:c r="A658" s="64" t="str">
        <x:v>T0657</x:v>
      </x:c>
      <x:c r="B658" s="28" t="str">
        <x:v>科学AI、仿真与数字孪生</x:v>
      </x:c>
      <x:c r="C658" s="28" t="str">
        <x:v>科学机器学习、仿真与数字孪生</x:v>
      </x:c>
      <x:c r="D658" s="28" t="str">
        <x:v>科学机器学习与可微建模</x:v>
      </x:c>
      <x:c r="E658" s="28" t="str">
        <x:v>科学机器学习</x:v>
      </x:c>
      <x:c r="F658" s="28" t="str">
        <x:v>仿真代理模型</x:v>
      </x:c>
      <x:c r="G658" s="28" t="str">
        <x:v>通过“仿真代理模型”融合机理、仿真和实验数据，形成可校准、可同化、可实时同步的预测与控制模型。</x:v>
      </x:c>
      <x:c r="H658" s="28" t="str">
        <x:v>模型偏差、参数可辨识性、数值稳定性和实验校准是否充分？</x:v>
      </x:c>
      <x:c r="I658" s="28" t="str">
        <x:v>预测误差；参数置信区间；守恒残差；实时因子；孪生同步偏差</x:v>
      </x:c>
      <x:c r="J658" s="64" t="str">
        <x:v>工程化关键</x:v>
      </x:c>
      <x:c r="K658" s="64" t="str">
        <x:v>P1</x:v>
      </x:c>
      <x:c r="L658" s="28" t="str">
        <x:v>S40; S41; S43; S44</x:v>
      </x:c>
      <x:c r="M658" s="28" t="str">
        <x:v>https://www.nature.com/articles/s41586-021-03819-2</x:v>
      </x:c>
    </x:row>
    <x:row r="659" ht="48" customHeight="1">
      <x:c r="A659" s="64" t="str">
        <x:v>T0658</x:v>
      </x:c>
      <x:c r="B659" s="28" t="str">
        <x:v>科学AI、仿真与数字孪生</x:v>
      </x:c>
      <x:c r="C659" s="28" t="str">
        <x:v>科学机器学习、仿真与数字孪生</x:v>
      </x:c>
      <x:c r="D659" s="28" t="str">
        <x:v>科学机器学习与可微建模</x:v>
      </x:c>
      <x:c r="E659" s="28" t="str">
        <x:v>科学机器学习</x:v>
      </x:c>
      <x:c r="F659" s="28" t="str">
        <x:v>神经算子</x:v>
      </x:c>
      <x:c r="G659" s="28" t="str">
        <x:v>通过“神经算子”融合机理、仿真和实验数据，形成可校准、可同化、可实时同步的预测与控制模型。</x:v>
      </x:c>
      <x:c r="H659" s="28" t="str">
        <x:v>模型偏差、参数可辨识性、数值稳定性和实验校准是否充分？</x:v>
      </x:c>
      <x:c r="I659" s="28" t="str">
        <x:v>预测误差；参数置信区间；守恒残差；实时因子；孪生同步偏差</x:v>
      </x:c>
      <x:c r="J659" s="64" t="str">
        <x:v>工程化关键</x:v>
      </x:c>
      <x:c r="K659" s="64" t="str">
        <x:v>P1</x:v>
      </x:c>
      <x:c r="L659" s="28" t="str">
        <x:v>S40; S41; S43; S44</x:v>
      </x:c>
      <x:c r="M659" s="28" t="str">
        <x:v>https://www.nature.com/articles/s41586-023-06735-9</x:v>
      </x:c>
    </x:row>
    <x:row r="660" ht="48" customHeight="1">
      <x:c r="A660" s="64" t="str">
        <x:v>T0659</x:v>
      </x:c>
      <x:c r="B660" s="28" t="str">
        <x:v>科学AI、仿真与数字孪生</x:v>
      </x:c>
      <x:c r="C660" s="28" t="str">
        <x:v>科学机器学习、仿真与数字孪生</x:v>
      </x:c>
      <x:c r="D660" s="28" t="str">
        <x:v>科学机器学习与可微建模</x:v>
      </x:c>
      <x:c r="E660" s="28" t="str">
        <x:v>科学机器学习</x:v>
      </x:c>
      <x:c r="F660" s="28" t="str">
        <x:v>物理信息神经网络PINN</x:v>
      </x:c>
      <x:c r="G660" s="28" t="str">
        <x:v>通过“物理信息神经网络PINN”融合机理、仿真和实验数据，形成可校准、可同化、可实时同步的预测与控制模型。</x:v>
      </x:c>
      <x:c r="H660" s="28" t="str">
        <x:v>模型偏差、参数可辨识性、数值稳定性和实验校准是否充分？</x:v>
      </x:c>
      <x:c r="I660" s="28" t="str">
        <x:v>预测误差；参数置信区间；守恒残差；实时因子；孪生同步偏差</x:v>
      </x:c>
      <x:c r="J660" s="64" t="str">
        <x:v>工程化关键</x:v>
      </x:c>
      <x:c r="K660" s="64" t="str">
        <x:v>P1</x:v>
      </x:c>
      <x:c r="L660" s="28" t="str">
        <x:v>S40; S41; S43; S44</x:v>
      </x:c>
      <x:c r="M660" s="28" t="str">
        <x:v>https://arxiv.org/abs/1711.10561</x:v>
      </x:c>
    </x:row>
    <x:row r="661" ht="48" customHeight="1">
      <x:c r="A661" s="64" t="str">
        <x:v>T0660</x:v>
      </x:c>
      <x:c r="B661" s="28" t="str">
        <x:v>科学AI、仿真与数字孪生</x:v>
      </x:c>
      <x:c r="C661" s="28" t="str">
        <x:v>科学机器学习、仿真与数字孪生</x:v>
      </x:c>
      <x:c r="D661" s="28" t="str">
        <x:v>科学机器学习与可微建模</x:v>
      </x:c>
      <x:c r="E661" s="28" t="str">
        <x:v>科学机器学习</x:v>
      </x:c>
      <x:c r="F661" s="28" t="str">
        <x:v>通用微分方程</x:v>
      </x:c>
      <x:c r="G661" s="28" t="str">
        <x:v>通过“通用微分方程”融合机理、仿真和实验数据，形成可校准、可同化、可实时同步的预测与控制模型。</x:v>
      </x:c>
      <x:c r="H661" s="28" t="str">
        <x:v>模型偏差、参数可辨识性、数值稳定性和实验校准是否充分？</x:v>
      </x:c>
      <x:c r="I661" s="28" t="str">
        <x:v>预测误差；参数置信区间；守恒残差；实时因子；孪生同步偏差</x:v>
      </x:c>
      <x:c r="J661" s="64" t="str">
        <x:v>工程化关键</x:v>
      </x:c>
      <x:c r="K661" s="64" t="str">
        <x:v>P1</x:v>
      </x:c>
      <x:c r="L661" s="28" t="str">
        <x:v>S40; S41; S43; S44</x:v>
      </x:c>
      <x:c r="M661" s="28" t="str">
        <x:v>https://www.nist.gov/digital-twins</x:v>
      </x:c>
    </x:row>
    <x:row r="662" ht="48" customHeight="1">
      <x:c r="A662" s="64" t="str">
        <x:v>T0661</x:v>
      </x:c>
      <x:c r="B662" s="28" t="str">
        <x:v>科学AI、仿真与数字孪生</x:v>
      </x:c>
      <x:c r="C662" s="28" t="str">
        <x:v>科学机器学习、仿真与数字孪生</x:v>
      </x:c>
      <x:c r="D662" s="28" t="str">
        <x:v>逆问题与数据同化</x:v>
      </x:c>
      <x:c r="E662" s="28" t="str">
        <x:v>科学机器学习</x:v>
      </x:c>
      <x:c r="F662" s="28" t="str">
        <x:v>可微物理</x:v>
      </x:c>
      <x:c r="G662" s="28" t="str">
        <x:v>通过“可微物理”融合机理、仿真和实验数据，形成可校准、可同化、可实时同步的预测与控制模型。</x:v>
      </x:c>
      <x:c r="H662" s="28" t="str">
        <x:v>模型偏差、参数可辨识性、数值稳定性和实验校准是否充分？</x:v>
      </x:c>
      <x:c r="I662" s="28" t="str">
        <x:v>预测误差；参数置信区间；守恒残差；实时因子；孪生同步偏差</x:v>
      </x:c>
      <x:c r="J662" s="64" t="str">
        <x:v>工程化关键</x:v>
      </x:c>
      <x:c r="K662" s="64" t="str">
        <x:v>P1</x:v>
      </x:c>
      <x:c r="L662" s="28" t="str">
        <x:v>S40; S41; S43; S44</x:v>
      </x:c>
      <x:c r="M662" s="28" t="str">
        <x:v>https://www.nature.com/articles/s41586-021-03819-2</x:v>
      </x:c>
    </x:row>
    <x:row r="663" ht="48" customHeight="1">
      <x:c r="A663" s="64" t="str">
        <x:v>T0662</x:v>
      </x:c>
      <x:c r="B663" s="28" t="str">
        <x:v>科学AI、仿真与数字孪生</x:v>
      </x:c>
      <x:c r="C663" s="28" t="str">
        <x:v>科学机器学习、仿真与数字孪生</x:v>
      </x:c>
      <x:c r="D663" s="28" t="str">
        <x:v>逆问题与数据同化</x:v>
      </x:c>
      <x:c r="E663" s="28" t="str">
        <x:v>科学机器学习</x:v>
      </x:c>
      <x:c r="F663" s="28" t="str">
        <x:v>自动微分</x:v>
      </x:c>
      <x:c r="G663" s="28" t="str">
        <x:v>通过“自动微分”融合机理、仿真和实验数据，形成可校准、可同化、可实时同步的预测与控制模型。</x:v>
      </x:c>
      <x:c r="H663" s="28" t="str">
        <x:v>模型偏差、参数可辨识性、数值稳定性和实验校准是否充分？</x:v>
      </x:c>
      <x:c r="I663" s="28" t="str">
        <x:v>预测误差；参数置信区间；守恒残差；实时因子；孪生同步偏差</x:v>
      </x:c>
      <x:c r="J663" s="64" t="str">
        <x:v>工程化关键</x:v>
      </x:c>
      <x:c r="K663" s="64" t="str">
        <x:v>P1</x:v>
      </x:c>
      <x:c r="L663" s="28" t="str">
        <x:v>S40; S41; S43; S44</x:v>
      </x:c>
      <x:c r="M663" s="28" t="str">
        <x:v>https://www.nature.com/articles/s41586-023-06735-9</x:v>
      </x:c>
    </x:row>
    <x:row r="664" ht="48" customHeight="1">
      <x:c r="A664" s="64" t="str">
        <x:v>T0663</x:v>
      </x:c>
      <x:c r="B664" s="28" t="str">
        <x:v>科学AI、仿真与数字孪生</x:v>
      </x:c>
      <x:c r="C664" s="28" t="str">
        <x:v>科学机器学习、仿真与数字孪生</x:v>
      </x:c>
      <x:c r="D664" s="28" t="str">
        <x:v>逆问题与数据同化</x:v>
      </x:c>
      <x:c r="E664" s="28" t="str">
        <x:v>科学机器学习</x:v>
      </x:c>
      <x:c r="F664" s="28" t="str">
        <x:v>逆问题</x:v>
      </x:c>
      <x:c r="G664" s="28" t="str">
        <x:v>通过“逆问题”融合机理、仿真和实验数据，形成可校准、可同化、可实时同步的预测与控制模型。</x:v>
      </x:c>
      <x:c r="H664" s="28" t="str">
        <x:v>模型偏差、参数可辨识性、数值稳定性和实验校准是否充分？</x:v>
      </x:c>
      <x:c r="I664" s="28" t="str">
        <x:v>预测误差；参数置信区间；守恒残差；实时因子；孪生同步偏差</x:v>
      </x:c>
      <x:c r="J664" s="64" t="str">
        <x:v>工程化关键</x:v>
      </x:c>
      <x:c r="K664" s="64" t="str">
        <x:v>P1</x:v>
      </x:c>
      <x:c r="L664" s="28" t="str">
        <x:v>S40; S41; S43; S44</x:v>
      </x:c>
      <x:c r="M664" s="28" t="str">
        <x:v>https://arxiv.org/abs/1711.10561</x:v>
      </x:c>
    </x:row>
    <x:row r="665" ht="48" customHeight="1">
      <x:c r="A665" s="64" t="str">
        <x:v>T0664</x:v>
      </x:c>
      <x:c r="B665" s="28" t="str">
        <x:v>科学AI、仿真与数字孪生</x:v>
      </x:c>
      <x:c r="C665" s="28" t="str">
        <x:v>科学机器学习、仿真与数字孪生</x:v>
      </x:c>
      <x:c r="D665" s="28" t="str">
        <x:v>逆问题与数据同化</x:v>
      </x:c>
      <x:c r="E665" s="28" t="str">
        <x:v>科学机器学习</x:v>
      </x:c>
      <x:c r="F665" s="28" t="str">
        <x:v>参数估计</x:v>
      </x:c>
      <x:c r="G665" s="28" t="str">
        <x:v>通过“参数估计”融合机理、仿真和实验数据，形成可校准、可同化、可实时同步的预测与控制模型。</x:v>
      </x:c>
      <x:c r="H665" s="28" t="str">
        <x:v>模型偏差、参数可辨识性、数值稳定性和实验校准是否充分？</x:v>
      </x:c>
      <x:c r="I665" s="28" t="str">
        <x:v>预测误差；参数置信区间；守恒残差；实时因子；孪生同步偏差</x:v>
      </x:c>
      <x:c r="J665" s="64" t="str">
        <x:v>工程化关键</x:v>
      </x:c>
      <x:c r="K665" s="64" t="str">
        <x:v>P1</x:v>
      </x:c>
      <x:c r="L665" s="28" t="str">
        <x:v>S40; S41; S43; S44</x:v>
      </x:c>
      <x:c r="M665" s="28" t="str">
        <x:v>https://www.nist.gov/digital-twins</x:v>
      </x:c>
    </x:row>
    <x:row r="666" ht="48" customHeight="1">
      <x:c r="A666" s="64" t="str">
        <x:v>T0665</x:v>
      </x:c>
      <x:c r="B666" s="28" t="str">
        <x:v>科学AI、仿真与数字孪生</x:v>
      </x:c>
      <x:c r="C666" s="28" t="str">
        <x:v>科学机器学习、仿真与数字孪生</x:v>
      </x:c>
      <x:c r="D666" s="28" t="str">
        <x:v>逆问题与数据同化</x:v>
      </x:c>
      <x:c r="E666" s="28" t="str">
        <x:v>科学机器学习</x:v>
      </x:c>
      <x:c r="F666" s="28" t="str">
        <x:v>数据同化</x:v>
      </x:c>
      <x:c r="G666" s="28" t="str">
        <x:v>通过“数据同化”融合机理、仿真和实验数据，形成可校准、可同化、可实时同步的预测与控制模型。</x:v>
      </x:c>
      <x:c r="H666" s="28" t="str">
        <x:v>模型偏差、参数可辨识性、数值稳定性和实验校准是否充分？</x:v>
      </x:c>
      <x:c r="I666" s="28" t="str">
        <x:v>预测误差；参数置信区间；守恒残差；实时因子；孪生同步偏差</x:v>
      </x:c>
      <x:c r="J666" s="64" t="str">
        <x:v>工程化关键</x:v>
      </x:c>
      <x:c r="K666" s="64" t="str">
        <x:v>P1</x:v>
      </x:c>
      <x:c r="L666" s="28" t="str">
        <x:v>S40; S41; S43; S44</x:v>
      </x:c>
      <x:c r="M666" s="28" t="str">
        <x:v>https://www.nature.com/articles/s41586-021-03819-2</x:v>
      </x:c>
    </x:row>
    <x:row r="667" ht="48" customHeight="1">
      <x:c r="A667" s="64" t="str">
        <x:v>T0666</x:v>
      </x:c>
      <x:c r="B667" s="28" t="str">
        <x:v>科学AI、仿真与数字孪生</x:v>
      </x:c>
      <x:c r="C667" s="28" t="str">
        <x:v>科学机器学习、仿真与数字孪生</x:v>
      </x:c>
      <x:c r="D667" s="28" t="str">
        <x:v>逆问题与数据同化</x:v>
      </x:c>
      <x:c r="E667" s="28" t="str">
        <x:v>科学机器学习</x:v>
      </x:c>
      <x:c r="F667" s="28" t="str">
        <x:v>卡尔曼滤波</x:v>
      </x:c>
      <x:c r="G667" s="28" t="str">
        <x:v>通过“卡尔曼滤波”融合机理、仿真和实验数据，形成可校准、可同化、可实时同步的预测与控制模型。</x:v>
      </x:c>
      <x:c r="H667" s="28" t="str">
        <x:v>模型偏差、参数可辨识性、数值稳定性和实验校准是否充分？</x:v>
      </x:c>
      <x:c r="I667" s="28" t="str">
        <x:v>预测误差；参数置信区间；守恒残差；实时因子；孪生同步偏差</x:v>
      </x:c>
      <x:c r="J667" s="64" t="str">
        <x:v>工程化关键</x:v>
      </x:c>
      <x:c r="K667" s="64" t="str">
        <x:v>P1</x:v>
      </x:c>
      <x:c r="L667" s="28" t="str">
        <x:v>S40; S41; S43; S44</x:v>
      </x:c>
      <x:c r="M667" s="28" t="str">
        <x:v>https://www.nature.com/articles/s41586-023-06735-9</x:v>
      </x:c>
    </x:row>
    <x:row r="668" ht="48" customHeight="1">
      <x:c r="A668" s="64" t="str">
        <x:v>T0667</x:v>
      </x:c>
      <x:c r="B668" s="28" t="str">
        <x:v>科学AI、仿真与数字孪生</x:v>
      </x:c>
      <x:c r="C668" s="28" t="str">
        <x:v>科学机器学习、仿真与数字孪生</x:v>
      </x:c>
      <x:c r="D668" s="28" t="str">
        <x:v>逆问题与数据同化</x:v>
      </x:c>
      <x:c r="E668" s="28" t="str">
        <x:v>科学机器学习</x:v>
      </x:c>
      <x:c r="F668" s="28" t="str">
        <x:v>粒子滤波</x:v>
      </x:c>
      <x:c r="G668" s="28" t="str">
        <x:v>通过“粒子滤波”融合机理、仿真和实验数据，形成可校准、可同化、可实时同步的预测与控制模型。</x:v>
      </x:c>
      <x:c r="H668" s="28" t="str">
        <x:v>模型偏差、参数可辨识性、数值稳定性和实验校准是否充分？</x:v>
      </x:c>
      <x:c r="I668" s="28" t="str">
        <x:v>预测误差；参数置信区间；守恒残差；实时因子；孪生同步偏差</x:v>
      </x:c>
      <x:c r="J668" s="64" t="str">
        <x:v>工程化关键</x:v>
      </x:c>
      <x:c r="K668" s="64" t="str">
        <x:v>P1</x:v>
      </x:c>
      <x:c r="L668" s="28" t="str">
        <x:v>S40; S41; S43; S44</x:v>
      </x:c>
      <x:c r="M668" s="28" t="str">
        <x:v>https://arxiv.org/abs/1711.10561</x:v>
      </x:c>
    </x:row>
    <x:row r="669" ht="48" customHeight="1">
      <x:c r="A669" s="64" t="str">
        <x:v>T0668</x:v>
      </x:c>
      <x:c r="B669" s="28" t="str">
        <x:v>科学AI、仿真与数字孪生</x:v>
      </x:c>
      <x:c r="C669" s="28" t="str">
        <x:v>科学机器学习、仿真与数字孪生</x:v>
      </x:c>
      <x:c r="D669" s="28" t="str">
        <x:v>逆问题与数据同化</x:v>
      </x:c>
      <x:c r="E669" s="28" t="str">
        <x:v>科学机器学习</x:v>
      </x:c>
      <x:c r="F669" s="28" t="str">
        <x:v>数字孪生</x:v>
      </x:c>
      <x:c r="G669" s="28" t="str">
        <x:v>通过“数字孪生”融合机理、仿真和实验数据，形成可校准、可同化、可实时同步的预测与控制模型。</x:v>
      </x:c>
      <x:c r="H669" s="28" t="str">
        <x:v>模型偏差、参数可辨识性、数值稳定性和实验校准是否充分？</x:v>
      </x:c>
      <x:c r="I669" s="28" t="str">
        <x:v>预测误差；参数置信区间；守恒残差；实时因子；孪生同步偏差</x:v>
      </x:c>
      <x:c r="J669" s="64" t="str">
        <x:v>工程化关键</x:v>
      </x:c>
      <x:c r="K669" s="64" t="str">
        <x:v>P1</x:v>
      </x:c>
      <x:c r="L669" s="28" t="str">
        <x:v>S40; S41; S43; S44</x:v>
      </x:c>
      <x:c r="M669" s="28" t="str">
        <x:v>https://www.nist.gov/digital-twins</x:v>
      </x:c>
    </x:row>
    <x:row r="670" ht="48" customHeight="1">
      <x:c r="A670" s="64" t="str">
        <x:v>T0669</x:v>
      </x:c>
      <x:c r="B670" s="28" t="str">
        <x:v>科学AI、仿真与数字孪生</x:v>
      </x:c>
      <x:c r="C670" s="28" t="str">
        <x:v>科学机器学习、仿真与数字孪生</x:v>
      </x:c>
      <x:c r="D670" s="28" t="str">
        <x:v>逆问题与数据同化</x:v>
      </x:c>
      <x:c r="E670" s="28" t="str">
        <x:v>科学机器学习</x:v>
      </x:c>
      <x:c r="F670" s="28" t="str">
        <x:v>实时同步</x:v>
      </x:c>
      <x:c r="G670" s="28" t="str">
        <x:v>通过“实时同步”融合机理、仿真和实验数据，形成可校准、可同化、可实时同步的预测与控制模型。</x:v>
      </x:c>
      <x:c r="H670" s="28" t="str">
        <x:v>模型偏差、参数可辨识性、数值稳定性和实验校准是否充分？</x:v>
      </x:c>
      <x:c r="I670" s="28" t="str">
        <x:v>预测误差；参数置信区间；守恒残差；实时因子；孪生同步偏差</x:v>
      </x:c>
      <x:c r="J670" s="64" t="str">
        <x:v>进阶能力</x:v>
      </x:c>
      <x:c r="K670" s="64" t="str">
        <x:v>P2</x:v>
      </x:c>
      <x:c r="L670" s="28" t="str">
        <x:v>S40; S41; S43; S44</x:v>
      </x:c>
      <x:c r="M670" s="28" t="str">
        <x:v>https://www.nature.com/articles/s41586-021-03819-2</x:v>
      </x:c>
    </x:row>
    <x:row r="671" ht="48" customHeight="1">
      <x:c r="A671" s="64" t="str">
        <x:v>T0670</x:v>
      </x:c>
      <x:c r="B671" s="28" t="str">
        <x:v>科学AI、仿真与数字孪生</x:v>
      </x:c>
      <x:c r="C671" s="28" t="str">
        <x:v>科学机器学习、仿真与数字孪生</x:v>
      </x:c>
      <x:c r="D671" s="28" t="str">
        <x:v>逆问题与数据同化</x:v>
      </x:c>
      <x:c r="E671" s="28" t="str">
        <x:v>科学机器学习</x:v>
      </x:c>
      <x:c r="F671" s="28" t="str">
        <x:v>状态估计</x:v>
      </x:c>
      <x:c r="G671" s="28" t="str">
        <x:v>通过“状态估计”融合机理、仿真和实验数据，形成可校准、可同化、可实时同步的预测与控制模型。</x:v>
      </x:c>
      <x:c r="H671" s="28" t="str">
        <x:v>模型偏差、参数可辨识性、数值稳定性和实验校准是否充分？</x:v>
      </x:c>
      <x:c r="I671" s="28" t="str">
        <x:v>预测误差；参数置信区间；守恒残差；实时因子；孪生同步偏差</x:v>
      </x:c>
      <x:c r="J671" s="64" t="str">
        <x:v>进阶能力</x:v>
      </x:c>
      <x:c r="K671" s="64" t="str">
        <x:v>P2</x:v>
      </x:c>
      <x:c r="L671" s="28" t="str">
        <x:v>S40; S41; S43; S44</x:v>
      </x:c>
      <x:c r="M671" s="28" t="str">
        <x:v>https://www.nature.com/articles/s41586-023-06735-9</x:v>
      </x:c>
    </x:row>
    <x:row r="672" ht="48" customHeight="1">
      <x:c r="A672" s="64" t="str">
        <x:v>T0671</x:v>
      </x:c>
      <x:c r="B672" s="28" t="str">
        <x:v>科学AI、仿真与数字孪生</x:v>
      </x:c>
      <x:c r="C672" s="28" t="str">
        <x:v>科学机器学习、仿真与数字孪生</x:v>
      </x:c>
      <x:c r="D672" s="28" t="str">
        <x:v>数字孪生、迁移与虚拟调试</x:v>
      </x:c>
      <x:c r="E672" s="28" t="str">
        <x:v>科学机器学习</x:v>
      </x:c>
      <x:c r="F672" s="28" t="str">
        <x:v>系统辨识</x:v>
      </x:c>
      <x:c r="G672" s="28" t="str">
        <x:v>通过“系统辨识”融合机理、仿真和实验数据，形成可校准、可同化、可实时同步的预测与控制模型。</x:v>
      </x:c>
      <x:c r="H672" s="28" t="str">
        <x:v>模型偏差、参数可辨识性、数值稳定性和实验校准是否充分？</x:v>
      </x:c>
      <x:c r="I672" s="28" t="str">
        <x:v>预测误差；参数置信区间；守恒残差；实时因子；孪生同步偏差</x:v>
      </x:c>
      <x:c r="J672" s="64" t="str">
        <x:v>进阶能力</x:v>
      </x:c>
      <x:c r="K672" s="64" t="str">
        <x:v>P2</x:v>
      </x:c>
      <x:c r="L672" s="28" t="str">
        <x:v>S40; S41; S43; S44</x:v>
      </x:c>
      <x:c r="M672" s="28" t="str">
        <x:v>https://arxiv.org/abs/1711.10561</x:v>
      </x:c>
    </x:row>
    <x:row r="673" ht="48" customHeight="1">
      <x:c r="A673" s="64" t="str">
        <x:v>T0672</x:v>
      </x:c>
      <x:c r="B673" s="28" t="str">
        <x:v>科学AI、仿真与数字孪生</x:v>
      </x:c>
      <x:c r="C673" s="28" t="str">
        <x:v>科学机器学习、仿真与数字孪生</x:v>
      </x:c>
      <x:c r="D673" s="28" t="str">
        <x:v>数字孪生、迁移与虚拟调试</x:v>
      </x:c>
      <x:c r="E673" s="28" t="str">
        <x:v>科学机器学习</x:v>
      </x:c>
      <x:c r="F673" s="28" t="str">
        <x:v>模型偏差</x:v>
      </x:c>
      <x:c r="G673" s="28" t="str">
        <x:v>通过“模型偏差”融合机理、仿真和实验数据，形成可校准、可同化、可实时同步的预测与控制模型。</x:v>
      </x:c>
      <x:c r="H673" s="28" t="str">
        <x:v>模型偏差、参数可辨识性、数值稳定性和实验校准是否充分？</x:v>
      </x:c>
      <x:c r="I673" s="28" t="str">
        <x:v>预测误差；参数置信区间；守恒残差；实时因子；孪生同步偏差</x:v>
      </x:c>
      <x:c r="J673" s="64" t="str">
        <x:v>进阶能力</x:v>
      </x:c>
      <x:c r="K673" s="64" t="str">
        <x:v>P2</x:v>
      </x:c>
      <x:c r="L673" s="28" t="str">
        <x:v>S40; S41; S43; S44</x:v>
      </x:c>
      <x:c r="M673" s="28" t="str">
        <x:v>https://www.nist.gov/digital-twins</x:v>
      </x:c>
    </x:row>
    <x:row r="674" ht="48" customHeight="1">
      <x:c r="A674" s="64" t="str">
        <x:v>T0673</x:v>
      </x:c>
      <x:c r="B674" s="28" t="str">
        <x:v>科学AI、仿真与数字孪生</x:v>
      </x:c>
      <x:c r="C674" s="28" t="str">
        <x:v>科学机器学习、仿真与数字孪生</x:v>
      </x:c>
      <x:c r="D674" s="28" t="str">
        <x:v>数字孪生、迁移与虚拟调试</x:v>
      </x:c>
      <x:c r="E674" s="28" t="str">
        <x:v>科学机器学习</x:v>
      </x:c>
      <x:c r="F674" s="28" t="str">
        <x:v>灰盒模型</x:v>
      </x:c>
      <x:c r="G674" s="28" t="str">
        <x:v>通过“灰盒模型”融合机理、仿真和实验数据，形成可校准、可同化、可实时同步的预测与控制模型。</x:v>
      </x:c>
      <x:c r="H674" s="28" t="str">
        <x:v>模型偏差、参数可辨识性、数值稳定性和实验校准是否充分？</x:v>
      </x:c>
      <x:c r="I674" s="28" t="str">
        <x:v>预测误差；参数置信区间；守恒残差；实时因子；孪生同步偏差</x:v>
      </x:c>
      <x:c r="J674" s="64" t="str">
        <x:v>进阶能力</x:v>
      </x:c>
      <x:c r="K674" s="64" t="str">
        <x:v>P2</x:v>
      </x:c>
      <x:c r="L674" s="28" t="str">
        <x:v>S40; S41; S43; S44</x:v>
      </x:c>
      <x:c r="M674" s="28" t="str">
        <x:v>https://www.nature.com/articles/s41586-021-03819-2</x:v>
      </x:c>
    </x:row>
    <x:row r="675" ht="48" customHeight="1">
      <x:c r="A675" s="64" t="str">
        <x:v>T0674</x:v>
      </x:c>
      <x:c r="B675" s="28" t="str">
        <x:v>科学AI、仿真与数字孪生</x:v>
      </x:c>
      <x:c r="C675" s="28" t="str">
        <x:v>科学机器学习、仿真与数字孪生</x:v>
      </x:c>
      <x:c r="D675" s="28" t="str">
        <x:v>数字孪生、迁移与虚拟调试</x:v>
      </x:c>
      <x:c r="E675" s="28" t="str">
        <x:v>科学机器学习</x:v>
      </x:c>
      <x:c r="F675" s="28" t="str">
        <x:v>混合机理—数据模型</x:v>
      </x:c>
      <x:c r="G675" s="28" t="str">
        <x:v>通过“混合机理—数据模型”融合机理、仿真和实验数据，形成可校准、可同化、可实时同步的预测与控制模型。</x:v>
      </x:c>
      <x:c r="H675" s="28" t="str">
        <x:v>模型偏差、参数可辨识性、数值稳定性和实验校准是否充分？</x:v>
      </x:c>
      <x:c r="I675" s="28" t="str">
        <x:v>预测误差；参数置信区间；守恒残差；实时因子；孪生同步偏差</x:v>
      </x:c>
      <x:c r="J675" s="64" t="str">
        <x:v>进阶能力</x:v>
      </x:c>
      <x:c r="K675" s="64" t="str">
        <x:v>P2</x:v>
      </x:c>
      <x:c r="L675" s="28" t="str">
        <x:v>S40; S41; S43; S44</x:v>
      </x:c>
      <x:c r="M675" s="28" t="str">
        <x:v>https://www.nature.com/articles/s41586-023-06735-9</x:v>
      </x:c>
    </x:row>
    <x:row r="676" ht="48" customHeight="1">
      <x:c r="A676" s="64" t="str">
        <x:v>T0675</x:v>
      </x:c>
      <x:c r="B676" s="28" t="str">
        <x:v>科学AI、仿真与数字孪生</x:v>
      </x:c>
      <x:c r="C676" s="28" t="str">
        <x:v>科学机器学习、仿真与数字孪生</x:v>
      </x:c>
      <x:c r="D676" s="28" t="str">
        <x:v>数字孪生、迁移与虚拟调试</x:v>
      </x:c>
      <x:c r="E676" s="28" t="str">
        <x:v>科学机器学习</x:v>
      </x:c>
      <x:c r="F676" s="28" t="str">
        <x:v>多保真仿真</x:v>
      </x:c>
      <x:c r="G676" s="28" t="str">
        <x:v>通过“多保真仿真”融合机理、仿真和实验数据，形成可校准、可同化、可实时同步的预测与控制模型。</x:v>
      </x:c>
      <x:c r="H676" s="28" t="str">
        <x:v>模型偏差、参数可辨识性、数值稳定性和实验校准是否充分？</x:v>
      </x:c>
      <x:c r="I676" s="28" t="str">
        <x:v>预测误差；参数置信区间；守恒残差；实时因子；孪生同步偏差</x:v>
      </x:c>
      <x:c r="J676" s="64" t="str">
        <x:v>进阶能力</x:v>
      </x:c>
      <x:c r="K676" s="64" t="str">
        <x:v>P2</x:v>
      </x:c>
      <x:c r="L676" s="28" t="str">
        <x:v>S40; S41; S43; S44</x:v>
      </x:c>
      <x:c r="M676" s="28" t="str">
        <x:v>https://arxiv.org/abs/1711.10561</x:v>
      </x:c>
    </x:row>
    <x:row r="677" ht="48" customHeight="1">
      <x:c r="A677" s="64" t="str">
        <x:v>T0676</x:v>
      </x:c>
      <x:c r="B677" s="28" t="str">
        <x:v>科学AI、仿真与数字孪生</x:v>
      </x:c>
      <x:c r="C677" s="28" t="str">
        <x:v>科学机器学习、仿真与数字孪生</x:v>
      </x:c>
      <x:c r="D677" s="28" t="str">
        <x:v>数字孪生、迁移与虚拟调试</x:v>
      </x:c>
      <x:c r="E677" s="28" t="str">
        <x:v>科学机器学习</x:v>
      </x:c>
      <x:c r="F677" s="28" t="str">
        <x:v>仿真推断</x:v>
      </x:c>
      <x:c r="G677" s="28" t="str">
        <x:v>通过“仿真推断”融合机理、仿真和实验数据，形成可校准、可同化、可实时同步的预测与控制模型。</x:v>
      </x:c>
      <x:c r="H677" s="28" t="str">
        <x:v>模型偏差、参数可辨识性、数值稳定性和实验校准是否充分？</x:v>
      </x:c>
      <x:c r="I677" s="28" t="str">
        <x:v>预测误差；参数置信区间；守恒残差；实时因子；孪生同步偏差</x:v>
      </x:c>
      <x:c r="J677" s="64" t="str">
        <x:v>进阶能力</x:v>
      </x:c>
      <x:c r="K677" s="64" t="str">
        <x:v>P2</x:v>
      </x:c>
      <x:c r="L677" s="28" t="str">
        <x:v>S40; S41; S43; S44</x:v>
      </x:c>
      <x:c r="M677" s="28" t="str">
        <x:v>https://www.nist.gov/digital-twins</x:v>
      </x:c>
    </x:row>
    <x:row r="678" ht="48" customHeight="1">
      <x:c r="A678" s="64" t="str">
        <x:v>T0677</x:v>
      </x:c>
      <x:c r="B678" s="28" t="str">
        <x:v>科学AI、仿真与数字孪生</x:v>
      </x:c>
      <x:c r="C678" s="28" t="str">
        <x:v>科学机器学习、仿真与数字孪生</x:v>
      </x:c>
      <x:c r="D678" s="28" t="str">
        <x:v>数字孪生、迁移与虚拟调试</x:v>
      </x:c>
      <x:c r="E678" s="28" t="str">
        <x:v>科学机器学习</x:v>
      </x:c>
      <x:c r="F678" s="28" t="str">
        <x:v>合成数据</x:v>
      </x:c>
      <x:c r="G678" s="28" t="str">
        <x:v>通过“合成数据”融合机理、仿真和实验数据，形成可校准、可同化、可实时同步的预测与控制模型。</x:v>
      </x:c>
      <x:c r="H678" s="28" t="str">
        <x:v>模型偏差、参数可辨识性、数值稳定性和实验校准是否充分？</x:v>
      </x:c>
      <x:c r="I678" s="28" t="str">
        <x:v>预测误差；参数置信区间；守恒残差；实时因子；孪生同步偏差</x:v>
      </x:c>
      <x:c r="J678" s="64" t="str">
        <x:v>前沿能力</x:v>
      </x:c>
      <x:c r="K678" s="64" t="str">
        <x:v>P2</x:v>
      </x:c>
      <x:c r="L678" s="28" t="str">
        <x:v>S40; S41; S43; S44</x:v>
      </x:c>
      <x:c r="M678" s="28" t="str">
        <x:v>https://www.nature.com/articles/s41586-021-03819-2</x:v>
      </x:c>
    </x:row>
    <x:row r="679" ht="48" customHeight="1">
      <x:c r="A679" s="64" t="str">
        <x:v>T0678</x:v>
      </x:c>
      <x:c r="B679" s="28" t="str">
        <x:v>科学AI、仿真与数字孪生</x:v>
      </x:c>
      <x:c r="C679" s="28" t="str">
        <x:v>科学机器学习、仿真与数字孪生</x:v>
      </x:c>
      <x:c r="D679" s="28" t="str">
        <x:v>数字孪生、迁移与虚拟调试</x:v>
      </x:c>
      <x:c r="E679" s="28" t="str">
        <x:v>科学机器学习</x:v>
      </x:c>
      <x:c r="F679" s="28" t="str">
        <x:v>域随机化</x:v>
      </x:c>
      <x:c r="G679" s="28" t="str">
        <x:v>通过“域随机化”融合机理、仿真和实验数据，形成可校准、可同化、可实时同步的预测与控制模型。</x:v>
      </x:c>
      <x:c r="H679" s="28" t="str">
        <x:v>模型偏差、参数可辨识性、数值稳定性和实验校准是否充分？</x:v>
      </x:c>
      <x:c r="I679" s="28" t="str">
        <x:v>预测误差；参数置信区间；守恒残差；实时因子；孪生同步偏差</x:v>
      </x:c>
      <x:c r="J679" s="64" t="str">
        <x:v>前沿能力</x:v>
      </x:c>
      <x:c r="K679" s="64" t="str">
        <x:v>P2</x:v>
      </x:c>
      <x:c r="L679" s="28" t="str">
        <x:v>S40; S41; S43; S44</x:v>
      </x:c>
      <x:c r="M679" s="28" t="str">
        <x:v>https://www.nature.com/articles/s41586-023-06735-9</x:v>
      </x:c>
    </x:row>
    <x:row r="680" ht="48" customHeight="1">
      <x:c r="A680" s="64" t="str">
        <x:v>T0679</x:v>
      </x:c>
      <x:c r="B680" s="28" t="str">
        <x:v>科学AI、仿真与数字孪生</x:v>
      </x:c>
      <x:c r="C680" s="28" t="str">
        <x:v>科学机器学习、仿真与数字孪生</x:v>
      </x:c>
      <x:c r="D680" s="28" t="str">
        <x:v>数字孪生、迁移与虚拟调试</x:v>
      </x:c>
      <x:c r="E680" s="28" t="str">
        <x:v>科学机器学习</x:v>
      </x:c>
      <x:c r="F680" s="28" t="str">
        <x:v>Sim-to-Real</x:v>
      </x:c>
      <x:c r="G680" s="28" t="str">
        <x:v>通过“Sim-to-Real”融合机理、仿真和实验数据，形成可校准、可同化、可实时同步的预测与控制模型。</x:v>
      </x:c>
      <x:c r="H680" s="28" t="str">
        <x:v>模型偏差、参数可辨识性、数值稳定性和实验校准是否充分？</x:v>
      </x:c>
      <x:c r="I680" s="28" t="str">
        <x:v>预测误差；参数置信区间；守恒残差；实时因子；孪生同步偏差</x:v>
      </x:c>
      <x:c r="J680" s="64" t="str">
        <x:v>前沿能力</x:v>
      </x:c>
      <x:c r="K680" s="64" t="str">
        <x:v>P2</x:v>
      </x:c>
      <x:c r="L680" s="28" t="str">
        <x:v>S40; S41; S43; S44</x:v>
      </x:c>
      <x:c r="M680" s="28" t="str">
        <x:v>https://arxiv.org/abs/1711.10561</x:v>
      </x:c>
    </x:row>
    <x:row r="681" ht="48" customHeight="1">
      <x:c r="A681" s="64" t="str">
        <x:v>T0680</x:v>
      </x:c>
      <x:c r="B681" s="28" t="str">
        <x:v>科学AI、仿真与数字孪生</x:v>
      </x:c>
      <x:c r="C681" s="28" t="str">
        <x:v>科学机器学习、仿真与数字孪生</x:v>
      </x:c>
      <x:c r="D681" s="28" t="str">
        <x:v>数字孪生、迁移与虚拟调试</x:v>
      </x:c>
      <x:c r="E681" s="28" t="str">
        <x:v>科学机器学习</x:v>
      </x:c>
      <x:c r="F681" s="28" t="str">
        <x:v>虚拟调试</x:v>
      </x:c>
      <x:c r="G681" s="28" t="str">
        <x:v>通过“虚拟调试”融合机理、仿真和实验数据，形成可校准、可同化、可实时同步的预测与控制模型。</x:v>
      </x:c>
      <x:c r="H681" s="28" t="str">
        <x:v>模型偏差、参数可辨识性、数值稳定性和实验校准是否充分？</x:v>
      </x:c>
      <x:c r="I681" s="28" t="str">
        <x:v>预测误差；参数置信区间；守恒残差；实时因子；孪生同步偏差</x:v>
      </x:c>
      <x:c r="J681" s="64" t="str">
        <x:v>前沿能力</x:v>
      </x:c>
      <x:c r="K681" s="64" t="str">
        <x:v>P2</x:v>
      </x:c>
      <x:c r="L681" s="28" t="str">
        <x:v>S40; S41; S43; S44</x:v>
      </x:c>
      <x:c r="M681" s="28" t="str">
        <x:v>https://www.nist.gov/digital-twins</x:v>
      </x:c>
    </x:row>
    <x:row r="682" ht="48" customHeight="1">
      <x:c r="A682" s="64" t="str">
        <x:v>T0681</x:v>
      </x:c>
      <x:c r="B682" s="28" t="str">
        <x:v>科学AI、仿真与数字孪生</x:v>
      </x:c>
      <x:c r="C682" s="28" t="str">
        <x:v>分子/材料表征、生成式与逆向设计</x:v>
      </x:c>
      <x:c r="D682" s="28" t="str">
        <x:v>科学表示与嵌入</x:v>
      </x:c>
      <x:c r="E682" s="28" t="str">
        <x:v>生成式科学设计</x:v>
      </x:c>
      <x:c r="F682" s="28" t="str">
        <x:v>SMILES表示</x:v>
      </x:c>
      <x:c r="G682" s="28" t="str">
        <x:v>用“SMILES表示”表示、预测并生成分子/材料候选，同时显式考虑三维结构、可合成性、约束与实验验证。</x:v>
      </x:c>
      <x:c r="H682" s="28" t="str">
        <x:v>生成候选是否兼顾性质、新颖性、可合成性和真实实验成功率？</x:v>
      </x:c>
      <x:c r="I682" s="28" t="str">
        <x:v>性质命中率；新颖性；有效率；可合成率；实验成功率；闭环提升</x:v>
      </x:c>
      <x:c r="J682" s="64" t="str">
        <x:v>基础能力</x:v>
      </x:c>
      <x:c r="K682" s="64" t="str">
        <x:v>P0</x:v>
      </x:c>
      <x:c r="L682" s="28" t="str">
        <x:v>S34; S40; S41; S42</x:v>
      </x:c>
      <x:c r="M682" s="28" t="str">
        <x:v>https://www.nature.com/articles/s42256-024-00832-8</x:v>
      </x:c>
    </x:row>
    <x:row r="683" ht="48" customHeight="1">
      <x:c r="A683" s="64" t="str">
        <x:v>T0682</x:v>
      </x:c>
      <x:c r="B683" s="28" t="str">
        <x:v>科学AI、仿真与数字孪生</x:v>
      </x:c>
      <x:c r="C683" s="28" t="str">
        <x:v>分子/材料表征、生成式与逆向设计</x:v>
      </x:c>
      <x:c r="D683" s="28" t="str">
        <x:v>科学表示与嵌入</x:v>
      </x:c>
      <x:c r="E683" s="28" t="str">
        <x:v>生成式科学设计</x:v>
      </x:c>
      <x:c r="F683" s="28" t="str">
        <x:v>SELFIES表示</x:v>
      </x:c>
      <x:c r="G683" s="28" t="str">
        <x:v>用“SELFIES表示”表示、预测并生成分子/材料候选，同时显式考虑三维结构、可合成性、约束与实验验证。</x:v>
      </x:c>
      <x:c r="H683" s="28" t="str">
        <x:v>生成候选是否兼顾性质、新颖性、可合成性和真实实验成功率？</x:v>
      </x:c>
      <x:c r="I683" s="28" t="str">
        <x:v>性质命中率；新颖性；有效率；可合成率；实验成功率；闭环提升</x:v>
      </x:c>
      <x:c r="J683" s="64" t="str">
        <x:v>基础能力</x:v>
      </x:c>
      <x:c r="K683" s="64" t="str">
        <x:v>P0</x:v>
      </x:c>
      <x:c r="L683" s="28" t="str">
        <x:v>S34; S40; S41; S42</x:v>
      </x:c>
      <x:c r="M683" s="28" t="str">
        <x:v>https://www.nature.com/articles/s41586-021-03819-2</x:v>
      </x:c>
    </x:row>
    <x:row r="684" ht="48" customHeight="1">
      <x:c r="A684" s="64" t="str">
        <x:v>T0683</x:v>
      </x:c>
      <x:c r="B684" s="28" t="str">
        <x:v>科学AI、仿真与数字孪生</x:v>
      </x:c>
      <x:c r="C684" s="28" t="str">
        <x:v>分子/材料表征、生成式与逆向设计</x:v>
      </x:c>
      <x:c r="D684" s="28" t="str">
        <x:v>科学表示与嵌入</x:v>
      </x:c>
      <x:c r="E684" s="28" t="str">
        <x:v>生成式科学设计</x:v>
      </x:c>
      <x:c r="F684" s="28" t="str">
        <x:v>分子图</x:v>
      </x:c>
      <x:c r="G684" s="28" t="str">
        <x:v>用“分子图”表示、预测并生成分子/材料候选，同时显式考虑三维结构、可合成性、约束与实验验证。</x:v>
      </x:c>
      <x:c r="H684" s="28" t="str">
        <x:v>生成候选是否兼顾性质、新颖性、可合成性和真实实验成功率？</x:v>
      </x:c>
      <x:c r="I684" s="28" t="str">
        <x:v>性质命中率；新颖性；有效率；可合成率；实验成功率；闭环提升</x:v>
      </x:c>
      <x:c r="J684" s="64" t="str">
        <x:v>基础能力</x:v>
      </x:c>
      <x:c r="K684" s="64" t="str">
        <x:v>P0</x:v>
      </x:c>
      <x:c r="L684" s="28" t="str">
        <x:v>S34; S40; S41; S42</x:v>
      </x:c>
      <x:c r="M684" s="28" t="str">
        <x:v>https://www.nature.com/articles/s41586-023-06735-9</x:v>
      </x:c>
    </x:row>
    <x:row r="685" ht="48" customHeight="1">
      <x:c r="A685" s="64" t="str">
        <x:v>T0684</x:v>
      </x:c>
      <x:c r="B685" s="28" t="str">
        <x:v>科学AI、仿真与数字孪生</x:v>
      </x:c>
      <x:c r="C685" s="28" t="str">
        <x:v>分子/材料表征、生成式与逆向设计</x:v>
      </x:c>
      <x:c r="D685" s="28" t="str">
        <x:v>科学表示与嵌入</x:v>
      </x:c>
      <x:c r="E685" s="28" t="str">
        <x:v>生成式科学设计</x:v>
      </x:c>
      <x:c r="F685" s="28" t="str">
        <x:v>三维构象</x:v>
      </x:c>
      <x:c r="G685" s="28" t="str">
        <x:v>用“三维构象”表示、预测并生成分子/材料候选，同时显式考虑三维结构、可合成性、约束与实验验证。</x:v>
      </x:c>
      <x:c r="H685" s="28" t="str">
        <x:v>生成候选是否兼顾性质、新颖性、可合成性和真实实验成功率？</x:v>
      </x:c>
      <x:c r="I685" s="28" t="str">
        <x:v>性质命中率；新颖性；有效率；可合成率；实验成功率；闭环提升</x:v>
      </x:c>
      <x:c r="J685" s="64" t="str">
        <x:v>基础能力</x:v>
      </x:c>
      <x:c r="K685" s="64" t="str">
        <x:v>P0</x:v>
      </x:c>
      <x:c r="L685" s="28" t="str">
        <x:v>S34; S40; S41; S42</x:v>
      </x:c>
      <x:c r="M685" s="28" t="str">
        <x:v>https://www.nature.com/articles/s43246-022-00315-6</x:v>
      </x:c>
    </x:row>
    <x:row r="686" ht="48" customHeight="1">
      <x:c r="A686" s="64" t="str">
        <x:v>T0685</x:v>
      </x:c>
      <x:c r="B686" s="28" t="str">
        <x:v>科学AI、仿真与数字孪生</x:v>
      </x:c>
      <x:c r="C686" s="28" t="str">
        <x:v>分子/材料表征、生成式与逆向设计</x:v>
      </x:c>
      <x:c r="D686" s="28" t="str">
        <x:v>科学表示与嵌入</x:v>
      </x:c>
      <x:c r="E686" s="28" t="str">
        <x:v>生成式科学设计</x:v>
      </x:c>
      <x:c r="F686" s="28" t="str">
        <x:v>分子指纹</x:v>
      </x:c>
      <x:c r="G686" s="28" t="str">
        <x:v>用“分子指纹”表示、预测并生成分子/材料候选，同时显式考虑三维结构、可合成性、约束与实验验证。</x:v>
      </x:c>
      <x:c r="H686" s="28" t="str">
        <x:v>生成候选是否兼顾性质、新颖性、可合成性和真实实验成功率？</x:v>
      </x:c>
      <x:c r="I686" s="28" t="str">
        <x:v>性质命中率；新颖性；有效率；可合成率；实验成功率；闭环提升</x:v>
      </x:c>
      <x:c r="J686" s="64" t="str">
        <x:v>基础能力</x:v>
      </x:c>
      <x:c r="K686" s="64" t="str">
        <x:v>P0</x:v>
      </x:c>
      <x:c r="L686" s="28" t="str">
        <x:v>S34; S40; S41; S42</x:v>
      </x:c>
      <x:c r="M686" s="28" t="str">
        <x:v>https://www.nature.com/articles/s42256-024-00832-8</x:v>
      </x:c>
    </x:row>
    <x:row r="687" ht="48" customHeight="1">
      <x:c r="A687" s="64" t="str">
        <x:v>T0686</x:v>
      </x:c>
      <x:c r="B687" s="28" t="str">
        <x:v>科学AI、仿真与数字孪生</x:v>
      </x:c>
      <x:c r="C687" s="28" t="str">
        <x:v>分子/材料表征、生成式与逆向设计</x:v>
      </x:c>
      <x:c r="D687" s="28" t="str">
        <x:v>科学表示与嵌入</x:v>
      </x:c>
      <x:c r="E687" s="28" t="str">
        <x:v>生成式科学设计</x:v>
      </x:c>
      <x:c r="F687" s="28" t="str">
        <x:v>物化描述符</x:v>
      </x:c>
      <x:c r="G687" s="28" t="str">
        <x:v>用“物化描述符”表示、预测并生成分子/材料候选，同时显式考虑三维结构、可合成性、约束与实验验证。</x:v>
      </x:c>
      <x:c r="H687" s="28" t="str">
        <x:v>生成候选是否兼顾性质、新颖性、可合成性和真实实验成功率？</x:v>
      </x:c>
      <x:c r="I687" s="28" t="str">
        <x:v>性质命中率；新颖性；有效率；可合成率；实验成功率；闭环提升</x:v>
      </x:c>
      <x:c r="J687" s="64" t="str">
        <x:v>基础能力</x:v>
      </x:c>
      <x:c r="K687" s="64" t="str">
        <x:v>P0</x:v>
      </x:c>
      <x:c r="L687" s="28" t="str">
        <x:v>S34; S40; S41; S42</x:v>
      </x:c>
      <x:c r="M687" s="28" t="str">
        <x:v>https://www.nature.com/articles/s41586-021-03819-2</x:v>
      </x:c>
    </x:row>
    <x:row r="688" ht="48" customHeight="1">
      <x:c r="A688" s="64" t="str">
        <x:v>T0687</x:v>
      </x:c>
      <x:c r="B688" s="28" t="str">
        <x:v>科学AI、仿真与数字孪生</x:v>
      </x:c>
      <x:c r="C688" s="28" t="str">
        <x:v>分子/材料表征、生成式与逆向设计</x:v>
      </x:c>
      <x:c r="D688" s="28" t="str">
        <x:v>科学表示与嵌入</x:v>
      </x:c>
      <x:c r="E688" s="28" t="str">
        <x:v>生成式科学设计</x:v>
      </x:c>
      <x:c r="F688" s="28" t="str">
        <x:v>晶体图</x:v>
      </x:c>
      <x:c r="G688" s="28" t="str">
        <x:v>用“晶体图”表示、预测并生成分子/材料候选，同时显式考虑三维结构、可合成性、约束与实验验证。</x:v>
      </x:c>
      <x:c r="H688" s="28" t="str">
        <x:v>生成候选是否兼顾性质、新颖性、可合成性和真实实验成功率？</x:v>
      </x:c>
      <x:c r="I688" s="28" t="str">
        <x:v>性质命中率；新颖性；有效率；可合成率；实验成功率；闭环提升</x:v>
      </x:c>
      <x:c r="J688" s="64" t="str">
        <x:v>基础能力</x:v>
      </x:c>
      <x:c r="K688" s="64" t="str">
        <x:v>P0</x:v>
      </x:c>
      <x:c r="L688" s="28" t="str">
        <x:v>S34; S40; S41; S42</x:v>
      </x:c>
      <x:c r="M688" s="28" t="str">
        <x:v>https://www.nature.com/articles/s41586-023-06735-9</x:v>
      </x:c>
    </x:row>
    <x:row r="689" ht="48" customHeight="1">
      <x:c r="A689" s="64" t="str">
        <x:v>T0688</x:v>
      </x:c>
      <x:c r="B689" s="28" t="str">
        <x:v>科学AI、仿真与数字孪生</x:v>
      </x:c>
      <x:c r="C689" s="28" t="str">
        <x:v>分子/材料表征、生成式与逆向设计</x:v>
      </x:c>
      <x:c r="D689" s="28" t="str">
        <x:v>科学表示与嵌入</x:v>
      </x:c>
      <x:c r="E689" s="28" t="str">
        <x:v>生成式科学设计</x:v>
      </x:c>
      <x:c r="F689" s="28" t="str">
        <x:v>周期图网络</x:v>
      </x:c>
      <x:c r="G689" s="28" t="str">
        <x:v>用“周期图网络”表示、预测并生成分子/材料候选，同时显式考虑三维结构、可合成性、约束与实验验证。</x:v>
      </x:c>
      <x:c r="H689" s="28" t="str">
        <x:v>生成候选是否兼顾性质、新颖性、可合成性和真实实验成功率？</x:v>
      </x:c>
      <x:c r="I689" s="28" t="str">
        <x:v>性质命中率；新颖性；有效率；可合成率；实验成功率；闭环提升</x:v>
      </x:c>
      <x:c r="J689" s="64" t="str">
        <x:v>基础能力</x:v>
      </x:c>
      <x:c r="K689" s="64" t="str">
        <x:v>P0</x:v>
      </x:c>
      <x:c r="L689" s="28" t="str">
        <x:v>S34; S40; S41; S42</x:v>
      </x:c>
      <x:c r="M689" s="28" t="str">
        <x:v>https://www.nature.com/articles/s43246-022-00315-6</x:v>
      </x:c>
    </x:row>
    <x:row r="690" ht="48" customHeight="1">
      <x:c r="A690" s="64" t="str">
        <x:v>T0689</x:v>
      </x:c>
      <x:c r="B690" s="28" t="str">
        <x:v>科学AI、仿真与数字孪生</x:v>
      </x:c>
      <x:c r="C690" s="28" t="str">
        <x:v>分子/材料表征、生成式与逆向设计</x:v>
      </x:c>
      <x:c r="D690" s="28" t="str">
        <x:v>科学表示与嵌入</x:v>
      </x:c>
      <x:c r="E690" s="28" t="str">
        <x:v>生成式科学设计</x:v>
      </x:c>
      <x:c r="F690" s="28" t="str">
        <x:v>组成向量</x:v>
      </x:c>
      <x:c r="G690" s="28" t="str">
        <x:v>用“组成向量”表示、预测并生成分子/材料候选，同时显式考虑三维结构、可合成性、约束与实验验证。</x:v>
      </x:c>
      <x:c r="H690" s="28" t="str">
        <x:v>生成候选是否兼顾性质、新颖性、可合成性和真实实验成功率？</x:v>
      </x:c>
      <x:c r="I690" s="28" t="str">
        <x:v>性质命中率；新颖性；有效率；可合成率；实验成功率；闭环提升</x:v>
      </x:c>
      <x:c r="J690" s="64" t="str">
        <x:v>基础能力</x:v>
      </x:c>
      <x:c r="K690" s="64" t="str">
        <x:v>P0</x:v>
      </x:c>
      <x:c r="L690" s="28" t="str">
        <x:v>S34; S40; S41; S42</x:v>
      </x:c>
      <x:c r="M690" s="28" t="str">
        <x:v>https://www.nature.com/articles/s42256-024-00832-8</x:v>
      </x:c>
    </x:row>
    <x:row r="691" ht="48" customHeight="1">
      <x:c r="A691" s="64" t="str">
        <x:v>T0690</x:v>
      </x:c>
      <x:c r="B691" s="28" t="str">
        <x:v>科学AI、仿真与数字孪生</x:v>
      </x:c>
      <x:c r="C691" s="28" t="str">
        <x:v>分子/材料表征、生成式与逆向设计</x:v>
      </x:c>
      <x:c r="D691" s="28" t="str">
        <x:v>科学表示与嵌入</x:v>
      </x:c>
      <x:c r="E691" s="28" t="str">
        <x:v>生成式科学设计</x:v>
      </x:c>
      <x:c r="F691" s="28" t="str">
        <x:v>光谱嵌入</x:v>
      </x:c>
      <x:c r="G691" s="28" t="str">
        <x:v>用“光谱嵌入”表示、预测并生成分子/材料候选，同时显式考虑三维结构、可合成性、约束与实验验证。</x:v>
      </x:c>
      <x:c r="H691" s="28" t="str">
        <x:v>生成候选是否兼顾性质、新颖性、可合成性和真实实验成功率？</x:v>
      </x:c>
      <x:c r="I691" s="28" t="str">
        <x:v>性质命中率；新颖性；有效率；可合成率；实验成功率；闭环提升</x:v>
      </x:c>
      <x:c r="J691" s="64" t="str">
        <x:v>基础能力</x:v>
      </x:c>
      <x:c r="K691" s="64" t="str">
        <x:v>P0</x:v>
      </x:c>
      <x:c r="L691" s="28" t="str">
        <x:v>S34; S40; S41; S42</x:v>
      </x:c>
      <x:c r="M691" s="28" t="str">
        <x:v>https://www.nature.com/articles/s41586-021-03819-2</x:v>
      </x:c>
    </x:row>
    <x:row r="692" ht="48" customHeight="1">
      <x:c r="A692" s="64" t="str">
        <x:v>T0691</x:v>
      </x:c>
      <x:c r="B692" s="28" t="str">
        <x:v>科学AI、仿真与数字孪生</x:v>
      </x:c>
      <x:c r="C692" s="28" t="str">
        <x:v>分子/材料表征、生成式与逆向设计</x:v>
      </x:c>
      <x:c r="D692" s="28" t="str">
        <x:v>科学基础模型与预训练</x:v>
      </x:c>
      <x:c r="E692" s="28" t="str">
        <x:v>生成式科学设计</x:v>
      </x:c>
      <x:c r="F692" s="28" t="str">
        <x:v>图像嵌入</x:v>
      </x:c>
      <x:c r="G692" s="28" t="str">
        <x:v>用“图像嵌入”表示、预测并生成分子/材料候选，同时显式考虑三维结构、可合成性、约束与实验验证。</x:v>
      </x:c>
      <x:c r="H692" s="28" t="str">
        <x:v>生成候选是否兼顾性质、新颖性、可合成性和真实实验成功率？</x:v>
      </x:c>
      <x:c r="I692" s="28" t="str">
        <x:v>性质命中率；新颖性；有效率；可合成率；实验成功率；闭环提升</x:v>
      </x:c>
      <x:c r="J692" s="64" t="str">
        <x:v>基础能力</x:v>
      </x:c>
      <x:c r="K692" s="64" t="str">
        <x:v>P1</x:v>
      </x:c>
      <x:c r="L692" s="28" t="str">
        <x:v>S34; S40; S41; S42</x:v>
      </x:c>
      <x:c r="M692" s="28" t="str">
        <x:v>https://www.nature.com/articles/s41586-023-06735-9</x:v>
      </x:c>
    </x:row>
    <x:row r="693" ht="48" customHeight="1">
      <x:c r="A693" s="64" t="str">
        <x:v>T0692</x:v>
      </x:c>
      <x:c r="B693" s="28" t="str">
        <x:v>科学AI、仿真与数字孪生</x:v>
      </x:c>
      <x:c r="C693" s="28" t="str">
        <x:v>分子/材料表征、生成式与逆向设计</x:v>
      </x:c>
      <x:c r="D693" s="28" t="str">
        <x:v>科学基础模型与预训练</x:v>
      </x:c>
      <x:c r="E693" s="28" t="str">
        <x:v>生成式科学设计</x:v>
      </x:c>
      <x:c r="F693" s="28" t="str">
        <x:v>多模态表征</x:v>
      </x:c>
      <x:c r="G693" s="28" t="str">
        <x:v>用“多模态表征”表示、预测并生成分子/材料候选，同时显式考虑三维结构、可合成性、约束与实验验证。</x:v>
      </x:c>
      <x:c r="H693" s="28" t="str">
        <x:v>生成候选是否兼顾性质、新颖性、可合成性和真实实验成功率？</x:v>
      </x:c>
      <x:c r="I693" s="28" t="str">
        <x:v>性质命中率；新颖性；有效率；可合成率；实验成功率；闭环提升</x:v>
      </x:c>
      <x:c r="J693" s="64" t="str">
        <x:v>基础能力</x:v>
      </x:c>
      <x:c r="K693" s="64" t="str">
        <x:v>P1</x:v>
      </x:c>
      <x:c r="L693" s="28" t="str">
        <x:v>S34; S40; S41; S42</x:v>
      </x:c>
      <x:c r="M693" s="28" t="str">
        <x:v>https://www.nature.com/articles/s43246-022-00315-6</x:v>
      </x:c>
    </x:row>
    <x:row r="694" ht="48" customHeight="1">
      <x:c r="A694" s="64" t="str">
        <x:v>T0693</x:v>
      </x:c>
      <x:c r="B694" s="28" t="str">
        <x:v>科学AI、仿真与数字孪生</x:v>
      </x:c>
      <x:c r="C694" s="28" t="str">
        <x:v>分子/材料表征、生成式与逆向设计</x:v>
      </x:c>
      <x:c r="D694" s="28" t="str">
        <x:v>科学基础模型与预训练</x:v>
      </x:c>
      <x:c r="E694" s="28" t="str">
        <x:v>生成式科学设计</x:v>
      </x:c>
      <x:c r="F694" s="28" t="str">
        <x:v>Transformer</x:v>
      </x:c>
      <x:c r="G694" s="28" t="str">
        <x:v>用“Transformer”表示、预测并生成分子/材料候选，同时显式考虑三维结构、可合成性、约束与实验验证。</x:v>
      </x:c>
      <x:c r="H694" s="28" t="str">
        <x:v>生成候选是否兼顾性质、新颖性、可合成性和真实实验成功率？</x:v>
      </x:c>
      <x:c r="I694" s="28" t="str">
        <x:v>性质命中率；新颖性；有效率；可合成率；实验成功率；闭环提升</x:v>
      </x:c>
      <x:c r="J694" s="64" t="str">
        <x:v>工程化关键</x:v>
      </x:c>
      <x:c r="K694" s="64" t="str">
        <x:v>P1</x:v>
      </x:c>
      <x:c r="L694" s="28" t="str">
        <x:v>S34; S40; S41; S42</x:v>
      </x:c>
      <x:c r="M694" s="28" t="str">
        <x:v>https://www.nature.com/articles/s42256-024-00832-8</x:v>
      </x:c>
    </x:row>
    <x:row r="695" ht="48" customHeight="1">
      <x:c r="A695" s="64" t="str">
        <x:v>T0694</x:v>
      </x:c>
      <x:c r="B695" s="28" t="str">
        <x:v>科学AI、仿真与数字孪生</x:v>
      </x:c>
      <x:c r="C695" s="28" t="str">
        <x:v>分子/材料表征、生成式与逆向设计</x:v>
      </x:c>
      <x:c r="D695" s="28" t="str">
        <x:v>科学基础模型与预训练</x:v>
      </x:c>
      <x:c r="E695" s="28" t="str">
        <x:v>生成式科学设计</x:v>
      </x:c>
      <x:c r="F695" s="28" t="str">
        <x:v>图神经网络</x:v>
      </x:c>
      <x:c r="G695" s="28" t="str">
        <x:v>用“图神经网络”表示、预测并生成分子/材料候选，同时显式考虑三维结构、可合成性、约束与实验验证。</x:v>
      </x:c>
      <x:c r="H695" s="28" t="str">
        <x:v>生成候选是否兼顾性质、新颖性、可合成性和真实实验成功率？</x:v>
      </x:c>
      <x:c r="I695" s="28" t="str">
        <x:v>性质命中率；新颖性；有效率；可合成率；实验成功率；闭环提升</x:v>
      </x:c>
      <x:c r="J695" s="64" t="str">
        <x:v>工程化关键</x:v>
      </x:c>
      <x:c r="K695" s="64" t="str">
        <x:v>P1</x:v>
      </x:c>
      <x:c r="L695" s="28" t="str">
        <x:v>S34; S40; S41; S42</x:v>
      </x:c>
      <x:c r="M695" s="28" t="str">
        <x:v>https://www.nature.com/articles/s41586-021-03819-2</x:v>
      </x:c>
    </x:row>
    <x:row r="696" ht="48" customHeight="1">
      <x:c r="A696" s="64" t="str">
        <x:v>T0695</x:v>
      </x:c>
      <x:c r="B696" s="28" t="str">
        <x:v>科学AI、仿真与数字孪生</x:v>
      </x:c>
      <x:c r="C696" s="28" t="str">
        <x:v>分子/材料表征、生成式与逆向设计</x:v>
      </x:c>
      <x:c r="D696" s="28" t="str">
        <x:v>科学基础模型与预训练</x:v>
      </x:c>
      <x:c r="E696" s="28" t="str">
        <x:v>生成式科学设计</x:v>
      </x:c>
      <x:c r="F696" s="28" t="str">
        <x:v>等变图神经网络</x:v>
      </x:c>
      <x:c r="G696" s="28" t="str">
        <x:v>用“等变图神经网络”表示、预测并生成分子/材料候选，同时显式考虑三维结构、可合成性、约束与实验验证。</x:v>
      </x:c>
      <x:c r="H696" s="28" t="str">
        <x:v>生成候选是否兼顾性质、新颖性、可合成性和真实实验成功率？</x:v>
      </x:c>
      <x:c r="I696" s="28" t="str">
        <x:v>性质命中率；新颖性；有效率；可合成率；实验成功率；闭环提升</x:v>
      </x:c>
      <x:c r="J696" s="64" t="str">
        <x:v>工程化关键</x:v>
      </x:c>
      <x:c r="K696" s="64" t="str">
        <x:v>P1</x:v>
      </x:c>
      <x:c r="L696" s="28" t="str">
        <x:v>S34; S40; S41; S42</x:v>
      </x:c>
      <x:c r="M696" s="28" t="str">
        <x:v>https://www.nature.com/articles/s41586-023-06735-9</x:v>
      </x:c>
    </x:row>
    <x:row r="697" ht="48" customHeight="1">
      <x:c r="A697" s="64" t="str">
        <x:v>T0696</x:v>
      </x:c>
      <x:c r="B697" s="28" t="str">
        <x:v>科学AI、仿真与数字孪生</x:v>
      </x:c>
      <x:c r="C697" s="28" t="str">
        <x:v>分子/材料表征、生成式与逆向设计</x:v>
      </x:c>
      <x:c r="D697" s="28" t="str">
        <x:v>科学基础模型与预训练</x:v>
      </x:c>
      <x:c r="E697" s="28" t="str">
        <x:v>生成式科学设计</x:v>
      </x:c>
      <x:c r="F697" s="28" t="str">
        <x:v>消息传递网络</x:v>
      </x:c>
      <x:c r="G697" s="28" t="str">
        <x:v>用“消息传递网络”表示、预测并生成分子/材料候选，同时显式考虑三维结构、可合成性、约束与实验验证。</x:v>
      </x:c>
      <x:c r="H697" s="28" t="str">
        <x:v>生成候选是否兼顾性质、新颖性、可合成性和真实实验成功率？</x:v>
      </x:c>
      <x:c r="I697" s="28" t="str">
        <x:v>性质命中率；新颖性；有效率；可合成率；实验成功率；闭环提升</x:v>
      </x:c>
      <x:c r="J697" s="64" t="str">
        <x:v>工程化关键</x:v>
      </x:c>
      <x:c r="K697" s="64" t="str">
        <x:v>P1</x:v>
      </x:c>
      <x:c r="L697" s="28" t="str">
        <x:v>S34; S40; S41; S42</x:v>
      </x:c>
      <x:c r="M697" s="28" t="str">
        <x:v>https://www.nature.com/articles/s43246-022-00315-6</x:v>
      </x:c>
    </x:row>
    <x:row r="698" ht="48" customHeight="1">
      <x:c r="A698" s="64" t="str">
        <x:v>T0697</x:v>
      </x:c>
      <x:c r="B698" s="28" t="str">
        <x:v>科学AI、仿真与数字孪生</x:v>
      </x:c>
      <x:c r="C698" s="28" t="str">
        <x:v>分子/材料表征、生成式与逆向设计</x:v>
      </x:c>
      <x:c r="D698" s="28" t="str">
        <x:v>科学基础模型与预训练</x:v>
      </x:c>
      <x:c r="E698" s="28" t="str">
        <x:v>生成式科学设计</x:v>
      </x:c>
      <x:c r="F698" s="28" t="str">
        <x:v>几何深度学习</x:v>
      </x:c>
      <x:c r="G698" s="28" t="str">
        <x:v>用“几何深度学习”表示、预测并生成分子/材料候选，同时显式考虑三维结构、可合成性、约束与实验验证。</x:v>
      </x:c>
      <x:c r="H698" s="28" t="str">
        <x:v>生成候选是否兼顾性质、新颖性、可合成性和真实实验成功率？</x:v>
      </x:c>
      <x:c r="I698" s="28" t="str">
        <x:v>性质命中率；新颖性；有效率；可合成率；实验成功率；闭环提升</x:v>
      </x:c>
      <x:c r="J698" s="64" t="str">
        <x:v>工程化关键</x:v>
      </x:c>
      <x:c r="K698" s="64" t="str">
        <x:v>P1</x:v>
      </x:c>
      <x:c r="L698" s="28" t="str">
        <x:v>S34; S40; S41; S42</x:v>
      </x:c>
      <x:c r="M698" s="28" t="str">
        <x:v>https://www.nature.com/articles/s42256-024-00832-8</x:v>
      </x:c>
    </x:row>
    <x:row r="699" ht="48" customHeight="1">
      <x:c r="A699" s="64" t="str">
        <x:v>T0698</x:v>
      </x:c>
      <x:c r="B699" s="28" t="str">
        <x:v>科学AI、仿真与数字孪生</x:v>
      </x:c>
      <x:c r="C699" s="28" t="str">
        <x:v>分子/材料表征、生成式与逆向设计</x:v>
      </x:c>
      <x:c r="D699" s="28" t="str">
        <x:v>科学基础模型与预训练</x:v>
      </x:c>
      <x:c r="E699" s="28" t="str">
        <x:v>生成式科学设计</x:v>
      </x:c>
      <x:c r="F699" s="28" t="str">
        <x:v>对比学习</x:v>
      </x:c>
      <x:c r="G699" s="28" t="str">
        <x:v>用“对比学习”表示、预测并生成分子/材料候选，同时显式考虑三维结构、可合成性、约束与实验验证。</x:v>
      </x:c>
      <x:c r="H699" s="28" t="str">
        <x:v>生成候选是否兼顾性质、新颖性、可合成性和真实实验成功率？</x:v>
      </x:c>
      <x:c r="I699" s="28" t="str">
        <x:v>性质命中率；新颖性；有效率；可合成率；实验成功率；闭环提升</x:v>
      </x:c>
      <x:c r="J699" s="64" t="str">
        <x:v>工程化关键</x:v>
      </x:c>
      <x:c r="K699" s="64" t="str">
        <x:v>P1</x:v>
      </x:c>
      <x:c r="L699" s="28" t="str">
        <x:v>S34; S40; S41; S42</x:v>
      </x:c>
      <x:c r="M699" s="28" t="str">
        <x:v>https://www.nature.com/articles/s41586-021-03819-2</x:v>
      </x:c>
    </x:row>
    <x:row r="700" ht="48" customHeight="1">
      <x:c r="A700" s="64" t="str">
        <x:v>T0699</x:v>
      </x:c>
      <x:c r="B700" s="28" t="str">
        <x:v>科学AI、仿真与数字孪生</x:v>
      </x:c>
      <x:c r="C700" s="28" t="str">
        <x:v>分子/材料表征、生成式与逆向设计</x:v>
      </x:c>
      <x:c r="D700" s="28" t="str">
        <x:v>科学基础模型与预训练</x:v>
      </x:c>
      <x:c r="E700" s="28" t="str">
        <x:v>生成式科学设计</x:v>
      </x:c>
      <x:c r="F700" s="28" t="str">
        <x:v>自监督预训练</x:v>
      </x:c>
      <x:c r="G700" s="28" t="str">
        <x:v>用“自监督预训练”表示、预测并生成分子/材料候选，同时显式考虑三维结构、可合成性、约束与实验验证。</x:v>
      </x:c>
      <x:c r="H700" s="28" t="str">
        <x:v>生成候选是否兼顾性质、新颖性、可合成性和真实实验成功率？</x:v>
      </x:c>
      <x:c r="I700" s="28" t="str">
        <x:v>性质命中率；新颖性；有效率；可合成率；实验成功率；闭环提升</x:v>
      </x:c>
      <x:c r="J700" s="64" t="str">
        <x:v>工程化关键</x:v>
      </x:c>
      <x:c r="K700" s="64" t="str">
        <x:v>P1</x:v>
      </x:c>
      <x:c r="L700" s="28" t="str">
        <x:v>S34; S40; S41; S42</x:v>
      </x:c>
      <x:c r="M700" s="28" t="str">
        <x:v>https://www.nature.com/articles/s41586-023-06735-9</x:v>
      </x:c>
    </x:row>
    <x:row r="701" ht="48" customHeight="1">
      <x:c r="A701" s="64" t="str">
        <x:v>T0700</x:v>
      </x:c>
      <x:c r="B701" s="28" t="str">
        <x:v>科学AI、仿真与数字孪生</x:v>
      </x:c>
      <x:c r="C701" s="28" t="str">
        <x:v>分子/材料表征、生成式与逆向设计</x:v>
      </x:c>
      <x:c r="D701" s="28" t="str">
        <x:v>科学基础模型与预训练</x:v>
      </x:c>
      <x:c r="E701" s="28" t="str">
        <x:v>生成式科学设计</x:v>
      </x:c>
      <x:c r="F701" s="28" t="str">
        <x:v>科学基础模型</x:v>
      </x:c>
      <x:c r="G701" s="28" t="str">
        <x:v>用“科学基础模型”表示、预测并生成分子/材料候选，同时显式考虑三维结构、可合成性、约束与实验验证。</x:v>
      </x:c>
      <x:c r="H701" s="28" t="str">
        <x:v>生成候选是否兼顾性质、新颖性、可合成性和真实实验成功率？</x:v>
      </x:c>
      <x:c r="I701" s="28" t="str">
        <x:v>性质命中率；新颖性；有效率；可合成率；实验成功率；闭环提升</x:v>
      </x:c>
      <x:c r="J701" s="64" t="str">
        <x:v>工程化关键</x:v>
      </x:c>
      <x:c r="K701" s="64" t="str">
        <x:v>P1</x:v>
      </x:c>
      <x:c r="L701" s="28" t="str">
        <x:v>S34; S40; S41; S42</x:v>
      </x:c>
      <x:c r="M701" s="28" t="str">
        <x:v>https://www.nature.com/articles/s43246-022-00315-6</x:v>
      </x:c>
    </x:row>
    <x:row r="702" ht="48" customHeight="1">
      <x:c r="A702" s="64" t="str">
        <x:v>T0701</x:v>
      </x:c>
      <x:c r="B702" s="28" t="str">
        <x:v>科学AI、仿真与数字孪生</x:v>
      </x:c>
      <x:c r="C702" s="28" t="str">
        <x:v>分子/材料表征、生成式与逆向设计</x:v>
      </x:c>
      <x:c r="D702" s="28" t="str">
        <x:v>预测、反应与路线规划</x:v>
      </x:c>
      <x:c r="E702" s="28" t="str">
        <x:v>生成式科学设计</x:v>
      </x:c>
      <x:c r="F702" s="28" t="str">
        <x:v>性质预测</x:v>
      </x:c>
      <x:c r="G702" s="28" t="str">
        <x:v>用“性质预测”表示、预测并生成分子/材料候选，同时显式考虑三维结构、可合成性、约束与实验验证。</x:v>
      </x:c>
      <x:c r="H702" s="28" t="str">
        <x:v>生成候选是否兼顾性质、新颖性、可合成性和真实实验成功率？</x:v>
      </x:c>
      <x:c r="I702" s="28" t="str">
        <x:v>性质命中率；新颖性；有效率；可合成率；实验成功率；闭环提升</x:v>
      </x:c>
      <x:c r="J702" s="64" t="str">
        <x:v>工程化关键</x:v>
      </x:c>
      <x:c r="K702" s="64" t="str">
        <x:v>P1</x:v>
      </x:c>
      <x:c r="L702" s="28" t="str">
        <x:v>S34; S40; S41; S42</x:v>
      </x:c>
      <x:c r="M702" s="28" t="str">
        <x:v>https://www.nature.com/articles/s42256-024-00832-8</x:v>
      </x:c>
    </x:row>
    <x:row r="703" ht="48" customHeight="1">
      <x:c r="A703" s="64" t="str">
        <x:v>T0702</x:v>
      </x:c>
      <x:c r="B703" s="28" t="str">
        <x:v>科学AI、仿真与数字孪生</x:v>
      </x:c>
      <x:c r="C703" s="28" t="str">
        <x:v>分子/材料表征、生成式与逆向设计</x:v>
      </x:c>
      <x:c r="D703" s="28" t="str">
        <x:v>预测、反应与路线规划</x:v>
      </x:c>
      <x:c r="E703" s="28" t="str">
        <x:v>生成式科学设计</x:v>
      </x:c>
      <x:c r="F703" s="28" t="str">
        <x:v>反应预测</x:v>
      </x:c>
      <x:c r="G703" s="28" t="str">
        <x:v>用“反应预测”表示、预测并生成分子/材料候选，同时显式考虑三维结构、可合成性、约束与实验验证。</x:v>
      </x:c>
      <x:c r="H703" s="28" t="str">
        <x:v>生成候选是否兼顾性质、新颖性、可合成性和真实实验成功率？</x:v>
      </x:c>
      <x:c r="I703" s="28" t="str">
        <x:v>性质命中率；新颖性；有效率；可合成率；实验成功率；闭环提升</x:v>
      </x:c>
      <x:c r="J703" s="64" t="str">
        <x:v>工程化关键</x:v>
      </x:c>
      <x:c r="K703" s="64" t="str">
        <x:v>P1</x:v>
      </x:c>
      <x:c r="L703" s="28" t="str">
        <x:v>S34; S40; S41; S42</x:v>
      </x:c>
      <x:c r="M703" s="28" t="str">
        <x:v>https://www.nature.com/articles/s41586-021-03819-2</x:v>
      </x:c>
    </x:row>
    <x:row r="704" ht="48" customHeight="1">
      <x:c r="A704" s="64" t="str">
        <x:v>T0703</x:v>
      </x:c>
      <x:c r="B704" s="28" t="str">
        <x:v>科学AI、仿真与数字孪生</x:v>
      </x:c>
      <x:c r="C704" s="28" t="str">
        <x:v>分子/材料表征、生成式与逆向设计</x:v>
      </x:c>
      <x:c r="D704" s="28" t="str">
        <x:v>预测、反应与路线规划</x:v>
      </x:c>
      <x:c r="E704" s="28" t="str">
        <x:v>生成式科学设计</x:v>
      </x:c>
      <x:c r="F704" s="28" t="str">
        <x:v>逆合成</x:v>
      </x:c>
      <x:c r="G704" s="28" t="str">
        <x:v>用“逆合成”表示、预测并生成分子/材料候选，同时显式考虑三维结构、可合成性、约束与实验验证。</x:v>
      </x:c>
      <x:c r="H704" s="28" t="str">
        <x:v>生成候选是否兼顾性质、新颖性、可合成性和真实实验成功率？</x:v>
      </x:c>
      <x:c r="I704" s="28" t="str">
        <x:v>性质命中率；新颖性；有效率；可合成率；实验成功率；闭环提升</x:v>
      </x:c>
      <x:c r="J704" s="64" t="str">
        <x:v>工程化关键</x:v>
      </x:c>
      <x:c r="K704" s="64" t="str">
        <x:v>P1</x:v>
      </x:c>
      <x:c r="L704" s="28" t="str">
        <x:v>S34; S40; S41; S42</x:v>
      </x:c>
      <x:c r="M704" s="28" t="str">
        <x:v>https://www.nature.com/articles/s41586-023-06735-9</x:v>
      </x:c>
    </x:row>
    <x:row r="705" ht="48" customHeight="1">
      <x:c r="A705" s="64" t="str">
        <x:v>T0704</x:v>
      </x:c>
      <x:c r="B705" s="28" t="str">
        <x:v>科学AI、仿真与数字孪生</x:v>
      </x:c>
      <x:c r="C705" s="28" t="str">
        <x:v>分子/材料表征、生成式与逆向设计</x:v>
      </x:c>
      <x:c r="D705" s="28" t="str">
        <x:v>预测、反应与路线规划</x:v>
      </x:c>
      <x:c r="E705" s="28" t="str">
        <x:v>生成式科学设计</x:v>
      </x:c>
      <x:c r="F705" s="28" t="str">
        <x:v>合成路线规划</x:v>
      </x:c>
      <x:c r="G705" s="28" t="str">
        <x:v>用“合成路线规划”表示、预测并生成分子/材料候选，同时显式考虑三维结构、可合成性、约束与实验验证。</x:v>
      </x:c>
      <x:c r="H705" s="28" t="str">
        <x:v>生成候选是否兼顾性质、新颖性、可合成性和真实实验成功率？</x:v>
      </x:c>
      <x:c r="I705" s="28" t="str">
        <x:v>性质命中率；新颖性；有效率；可合成率；实验成功率；闭环提升</x:v>
      </x:c>
      <x:c r="J705" s="64" t="str">
        <x:v>工程化关键</x:v>
      </x:c>
      <x:c r="K705" s="64" t="str">
        <x:v>P1</x:v>
      </x:c>
      <x:c r="L705" s="28" t="str">
        <x:v>S34; S40; S41; S42</x:v>
      </x:c>
      <x:c r="M705" s="28" t="str">
        <x:v>https://www.nature.com/articles/s43246-022-00315-6</x:v>
      </x:c>
    </x:row>
    <x:row r="706" ht="48" customHeight="1">
      <x:c r="A706" s="64" t="str">
        <x:v>T0705</x:v>
      </x:c>
      <x:c r="B706" s="28" t="str">
        <x:v>科学AI、仿真与数字孪生</x:v>
      </x:c>
      <x:c r="C706" s="28" t="str">
        <x:v>分子/材料表征、生成式与逆向设计</x:v>
      </x:c>
      <x:c r="D706" s="28" t="str">
        <x:v>预测、反应与路线规划</x:v>
      </x:c>
      <x:c r="E706" s="28" t="str">
        <x:v>生成式科学设计</x:v>
      </x:c>
      <x:c r="F706" s="28" t="str">
        <x:v>收率预测</x:v>
      </x:c>
      <x:c r="G706" s="28" t="str">
        <x:v>用“收率预测”表示、预测并生成分子/材料候选，同时显式考虑三维结构、可合成性、约束与实验验证。</x:v>
      </x:c>
      <x:c r="H706" s="28" t="str">
        <x:v>生成候选是否兼顾性质、新颖性、可合成性和真实实验成功率？</x:v>
      </x:c>
      <x:c r="I706" s="28" t="str">
        <x:v>性质命中率；新颖性；有效率；可合成率；实验成功率；闭环提升</x:v>
      </x:c>
      <x:c r="J706" s="64" t="str">
        <x:v>工程化关键</x:v>
      </x:c>
      <x:c r="K706" s="64" t="str">
        <x:v>P1</x:v>
      </x:c>
      <x:c r="L706" s="28" t="str">
        <x:v>S34; S40; S41; S42</x:v>
      </x:c>
      <x:c r="M706" s="28" t="str">
        <x:v>https://www.nature.com/articles/s42256-024-00832-8</x:v>
      </x:c>
    </x:row>
    <x:row r="707" ht="48" customHeight="1">
      <x:c r="A707" s="64" t="str">
        <x:v>T0706</x:v>
      </x:c>
      <x:c r="B707" s="28" t="str">
        <x:v>科学AI、仿真与数字孪生</x:v>
      </x:c>
      <x:c r="C707" s="28" t="str">
        <x:v>分子/材料表征、生成式与逆向设计</x:v>
      </x:c>
      <x:c r="D707" s="28" t="str">
        <x:v>预测、反应与路线规划</x:v>
      </x:c>
      <x:c r="E707" s="28" t="str">
        <x:v>生成式科学设计</x:v>
      </x:c>
      <x:c r="F707" s="28" t="str">
        <x:v>反应条件推荐</x:v>
      </x:c>
      <x:c r="G707" s="28" t="str">
        <x:v>用“反应条件推荐”表示、预测并生成分子/材料候选，同时显式考虑三维结构、可合成性、约束与实验验证。</x:v>
      </x:c>
      <x:c r="H707" s="28" t="str">
        <x:v>生成候选是否兼顾性质、新颖性、可合成性和真实实验成功率？</x:v>
      </x:c>
      <x:c r="I707" s="28" t="str">
        <x:v>性质命中率；新颖性；有效率；可合成率；实验成功率；闭环提升</x:v>
      </x:c>
      <x:c r="J707" s="64" t="str">
        <x:v>工程化关键</x:v>
      </x:c>
      <x:c r="K707" s="64" t="str">
        <x:v>P1</x:v>
      </x:c>
      <x:c r="L707" s="28" t="str">
        <x:v>S34; S40; S41; S42</x:v>
      </x:c>
      <x:c r="M707" s="28" t="str">
        <x:v>https://www.nature.com/articles/s41586-021-03819-2</x:v>
      </x:c>
    </x:row>
    <x:row r="708" ht="48" customHeight="1">
      <x:c r="A708" s="64" t="str">
        <x:v>T0707</x:v>
      </x:c>
      <x:c r="B708" s="28" t="str">
        <x:v>科学AI、仿真与数字孪生</x:v>
      </x:c>
      <x:c r="C708" s="28" t="str">
        <x:v>分子/材料表征、生成式与逆向设计</x:v>
      </x:c>
      <x:c r="D708" s="28" t="str">
        <x:v>预测、反应与路线规划</x:v>
      </x:c>
      <x:c r="E708" s="28" t="str">
        <x:v>生成式科学设计</x:v>
      </x:c>
      <x:c r="F708" s="28" t="str">
        <x:v>逆向设计</x:v>
      </x:c>
      <x:c r="G708" s="28" t="str">
        <x:v>用“逆向设计”表示、预测并生成分子/材料候选，同时显式考虑三维结构、可合成性、约束与实验验证。</x:v>
      </x:c>
      <x:c r="H708" s="28" t="str">
        <x:v>生成候选是否兼顾性质、新颖性、可合成性和真实实验成功率？</x:v>
      </x:c>
      <x:c r="I708" s="28" t="str">
        <x:v>性质命中率；新颖性；有效率；可合成率；实验成功率；闭环提升</x:v>
      </x:c>
      <x:c r="J708" s="64" t="str">
        <x:v>工程化关键</x:v>
      </x:c>
      <x:c r="K708" s="64" t="str">
        <x:v>P1</x:v>
      </x:c>
      <x:c r="L708" s="28" t="str">
        <x:v>S34; S40; S41; S42</x:v>
      </x:c>
      <x:c r="M708" s="28" t="str">
        <x:v>https://www.nature.com/articles/s41586-023-06735-9</x:v>
      </x:c>
    </x:row>
    <x:row r="709" ht="48" customHeight="1">
      <x:c r="A709" s="64" t="str">
        <x:v>T0708</x:v>
      </x:c>
      <x:c r="B709" s="28" t="str">
        <x:v>科学AI、仿真与数字孪生</x:v>
      </x:c>
      <x:c r="C709" s="28" t="str">
        <x:v>分子/材料表征、生成式与逆向设计</x:v>
      </x:c>
      <x:c r="D709" s="28" t="str">
        <x:v>预测、反应与路线规划</x:v>
      </x:c>
      <x:c r="E709" s="28" t="str">
        <x:v>生成式科学设计</x:v>
      </x:c>
      <x:c r="F709" s="28" t="str">
        <x:v>变分自编码器</x:v>
      </x:c>
      <x:c r="G709" s="28" t="str">
        <x:v>用“变分自编码器”表示、预测并生成分子/材料候选，同时显式考虑三维结构、可合成性、约束与实验验证。</x:v>
      </x:c>
      <x:c r="H709" s="28" t="str">
        <x:v>生成候选是否兼顾性质、新颖性、可合成性和真实实验成功率？</x:v>
      </x:c>
      <x:c r="I709" s="28" t="str">
        <x:v>性质命中率；新颖性；有效率；可合成率；实验成功率；闭环提升</x:v>
      </x:c>
      <x:c r="J709" s="64" t="str">
        <x:v>工程化关键</x:v>
      </x:c>
      <x:c r="K709" s="64" t="str">
        <x:v>P1</x:v>
      </x:c>
      <x:c r="L709" s="28" t="str">
        <x:v>S34; S40; S41; S42</x:v>
      </x:c>
      <x:c r="M709" s="28" t="str">
        <x:v>https://www.nature.com/articles/s43246-022-00315-6</x:v>
      </x:c>
    </x:row>
    <x:row r="710" ht="48" customHeight="1">
      <x:c r="A710" s="64" t="str">
        <x:v>T0709</x:v>
      </x:c>
      <x:c r="B710" s="28" t="str">
        <x:v>科学AI、仿真与数字孪生</x:v>
      </x:c>
      <x:c r="C710" s="28" t="str">
        <x:v>分子/材料表征、生成式与逆向设计</x:v>
      </x:c>
      <x:c r="D710" s="28" t="str">
        <x:v>预测、反应与路线规划</x:v>
      </x:c>
      <x:c r="E710" s="28" t="str">
        <x:v>生成式科学设计</x:v>
      </x:c>
      <x:c r="F710" s="28" t="str">
        <x:v>生成对抗网络</x:v>
      </x:c>
      <x:c r="G710" s="28" t="str">
        <x:v>用“生成对抗网络”表示、预测并生成分子/材料候选，同时显式考虑三维结构、可合成性、约束与实验验证。</x:v>
      </x:c>
      <x:c r="H710" s="28" t="str">
        <x:v>生成候选是否兼顾性质、新颖性、可合成性和真实实验成功率？</x:v>
      </x:c>
      <x:c r="I710" s="28" t="str">
        <x:v>性质命中率；新颖性；有效率；可合成率；实验成功率；闭环提升</x:v>
      </x:c>
      <x:c r="J710" s="64" t="str">
        <x:v>进阶能力</x:v>
      </x:c>
      <x:c r="K710" s="64" t="str">
        <x:v>P2</x:v>
      </x:c>
      <x:c r="L710" s="28" t="str">
        <x:v>S34; S40; S41; S42</x:v>
      </x:c>
      <x:c r="M710" s="28" t="str">
        <x:v>https://www.nature.com/articles/s42256-024-00832-8</x:v>
      </x:c>
    </x:row>
    <x:row r="711" ht="48" customHeight="1">
      <x:c r="A711" s="64" t="str">
        <x:v>T0710</x:v>
      </x:c>
      <x:c r="B711" s="28" t="str">
        <x:v>科学AI、仿真与数字孪生</x:v>
      </x:c>
      <x:c r="C711" s="28" t="str">
        <x:v>分子/材料表征、生成式与逆向设计</x:v>
      </x:c>
      <x:c r="D711" s="28" t="str">
        <x:v>预测、反应与路线规划</x:v>
      </x:c>
      <x:c r="E711" s="28" t="str">
        <x:v>生成式科学设计</x:v>
      </x:c>
      <x:c r="F711" s="28" t="str">
        <x:v>扩散模型</x:v>
      </x:c>
      <x:c r="G711" s="28" t="str">
        <x:v>用“扩散模型”表示、预测并生成分子/材料候选，同时显式考虑三维结构、可合成性、约束与实验验证。</x:v>
      </x:c>
      <x:c r="H711" s="28" t="str">
        <x:v>生成候选是否兼顾性质、新颖性、可合成性和真实实验成功率？</x:v>
      </x:c>
      <x:c r="I711" s="28" t="str">
        <x:v>性质命中率；新颖性；有效率；可合成率；实验成功率；闭环提升</x:v>
      </x:c>
      <x:c r="J711" s="64" t="str">
        <x:v>进阶能力</x:v>
      </x:c>
      <x:c r="K711" s="64" t="str">
        <x:v>P2</x:v>
      </x:c>
      <x:c r="L711" s="28" t="str">
        <x:v>S34; S40; S41; S42</x:v>
      </x:c>
      <x:c r="M711" s="28" t="str">
        <x:v>https://www.nature.com/articles/s41586-021-03819-2</x:v>
      </x:c>
    </x:row>
    <x:row r="712" ht="48" customHeight="1">
      <x:c r="A712" s="64" t="str">
        <x:v>T0711</x:v>
      </x:c>
      <x:c r="B712" s="28" t="str">
        <x:v>科学AI、仿真与数字孪生</x:v>
      </x:c>
      <x:c r="C712" s="28" t="str">
        <x:v>分子/材料表征、生成式与逆向设计</x:v>
      </x:c>
      <x:c r="D712" s="28" t="str">
        <x:v>生成、逆向设计与闭环验证</x:v>
      </x:c>
      <x:c r="E712" s="28" t="str">
        <x:v>生成式科学设计</x:v>
      </x:c>
      <x:c r="F712" s="28" t="str">
        <x:v>自回归生成</x:v>
      </x:c>
      <x:c r="G712" s="28" t="str">
        <x:v>用“自回归生成”表示、预测并生成分子/材料候选，同时显式考虑三维结构、可合成性、约束与实验验证。</x:v>
      </x:c>
      <x:c r="H712" s="28" t="str">
        <x:v>生成候选是否兼顾性质、新颖性、可合成性和真实实验成功率？</x:v>
      </x:c>
      <x:c r="I712" s="28" t="str">
        <x:v>性质命中率；新颖性；有效率；可合成率；实验成功率；闭环提升</x:v>
      </x:c>
      <x:c r="J712" s="64" t="str">
        <x:v>进阶能力</x:v>
      </x:c>
      <x:c r="K712" s="64" t="str">
        <x:v>P2</x:v>
      </x:c>
      <x:c r="L712" s="28" t="str">
        <x:v>S34; S40; S41; S42</x:v>
      </x:c>
      <x:c r="M712" s="28" t="str">
        <x:v>https://www.nature.com/articles/s41586-023-06735-9</x:v>
      </x:c>
    </x:row>
    <x:row r="713" ht="48" customHeight="1">
      <x:c r="A713" s="64" t="str">
        <x:v>T0712</x:v>
      </x:c>
      <x:c r="B713" s="28" t="str">
        <x:v>科学AI、仿真与数字孪生</x:v>
      </x:c>
      <x:c r="C713" s="28" t="str">
        <x:v>分子/材料表征、生成式与逆向设计</x:v>
      </x:c>
      <x:c r="D713" s="28" t="str">
        <x:v>生成、逆向设计与闭环验证</x:v>
      </x:c>
      <x:c r="E713" s="28" t="str">
        <x:v>生成式科学设计</x:v>
      </x:c>
      <x:c r="F713" s="28" t="str">
        <x:v>强化学习分子设计</x:v>
      </x:c>
      <x:c r="G713" s="28" t="str">
        <x:v>用“强化学习分子设计”表示、预测并生成分子/材料候选，同时显式考虑三维结构、可合成性、约束与实验验证。</x:v>
      </x:c>
      <x:c r="H713" s="28" t="str">
        <x:v>生成候选是否兼顾性质、新颖性、可合成性和真实实验成功率？</x:v>
      </x:c>
      <x:c r="I713" s="28" t="str">
        <x:v>性质命中率；新颖性；有效率；可合成率；实验成功率；闭环提升</x:v>
      </x:c>
      <x:c r="J713" s="64" t="str">
        <x:v>进阶能力</x:v>
      </x:c>
      <x:c r="K713" s="64" t="str">
        <x:v>P2</x:v>
      </x:c>
      <x:c r="L713" s="28" t="str">
        <x:v>S34; S40; S41; S42</x:v>
      </x:c>
      <x:c r="M713" s="28" t="str">
        <x:v>https://www.nature.com/articles/s43246-022-00315-6</x:v>
      </x:c>
    </x:row>
    <x:row r="714" ht="48" customHeight="1">
      <x:c r="A714" s="64" t="str">
        <x:v>T0713</x:v>
      </x:c>
      <x:c r="B714" s="28" t="str">
        <x:v>科学AI、仿真与数字孪生</x:v>
      </x:c>
      <x:c r="C714" s="28" t="str">
        <x:v>分子/材料表征、生成式与逆向设计</x:v>
      </x:c>
      <x:c r="D714" s="28" t="str">
        <x:v>生成、逆向设计与闭环验证</x:v>
      </x:c>
      <x:c r="E714" s="28" t="str">
        <x:v>生成式科学设计</x:v>
      </x:c>
      <x:c r="F714" s="28" t="str">
        <x:v>贝叶斯分子优化</x:v>
      </x:c>
      <x:c r="G714" s="28" t="str">
        <x:v>用“贝叶斯分子优化”表示、预测并生成分子/材料候选，同时显式考虑三维结构、可合成性、约束与实验验证。</x:v>
      </x:c>
      <x:c r="H714" s="28" t="str">
        <x:v>生成候选是否兼顾性质、新颖性、可合成性和真实实验成功率？</x:v>
      </x:c>
      <x:c r="I714" s="28" t="str">
        <x:v>性质命中率；新颖性；有效率；可合成率；实验成功率；闭环提升</x:v>
      </x:c>
      <x:c r="J714" s="64" t="str">
        <x:v>进阶能力</x:v>
      </x:c>
      <x:c r="K714" s="64" t="str">
        <x:v>P2</x:v>
      </x:c>
      <x:c r="L714" s="28" t="str">
        <x:v>S34; S40; S41; S42</x:v>
      </x:c>
      <x:c r="M714" s="28" t="str">
        <x:v>https://www.nature.com/articles/s42256-024-00832-8</x:v>
      </x:c>
    </x:row>
    <x:row r="715" ht="48" customHeight="1">
      <x:c r="A715" s="64" t="str">
        <x:v>T0714</x:v>
      </x:c>
      <x:c r="B715" s="28" t="str">
        <x:v>科学AI、仿真与数字孪生</x:v>
      </x:c>
      <x:c r="C715" s="28" t="str">
        <x:v>分子/材料表征、生成式与逆向设计</x:v>
      </x:c>
      <x:c r="D715" s="28" t="str">
        <x:v>生成、逆向设计与闭环验证</x:v>
      </x:c>
      <x:c r="E715" s="28" t="str">
        <x:v>生成式科学设计</x:v>
      </x:c>
      <x:c r="F715" s="28" t="str">
        <x:v>约束生成</x:v>
      </x:c>
      <x:c r="G715" s="28" t="str">
        <x:v>用“约束生成”表示、预测并生成分子/材料候选，同时显式考虑三维结构、可合成性、约束与实验验证。</x:v>
      </x:c>
      <x:c r="H715" s="28" t="str">
        <x:v>生成候选是否兼顾性质、新颖性、可合成性和真实实验成功率？</x:v>
      </x:c>
      <x:c r="I715" s="28" t="str">
        <x:v>性质命中率；新颖性；有效率；可合成率；实验成功率；闭环提升</x:v>
      </x:c>
      <x:c r="J715" s="64" t="str">
        <x:v>进阶能力</x:v>
      </x:c>
      <x:c r="K715" s="64" t="str">
        <x:v>P2</x:v>
      </x:c>
      <x:c r="L715" s="28" t="str">
        <x:v>S34; S40; S41; S42</x:v>
      </x:c>
      <x:c r="M715" s="28" t="str">
        <x:v>https://www.nature.com/articles/s41586-021-03819-2</x:v>
      </x:c>
    </x:row>
    <x:row r="716" ht="48" customHeight="1">
      <x:c r="A716" s="64" t="str">
        <x:v>T0715</x:v>
      </x:c>
      <x:c r="B716" s="28" t="str">
        <x:v>科学AI、仿真与数字孪生</x:v>
      </x:c>
      <x:c r="C716" s="28" t="str">
        <x:v>分子/材料表征、生成式与逆向设计</x:v>
      </x:c>
      <x:c r="D716" s="28" t="str">
        <x:v>生成、逆向设计与闭环验证</x:v>
      </x:c>
      <x:c r="E716" s="28" t="str">
        <x:v>生成式科学设计</x:v>
      </x:c>
      <x:c r="F716" s="28" t="str">
        <x:v>骨架跃迁</x:v>
      </x:c>
      <x:c r="G716" s="28" t="str">
        <x:v>用“骨架跃迁”表示、预测并生成分子/材料候选，同时显式考虑三维结构、可合成性、约束与实验验证。</x:v>
      </x:c>
      <x:c r="H716" s="28" t="str">
        <x:v>生成候选是否兼顾性质、新颖性、可合成性和真实实验成功率？</x:v>
      </x:c>
      <x:c r="I716" s="28" t="str">
        <x:v>性质命中率；新颖性；有效率；可合成率；实验成功率；闭环提升</x:v>
      </x:c>
      <x:c r="J716" s="64" t="str">
        <x:v>进阶能力</x:v>
      </x:c>
      <x:c r="K716" s="64" t="str">
        <x:v>P2</x:v>
      </x:c>
      <x:c r="L716" s="28" t="str">
        <x:v>S34; S40; S41; S42</x:v>
      </x:c>
      <x:c r="M716" s="28" t="str">
        <x:v>https://www.nature.com/articles/s41586-023-06735-9</x:v>
      </x:c>
    </x:row>
    <x:row r="717" ht="48" customHeight="1">
      <x:c r="A717" s="64" t="str">
        <x:v>T0716</x:v>
      </x:c>
      <x:c r="B717" s="28" t="str">
        <x:v>科学AI、仿真与数字孪生</x:v>
      </x:c>
      <x:c r="C717" s="28" t="str">
        <x:v>分子/材料表征、生成式与逆向设计</x:v>
      </x:c>
      <x:c r="D717" s="28" t="str">
        <x:v>生成、逆向设计与闭环验证</x:v>
      </x:c>
      <x:c r="E717" s="28" t="str">
        <x:v>生成式科学设计</x:v>
      </x:c>
      <x:c r="F717" s="28" t="str">
        <x:v>蛋白质设计</x:v>
      </x:c>
      <x:c r="G717" s="28" t="str">
        <x:v>用“蛋白质设计”表示、预测并生成分子/材料候选，同时显式考虑三维结构、可合成性、约束与实验验证。</x:v>
      </x:c>
      <x:c r="H717" s="28" t="str">
        <x:v>生成候选是否兼顾性质、新颖性、可合成性和真实实验成功率？</x:v>
      </x:c>
      <x:c r="I717" s="28" t="str">
        <x:v>性质命中率；新颖性；有效率；可合成率；实验成功率；闭环提升</x:v>
      </x:c>
      <x:c r="J717" s="64" t="str">
        <x:v>进阶能力</x:v>
      </x:c>
      <x:c r="K717" s="64" t="str">
        <x:v>P2</x:v>
      </x:c>
      <x:c r="L717" s="28" t="str">
        <x:v>S34; S40; S41; S42</x:v>
      </x:c>
      <x:c r="M717" s="28" t="str">
        <x:v>https://www.nature.com/articles/s43246-022-00315-6</x:v>
      </x:c>
    </x:row>
    <x:row r="718" ht="48" customHeight="1">
      <x:c r="A718" s="64" t="str">
        <x:v>T0717</x:v>
      </x:c>
      <x:c r="B718" s="28" t="str">
        <x:v>科学AI、仿真与数字孪生</x:v>
      </x:c>
      <x:c r="C718" s="28" t="str">
        <x:v>分子/材料表征、生成式与逆向设计</x:v>
      </x:c>
      <x:c r="D718" s="28" t="str">
        <x:v>生成、逆向设计与闭环验证</x:v>
      </x:c>
      <x:c r="E718" s="28" t="str">
        <x:v>生成式科学设计</x:v>
      </x:c>
      <x:c r="F718" s="28" t="str">
        <x:v>晶体生成</x:v>
      </x:c>
      <x:c r="G718" s="28" t="str">
        <x:v>用“晶体生成”表示、预测并生成分子/材料候选，同时显式考虑三维结构、可合成性、约束与实验验证。</x:v>
      </x:c>
      <x:c r="H718" s="28" t="str">
        <x:v>生成候选是否兼顾性质、新颖性、可合成性和真实实验成功率？</x:v>
      </x:c>
      <x:c r="I718" s="28" t="str">
        <x:v>性质命中率；新颖性；有效率；可合成率；实验成功率；闭环提升</x:v>
      </x:c>
      <x:c r="J718" s="64" t="str">
        <x:v>前沿能力</x:v>
      </x:c>
      <x:c r="K718" s="64" t="str">
        <x:v>P2</x:v>
      </x:c>
      <x:c r="L718" s="28" t="str">
        <x:v>S34; S40; S41; S42</x:v>
      </x:c>
      <x:c r="M718" s="28" t="str">
        <x:v>https://www.nature.com/articles/s42256-024-00832-8</x:v>
      </x:c>
    </x:row>
    <x:row r="719" ht="48" customHeight="1">
      <x:c r="A719" s="64" t="str">
        <x:v>T0718</x:v>
      </x:c>
      <x:c r="B719" s="28" t="str">
        <x:v>科学AI、仿真与数字孪生</x:v>
      </x:c>
      <x:c r="C719" s="28" t="str">
        <x:v>分子/材料表征、生成式与逆向设计</x:v>
      </x:c>
      <x:c r="D719" s="28" t="str">
        <x:v>生成、逆向设计与闭环验证</x:v>
      </x:c>
      <x:c r="E719" s="28" t="str">
        <x:v>生成式科学设计</x:v>
      </x:c>
      <x:c r="F719" s="28" t="str">
        <x:v>拓扑优化</x:v>
      </x:c>
      <x:c r="G719" s="28" t="str">
        <x:v>用“拓扑优化”表示、预测并生成分子/材料候选，同时显式考虑三维结构、可合成性、约束与实验验证。</x:v>
      </x:c>
      <x:c r="H719" s="28" t="str">
        <x:v>生成候选是否兼顾性质、新颖性、可合成性和真实实验成功率？</x:v>
      </x:c>
      <x:c r="I719" s="28" t="str">
        <x:v>性质命中率；新颖性；有效率；可合成率；实验成功率；闭环提升</x:v>
      </x:c>
      <x:c r="J719" s="64" t="str">
        <x:v>前沿能力</x:v>
      </x:c>
      <x:c r="K719" s="64" t="str">
        <x:v>P2</x:v>
      </x:c>
      <x:c r="L719" s="28" t="str">
        <x:v>S34; S40; S41; S42</x:v>
      </x:c>
      <x:c r="M719" s="28" t="str">
        <x:v>https://www.nature.com/articles/s41586-021-03819-2</x:v>
      </x:c>
    </x:row>
    <x:row r="720" ht="48" customHeight="1">
      <x:c r="A720" s="64" t="str">
        <x:v>T0719</x:v>
      </x:c>
      <x:c r="B720" s="28" t="str">
        <x:v>科学AI、仿真与数字孪生</x:v>
      </x:c>
      <x:c r="C720" s="28" t="str">
        <x:v>分子/材料表征、生成式与逆向设计</x:v>
      </x:c>
      <x:c r="D720" s="28" t="str">
        <x:v>生成、逆向设计与闭环验证</x:v>
      </x:c>
      <x:c r="E720" s="28" t="str">
        <x:v>生成式科学设计</x:v>
      </x:c>
      <x:c r="F720" s="28" t="str">
        <x:v>可合成性过滤</x:v>
      </x:c>
      <x:c r="G720" s="28" t="str">
        <x:v>用“可合成性过滤”表示、预测并生成分子/材料候选，同时显式考虑三维结构、可合成性、约束与实验验证。</x:v>
      </x:c>
      <x:c r="H720" s="28" t="str">
        <x:v>生成候选是否兼顾性质、新颖性、可合成性和真实实验成功率？</x:v>
      </x:c>
      <x:c r="I720" s="28" t="str">
        <x:v>性质命中率；新颖性；有效率；可合成率；实验成功率；闭环提升</x:v>
      </x:c>
      <x:c r="J720" s="64" t="str">
        <x:v>前沿能力</x:v>
      </x:c>
      <x:c r="K720" s="64" t="str">
        <x:v>P2</x:v>
      </x:c>
      <x:c r="L720" s="28" t="str">
        <x:v>S34; S40; S41; S42</x:v>
      </x:c>
      <x:c r="M720" s="28" t="str">
        <x:v>https://www.nature.com/articles/s41586-023-06735-9</x:v>
      </x:c>
    </x:row>
    <x:row r="721" ht="48" customHeight="1">
      <x:c r="A721" s="64" t="str">
        <x:v>T0720</x:v>
      </x:c>
      <x:c r="B721" s="28" t="str">
        <x:v>科学AI、仿真与数字孪生</x:v>
      </x:c>
      <x:c r="C721" s="28" t="str">
        <x:v>分子/材料表征、生成式与逆向设计</x:v>
      </x:c>
      <x:c r="D721" s="28" t="str">
        <x:v>生成、逆向设计与闭环验证</x:v>
      </x:c>
      <x:c r="E721" s="28" t="str">
        <x:v>生成式科学设计</x:v>
      </x:c>
      <x:c r="F721" s="28" t="str">
        <x:v>闭环生成—实验验证</x:v>
      </x:c>
      <x:c r="G721" s="28" t="str">
        <x:v>用“闭环生成—实验验证”表示、预测并生成分子/材料候选，同时显式考虑三维结构、可合成性、约束与实验验证。</x:v>
      </x:c>
      <x:c r="H721" s="28" t="str">
        <x:v>生成候选是否兼顾性质、新颖性、可合成性和真实实验成功率？</x:v>
      </x:c>
      <x:c r="I721" s="28" t="str">
        <x:v>性质命中率；新颖性；有效率；可合成率；实验成功率；闭环提升</x:v>
      </x:c>
      <x:c r="J721" s="64" t="str">
        <x:v>前沿能力</x:v>
      </x:c>
      <x:c r="K721" s="64" t="str">
        <x:v>P2</x:v>
      </x:c>
      <x:c r="L721" s="28" t="str">
        <x:v>S34; S40; S41; S42</x:v>
      </x:c>
      <x:c r="M721" s="28" t="str">
        <x:v>https://www.nature.com/articles/s43246-022-00315-6</x:v>
      </x:c>
    </x:row>
    <x:row r="722" ht="48" customHeight="1">
      <x:c r="A722" s="64" t="str">
        <x:v>T0721</x:v>
      </x:c>
      <x:c r="B722" s="28" t="str">
        <x:v>科学智能体与多智能体</x:v>
      </x:c>
      <x:c r="C722" s="28" t="str">
        <x:v>科学大模型智能体：知识、检索与工具接地</x:v>
      </x:c>
      <x:c r="D722" s="28" t="str">
        <x:v>科学模型、RAG与检索</x:v>
      </x:c>
      <x:c r="E722" s="28" t="str">
        <x:v>科学大模型智能体</x:v>
      </x:c>
      <x:c r="F722" s="28" t="str">
        <x:v>领域科学大模型</x:v>
      </x:c>
      <x:c r="G722" s="28" t="str">
        <x:v>围绕“领域科学大模型”把科学大模型接地到文献、数据库、代码、仿真和仪器工具，并保留来源与证据链。</x:v>
      </x:c>
      <x:c r="H722" s="28" t="str">
        <x:v>每个结论能否回溯到来源；每次工具调用是否有权限、模式与验证？</x:v>
      </x:c>
      <x:c r="I722" s="28" t="str">
        <x:v>有据回答率；引文正确率；工具调用成功率；结构化输出合格率；幻觉率</x:v>
      </x:c>
      <x:c r="J722" s="64" t="str">
        <x:v>基础能力</x:v>
      </x:c>
      <x:c r="K722" s="64" t="str">
        <x:v>P0</x:v>
      </x:c>
      <x:c r="L722" s="28" t="str">
        <x:v>S11; S34; S35; S36; S37</x:v>
      </x:c>
      <x:c r="M722" s="28" t="str">
        <x:v>https://www.nature.com/articles/s41586-023-06792-0</x:v>
      </x:c>
    </x:row>
    <x:row r="723" ht="48" customHeight="1">
      <x:c r="A723" s="64" t="str">
        <x:v>T0722</x:v>
      </x:c>
      <x:c r="B723" s="28" t="str">
        <x:v>科学智能体与多智能体</x:v>
      </x:c>
      <x:c r="C723" s="28" t="str">
        <x:v>科学大模型智能体：知识、检索与工具接地</x:v>
      </x:c>
      <x:c r="D723" s="28" t="str">
        <x:v>科学模型、RAG与检索</x:v>
      </x:c>
      <x:c r="E723" s="28" t="str">
        <x:v>科学大模型智能体</x:v>
      </x:c>
      <x:c r="F723" s="28" t="str">
        <x:v>科学指令微调</x:v>
      </x:c>
      <x:c r="G723" s="28" t="str">
        <x:v>围绕“科学指令微调”把科学大模型接地到文献、数据库、代码、仿真和仪器工具，并保留来源与证据链。</x:v>
      </x:c>
      <x:c r="H723" s="28" t="str">
        <x:v>每个结论能否回溯到来源；每次工具调用是否有权限、模式与验证？</x:v>
      </x:c>
      <x:c r="I723" s="28" t="str">
        <x:v>有据回答率；引文正确率；工具调用成功率；结构化输出合格率；幻觉率</x:v>
      </x:c>
      <x:c r="J723" s="64" t="str">
        <x:v>基础能力</x:v>
      </x:c>
      <x:c r="K723" s="64" t="str">
        <x:v>P0</x:v>
      </x:c>
      <x:c r="L723" s="28" t="str">
        <x:v>S11; S34; S35; S36; S37</x:v>
      </x:c>
      <x:c r="M723" s="28" t="str">
        <x:v>https://www.nature.com/articles/s42256-024-00832-8</x:v>
      </x:c>
    </x:row>
    <x:row r="724" ht="48" customHeight="1">
      <x:c r="A724" s="64" t="str">
        <x:v>T0723</x:v>
      </x:c>
      <x:c r="B724" s="28" t="str">
        <x:v>科学智能体与多智能体</x:v>
      </x:c>
      <x:c r="C724" s="28" t="str">
        <x:v>科学大模型智能体：知识、检索与工具接地</x:v>
      </x:c>
      <x:c r="D724" s="28" t="str">
        <x:v>科学模型、RAG与检索</x:v>
      </x:c>
      <x:c r="E724" s="28" t="str">
        <x:v>科学大模型智能体</x:v>
      </x:c>
      <x:c r="F724" s="28" t="str">
        <x:v>科学RAG</x:v>
      </x:c>
      <x:c r="G724" s="28" t="str">
        <x:v>围绕“科学RAG”把科学大模型接地到文献、数据库、代码、仿真和仪器工具，并保留来源与证据链。</x:v>
      </x:c>
      <x:c r="H724" s="28" t="str">
        <x:v>每个结论能否回溯到来源；每次工具调用是否有权限、模式与验证？</x:v>
      </x:c>
      <x:c r="I724" s="28" t="str">
        <x:v>有据回答率；引文正确率；工具调用成功率；结构化输出合格率；幻觉率</x:v>
      </x:c>
      <x:c r="J724" s="64" t="str">
        <x:v>基础能力</x:v>
      </x:c>
      <x:c r="K724" s="64" t="str">
        <x:v>P0</x:v>
      </x:c>
      <x:c r="L724" s="28" t="str">
        <x:v>S11; S34; S35; S36; S37</x:v>
      </x:c>
      <x:c r="M724" s="28" t="str">
        <x:v>https://www.nature.com/articles/s41551-025-01463-z</x:v>
      </x:c>
    </x:row>
    <x:row r="725" ht="48" customHeight="1">
      <x:c r="A725" s="64" t="str">
        <x:v>T0724</x:v>
      </x:c>
      <x:c r="B725" s="28" t="str">
        <x:v>科学智能体与多智能体</x:v>
      </x:c>
      <x:c r="C725" s="28" t="str">
        <x:v>科学大模型智能体：知识、检索与工具接地</x:v>
      </x:c>
      <x:c r="D725" s="28" t="str">
        <x:v>科学模型、RAG与检索</x:v>
      </x:c>
      <x:c r="E725" s="28" t="str">
        <x:v>科学大模型智能体</x:v>
      </x:c>
      <x:c r="F725" s="28" t="str">
        <x:v>混合检索</x:v>
      </x:c>
      <x:c r="G725" s="28" t="str">
        <x:v>围绕“混合检索”把科学大模型接地到文献、数据库、代码、仿真和仪器工具，并保留来源与证据链。</x:v>
      </x:c>
      <x:c r="H725" s="28" t="str">
        <x:v>每个结论能否回溯到来源；每次工具调用是否有权限、模式与验证？</x:v>
      </x:c>
      <x:c r="I725" s="28" t="str">
        <x:v>有据回答率；引文正确率；工具调用成功率；结构化输出合格率；幻觉率</x:v>
      </x:c>
      <x:c r="J725" s="64" t="str">
        <x:v>基础能力</x:v>
      </x:c>
      <x:c r="K725" s="64" t="str">
        <x:v>P0</x:v>
      </x:c>
      <x:c r="L725" s="28" t="str">
        <x:v>S11; S34; S35; S36; S37</x:v>
      </x:c>
      <x:c r="M725" s="28" t="str">
        <x:v>https://www.nature.com/articles/s43246-025-00994-x</x:v>
      </x:c>
    </x:row>
    <x:row r="726" ht="48" customHeight="1">
      <x:c r="A726" s="64" t="str">
        <x:v>T0725</x:v>
      </x:c>
      <x:c r="B726" s="28" t="str">
        <x:v>科学智能体与多智能体</x:v>
      </x:c>
      <x:c r="C726" s="28" t="str">
        <x:v>科学大模型智能体：知识、检索与工具接地</x:v>
      </x:c>
      <x:c r="D726" s="28" t="str">
        <x:v>科学模型、RAG与检索</x:v>
      </x:c>
      <x:c r="E726" s="28" t="str">
        <x:v>科学大模型智能体</x:v>
      </x:c>
      <x:c r="F726" s="28" t="str">
        <x:v>引文接地</x:v>
      </x:c>
      <x:c r="G726" s="28" t="str">
        <x:v>围绕“引文接地”把科学大模型接地到文献、数据库、代码、仿真和仪器工具，并保留来源与证据链。</x:v>
      </x:c>
      <x:c r="H726" s="28" t="str">
        <x:v>每个结论能否回溯到来源；每次工具调用是否有权限、模式与验证？</x:v>
      </x:c>
      <x:c r="I726" s="28" t="str">
        <x:v>有据回答率；引文正确率；工具调用成功率；结构化输出合格率；幻觉率</x:v>
      </x:c>
      <x:c r="J726" s="64" t="str">
        <x:v>基础能力</x:v>
      </x:c>
      <x:c r="K726" s="64" t="str">
        <x:v>P0</x:v>
      </x:c>
      <x:c r="L726" s="28" t="str">
        <x:v>S11; S34; S35; S36; S37</x:v>
      </x:c>
      <x:c r="M726" s="28" t="str">
        <x:v>https://modelcontextprotocol.io/docs/getting-started/intro</x:v>
      </x:c>
    </x:row>
    <x:row r="727" ht="48" customHeight="1">
      <x:c r="A727" s="64" t="str">
        <x:v>T0726</x:v>
      </x:c>
      <x:c r="B727" s="28" t="str">
        <x:v>科学智能体与多智能体</x:v>
      </x:c>
      <x:c r="C727" s="28" t="str">
        <x:v>科学大模型智能体：知识、检索与工具接地</x:v>
      </x:c>
      <x:c r="D727" s="28" t="str">
        <x:v>科学模型、RAG与检索</x:v>
      </x:c>
      <x:c r="E727" s="28" t="str">
        <x:v>科学大模型智能体</x:v>
      </x:c>
      <x:c r="F727" s="28" t="str">
        <x:v>文献检索</x:v>
      </x:c>
      <x:c r="G727" s="28" t="str">
        <x:v>围绕“文献检索”把科学大模型接地到文献、数据库、代码、仿真和仪器工具，并保留来源与证据链。</x:v>
      </x:c>
      <x:c r="H727" s="28" t="str">
        <x:v>每个结论能否回溯到来源；每次工具调用是否有权限、模式与验证？</x:v>
      </x:c>
      <x:c r="I727" s="28" t="str">
        <x:v>有据回答率；引文正确率；工具调用成功率；结构化输出合格率；幻觉率</x:v>
      </x:c>
      <x:c r="J727" s="64" t="str">
        <x:v>基础能力</x:v>
      </x:c>
      <x:c r="K727" s="64" t="str">
        <x:v>P0</x:v>
      </x:c>
      <x:c r="L727" s="28" t="str">
        <x:v>S11; S34; S35; S36; S37</x:v>
      </x:c>
      <x:c r="M727" s="28" t="str">
        <x:v>https://www.nature.com/articles/s41586-023-06792-0</x:v>
      </x:c>
    </x:row>
    <x:row r="728" ht="48" customHeight="1">
      <x:c r="A728" s="64" t="str">
        <x:v>T0727</x:v>
      </x:c>
      <x:c r="B728" s="28" t="str">
        <x:v>科学智能体与多智能体</x:v>
      </x:c>
      <x:c r="C728" s="28" t="str">
        <x:v>科学大模型智能体：知识、检索与工具接地</x:v>
      </x:c>
      <x:c r="D728" s="28" t="str">
        <x:v>科学模型、RAG与检索</x:v>
      </x:c>
      <x:c r="E728" s="28" t="str">
        <x:v>科学大模型智能体</x:v>
      </x:c>
      <x:c r="F728" s="28" t="str">
        <x:v>专利检索</x:v>
      </x:c>
      <x:c r="G728" s="28" t="str">
        <x:v>围绕“专利检索”把科学大模型接地到文献、数据库、代码、仿真和仪器工具，并保留来源与证据链。</x:v>
      </x:c>
      <x:c r="H728" s="28" t="str">
        <x:v>每个结论能否回溯到来源；每次工具调用是否有权限、模式与验证？</x:v>
      </x:c>
      <x:c r="I728" s="28" t="str">
        <x:v>有据回答率；引文正确率；工具调用成功率；结构化输出合格率；幻觉率</x:v>
      </x:c>
      <x:c r="J728" s="64" t="str">
        <x:v>基础能力</x:v>
      </x:c>
      <x:c r="K728" s="64" t="str">
        <x:v>P0</x:v>
      </x:c>
      <x:c r="L728" s="28" t="str">
        <x:v>S11; S34; S35; S36; S37</x:v>
      </x:c>
      <x:c r="M728" s="28" t="str">
        <x:v>https://www.nature.com/articles/s42256-024-00832-8</x:v>
      </x:c>
    </x:row>
    <x:row r="729" ht="48" customHeight="1">
      <x:c r="A729" s="64" t="str">
        <x:v>T0728</x:v>
      </x:c>
      <x:c r="B729" s="28" t="str">
        <x:v>科学智能体与多智能体</x:v>
      </x:c>
      <x:c r="C729" s="28" t="str">
        <x:v>科学大模型智能体：知识、检索与工具接地</x:v>
      </x:c>
      <x:c r="D729" s="28" t="str">
        <x:v>科学模型、RAG与检索</x:v>
      </x:c>
      <x:c r="E729" s="28" t="str">
        <x:v>科学大模型智能体</x:v>
      </x:c>
      <x:c r="F729" s="28" t="str">
        <x:v>科学数据库查询</x:v>
      </x:c>
      <x:c r="G729" s="28" t="str">
        <x:v>围绕“科学数据库查询”把科学大模型接地到文献、数据库、代码、仿真和仪器工具，并保留来源与证据链。</x:v>
      </x:c>
      <x:c r="H729" s="28" t="str">
        <x:v>每个结论能否回溯到来源；每次工具调用是否有权限、模式与验证？</x:v>
      </x:c>
      <x:c r="I729" s="28" t="str">
        <x:v>有据回答率；引文正确率；工具调用成功率；结构化输出合格率；幻觉率</x:v>
      </x:c>
      <x:c r="J729" s="64" t="str">
        <x:v>基础能力</x:v>
      </x:c>
      <x:c r="K729" s="64" t="str">
        <x:v>P0</x:v>
      </x:c>
      <x:c r="L729" s="28" t="str">
        <x:v>S11; S34; S35; S36; S37</x:v>
      </x:c>
      <x:c r="M729" s="28" t="str">
        <x:v>https://www.nature.com/articles/s41551-025-01463-z</x:v>
      </x:c>
    </x:row>
    <x:row r="730" ht="48" customHeight="1">
      <x:c r="A730" s="64" t="str">
        <x:v>T0729</x:v>
      </x:c>
      <x:c r="B730" s="28" t="str">
        <x:v>科学智能体与多智能体</x:v>
      </x:c>
      <x:c r="C730" s="28" t="str">
        <x:v>科学大模型智能体：知识、检索与工具接地</x:v>
      </x:c>
      <x:c r="D730" s="28" t="str">
        <x:v>科学模型、RAG与检索</x:v>
      </x:c>
      <x:c r="E730" s="28" t="str">
        <x:v>科学大模型智能体</x:v>
      </x:c>
      <x:c r="F730" s="28" t="str">
        <x:v>知识图谱检索</x:v>
      </x:c>
      <x:c r="G730" s="28" t="str">
        <x:v>围绕“知识图谱检索”把科学大模型接地到文献、数据库、代码、仿真和仪器工具，并保留来源与证据链。</x:v>
      </x:c>
      <x:c r="H730" s="28" t="str">
        <x:v>每个结论能否回溯到来源；每次工具调用是否有权限、模式与验证？</x:v>
      </x:c>
      <x:c r="I730" s="28" t="str">
        <x:v>有据回答率；引文正确率；工具调用成功率；结构化输出合格率；幻觉率</x:v>
      </x:c>
      <x:c r="J730" s="64" t="str">
        <x:v>基础能力</x:v>
      </x:c>
      <x:c r="K730" s="64" t="str">
        <x:v>P0</x:v>
      </x:c>
      <x:c r="L730" s="28" t="str">
        <x:v>S11; S34; S35; S36; S37</x:v>
      </x:c>
      <x:c r="M730" s="28" t="str">
        <x:v>https://www.nature.com/articles/s43246-025-00994-x</x:v>
      </x:c>
    </x:row>
    <x:row r="731" ht="48" customHeight="1">
      <x:c r="A731" s="64" t="str">
        <x:v>T0730</x:v>
      </x:c>
      <x:c r="B731" s="28" t="str">
        <x:v>科学智能体与多智能体</x:v>
      </x:c>
      <x:c r="C731" s="28" t="str">
        <x:v>科学大模型智能体：知识、检索与工具接地</x:v>
      </x:c>
      <x:c r="D731" s="28" t="str">
        <x:v>科学模型、RAG与检索</x:v>
      </x:c>
      <x:c r="E731" s="28" t="str">
        <x:v>科学大模型智能体</x:v>
      </x:c>
      <x:c r="F731" s="28" t="str">
        <x:v>本体接地</x:v>
      </x:c>
      <x:c r="G731" s="28" t="str">
        <x:v>围绕“本体接地”把科学大模型接地到文献、数据库、代码、仿真和仪器工具，并保留来源与证据链。</x:v>
      </x:c>
      <x:c r="H731" s="28" t="str">
        <x:v>每个结论能否回溯到来源；每次工具调用是否有权限、模式与验证？</x:v>
      </x:c>
      <x:c r="I731" s="28" t="str">
        <x:v>有据回答率；引文正确率；工具调用成功率；结构化输出合格率；幻觉率</x:v>
      </x:c>
      <x:c r="J731" s="64" t="str">
        <x:v>基础能力</x:v>
      </x:c>
      <x:c r="K731" s="64" t="str">
        <x:v>P0</x:v>
      </x:c>
      <x:c r="L731" s="28" t="str">
        <x:v>S11; S34; S35; S36; S37</x:v>
      </x:c>
      <x:c r="M731" s="28" t="str">
        <x:v>https://modelcontextprotocol.io/docs/getting-started/intro</x:v>
      </x:c>
    </x:row>
    <x:row r="732" ht="48" customHeight="1">
      <x:c r="A732" s="64" t="str">
        <x:v>T0731</x:v>
      </x:c>
      <x:c r="B732" s="28" t="str">
        <x:v>科学智能体与多智能体</x:v>
      </x:c>
      <x:c r="C732" s="28" t="str">
        <x:v>科学大模型智能体：知识、检索与工具接地</x:v>
      </x:c>
      <x:c r="D732" s="28" t="str">
        <x:v>语义解析与证据接地</x:v>
      </x:c>
      <x:c r="E732" s="28" t="str">
        <x:v>科学大模型智能体</x:v>
      </x:c>
      <x:c r="F732" s="28" t="str">
        <x:v>语义解析</x:v>
      </x:c>
      <x:c r="G732" s="28" t="str">
        <x:v>围绕“语义解析”把科学大模型接地到文献、数据库、代码、仿真和仪器工具，并保留来源与证据链。</x:v>
      </x:c>
      <x:c r="H732" s="28" t="str">
        <x:v>每个结论能否回溯到来源；每次工具调用是否有权限、模式与验证？</x:v>
      </x:c>
      <x:c r="I732" s="28" t="str">
        <x:v>有据回答率；引文正确率；工具调用成功率；结构化输出合格率；幻觉率</x:v>
      </x:c>
      <x:c r="J732" s="64" t="str">
        <x:v>基础能力</x:v>
      </x:c>
      <x:c r="K732" s="64" t="str">
        <x:v>P1</x:v>
      </x:c>
      <x:c r="L732" s="28" t="str">
        <x:v>S11; S34; S35; S36; S37</x:v>
      </x:c>
      <x:c r="M732" s="28" t="str">
        <x:v>https://www.nature.com/articles/s41586-023-06792-0</x:v>
      </x:c>
    </x:row>
    <x:row r="733" ht="48" customHeight="1">
      <x:c r="A733" s="64" t="str">
        <x:v>T0732</x:v>
      </x:c>
      <x:c r="B733" s="28" t="str">
        <x:v>科学智能体与多智能体</x:v>
      </x:c>
      <x:c r="C733" s="28" t="str">
        <x:v>科学大模型智能体：知识、检索与工具接地</x:v>
      </x:c>
      <x:c r="D733" s="28" t="str">
        <x:v>语义解析与证据接地</x:v>
      </x:c>
      <x:c r="E733" s="28" t="str">
        <x:v>科学大模型智能体</x:v>
      </x:c>
      <x:c r="F733" s="28" t="str">
        <x:v>表格理解</x:v>
      </x:c>
      <x:c r="G733" s="28" t="str">
        <x:v>围绕“表格理解”把科学大模型接地到文献、数据库、代码、仿真和仪器工具，并保留来源与证据链。</x:v>
      </x:c>
      <x:c r="H733" s="28" t="str">
        <x:v>每个结论能否回溯到来源；每次工具调用是否有权限、模式与验证？</x:v>
      </x:c>
      <x:c r="I733" s="28" t="str">
        <x:v>有据回答率；引文正确率；工具调用成功率；结构化输出合格率；幻觉率</x:v>
      </x:c>
      <x:c r="J733" s="64" t="str">
        <x:v>基础能力</x:v>
      </x:c>
      <x:c r="K733" s="64" t="str">
        <x:v>P1</x:v>
      </x:c>
      <x:c r="L733" s="28" t="str">
        <x:v>S11; S34; S35; S36; S37</x:v>
      </x:c>
      <x:c r="M733" s="28" t="str">
        <x:v>https://www.nature.com/articles/s42256-024-00832-8</x:v>
      </x:c>
    </x:row>
    <x:row r="734" ht="48" customHeight="1">
      <x:c r="A734" s="64" t="str">
        <x:v>T0733</x:v>
      </x:c>
      <x:c r="B734" s="28" t="str">
        <x:v>科学智能体与多智能体</x:v>
      </x:c>
      <x:c r="C734" s="28" t="str">
        <x:v>科学大模型智能体：知识、检索与工具接地</x:v>
      </x:c>
      <x:c r="D734" s="28" t="str">
        <x:v>语义解析与证据接地</x:v>
      </x:c>
      <x:c r="E734" s="28" t="str">
        <x:v>科学大模型智能体</x:v>
      </x:c>
      <x:c r="F734" s="28" t="str">
        <x:v>公式理解</x:v>
      </x:c>
      <x:c r="G734" s="28" t="str">
        <x:v>围绕“公式理解”把科学大模型接地到文献、数据库、代码、仿真和仪器工具，并保留来源与证据链。</x:v>
      </x:c>
      <x:c r="H734" s="28" t="str">
        <x:v>每个结论能否回溯到来源；每次工具调用是否有权限、模式与验证？</x:v>
      </x:c>
      <x:c r="I734" s="28" t="str">
        <x:v>有据回答率；引文正确率；工具调用成功率；结构化输出合格率；幻觉率</x:v>
      </x:c>
      <x:c r="J734" s="64" t="str">
        <x:v>工程化关键</x:v>
      </x:c>
      <x:c r="K734" s="64" t="str">
        <x:v>P1</x:v>
      </x:c>
      <x:c r="L734" s="28" t="str">
        <x:v>S11; S34; S35; S36; S37</x:v>
      </x:c>
      <x:c r="M734" s="28" t="str">
        <x:v>https://www.nature.com/articles/s41551-025-01463-z</x:v>
      </x:c>
    </x:row>
    <x:row r="735" ht="48" customHeight="1">
      <x:c r="A735" s="64" t="str">
        <x:v>T0734</x:v>
      </x:c>
      <x:c r="B735" s="28" t="str">
        <x:v>科学智能体与多智能体</x:v>
      </x:c>
      <x:c r="C735" s="28" t="str">
        <x:v>科学大模型智能体：知识、检索与工具接地</x:v>
      </x:c>
      <x:c r="D735" s="28" t="str">
        <x:v>语义解析与证据接地</x:v>
      </x:c>
      <x:c r="E735" s="28" t="str">
        <x:v>科学大模型智能体</x:v>
      </x:c>
      <x:c r="F735" s="28" t="str">
        <x:v>多模态论文理解</x:v>
      </x:c>
      <x:c r="G735" s="28" t="str">
        <x:v>围绕“多模态论文理解”把科学大模型接地到文献、数据库、代码、仿真和仪器工具，并保留来源与证据链。</x:v>
      </x:c>
      <x:c r="H735" s="28" t="str">
        <x:v>每个结论能否回溯到来源；每次工具调用是否有权限、模式与验证？</x:v>
      </x:c>
      <x:c r="I735" s="28" t="str">
        <x:v>有据回答率；引文正确率；工具调用成功率；结构化输出合格率；幻觉率</x:v>
      </x:c>
      <x:c r="J735" s="64" t="str">
        <x:v>工程化关键</x:v>
      </x:c>
      <x:c r="K735" s="64" t="str">
        <x:v>P1</x:v>
      </x:c>
      <x:c r="L735" s="28" t="str">
        <x:v>S11; S34; S35; S36; S37</x:v>
      </x:c>
      <x:c r="M735" s="28" t="str">
        <x:v>https://www.nature.com/articles/s43246-025-00994-x</x:v>
      </x:c>
    </x:row>
    <x:row r="736" ht="48" customHeight="1">
      <x:c r="A736" s="64" t="str">
        <x:v>T0735</x:v>
      </x:c>
      <x:c r="B736" s="28" t="str">
        <x:v>科学智能体与多智能体</x:v>
      </x:c>
      <x:c r="C736" s="28" t="str">
        <x:v>科学大模型智能体：知识、检索与工具接地</x:v>
      </x:c>
      <x:c r="D736" s="28" t="str">
        <x:v>语义解析与证据接地</x:v>
      </x:c>
      <x:c r="E736" s="28" t="str">
        <x:v>科学大模型智能体</x:v>
      </x:c>
      <x:c r="F736" s="28" t="str">
        <x:v>实验协议抽取</x:v>
      </x:c>
      <x:c r="G736" s="28" t="str">
        <x:v>围绕“实验协议抽取”把科学大模型接地到文献、数据库、代码、仿真和仪器工具，并保留来源与证据链。</x:v>
      </x:c>
      <x:c r="H736" s="28" t="str">
        <x:v>每个结论能否回溯到来源；每次工具调用是否有权限、模式与验证？</x:v>
      </x:c>
      <x:c r="I736" s="28" t="str">
        <x:v>有据回答率；引文正确率；工具调用成功率；结构化输出合格率；幻觉率</x:v>
      </x:c>
      <x:c r="J736" s="64" t="str">
        <x:v>工程化关键</x:v>
      </x:c>
      <x:c r="K736" s="64" t="str">
        <x:v>P1</x:v>
      </x:c>
      <x:c r="L736" s="28" t="str">
        <x:v>S11; S34; S35; S36; S37</x:v>
      </x:c>
      <x:c r="M736" s="28" t="str">
        <x:v>https://modelcontextprotocol.io/docs/getting-started/intro</x:v>
      </x:c>
    </x:row>
    <x:row r="737" ht="48" customHeight="1">
      <x:c r="A737" s="64" t="str">
        <x:v>T0736</x:v>
      </x:c>
      <x:c r="B737" s="28" t="str">
        <x:v>科学智能体与多智能体</x:v>
      </x:c>
      <x:c r="C737" s="28" t="str">
        <x:v>科学大模型智能体：知识、检索与工具接地</x:v>
      </x:c>
      <x:c r="D737" s="28" t="str">
        <x:v>语义解析与证据接地</x:v>
      </x:c>
      <x:c r="E737" s="28" t="str">
        <x:v>科学大模型智能体</x:v>
      </x:c>
      <x:c r="F737" s="28" t="str">
        <x:v>实体标准化</x:v>
      </x:c>
      <x:c r="G737" s="28" t="str">
        <x:v>围绕“实体标准化”把科学大模型接地到文献、数据库、代码、仿真和仪器工具，并保留来源与证据链。</x:v>
      </x:c>
      <x:c r="H737" s="28" t="str">
        <x:v>每个结论能否回溯到来源；每次工具调用是否有权限、模式与验证？</x:v>
      </x:c>
      <x:c r="I737" s="28" t="str">
        <x:v>有据回答率；引文正确率；工具调用成功率；结构化输出合格率；幻觉率</x:v>
      </x:c>
      <x:c r="J737" s="64" t="str">
        <x:v>工程化关键</x:v>
      </x:c>
      <x:c r="K737" s="64" t="str">
        <x:v>P1</x:v>
      </x:c>
      <x:c r="L737" s="28" t="str">
        <x:v>S11; S34; S35; S36; S37</x:v>
      </x:c>
      <x:c r="M737" s="28" t="str">
        <x:v>https://www.nature.com/articles/s41586-023-06792-0</x:v>
      </x:c>
    </x:row>
    <x:row r="738" ht="48" customHeight="1">
      <x:c r="A738" s="64" t="str">
        <x:v>T0737</x:v>
      </x:c>
      <x:c r="B738" s="28" t="str">
        <x:v>科学智能体与多智能体</x:v>
      </x:c>
      <x:c r="C738" s="28" t="str">
        <x:v>科学大模型智能体：知识、检索与工具接地</x:v>
      </x:c>
      <x:c r="D738" s="28" t="str">
        <x:v>语义解析与证据接地</x:v>
      </x:c>
      <x:c r="E738" s="28" t="str">
        <x:v>科学大模型智能体</x:v>
      </x:c>
      <x:c r="F738" s="28" t="str">
        <x:v>单位标准化</x:v>
      </x:c>
      <x:c r="G738" s="28" t="str">
        <x:v>围绕“单位标准化”把科学大模型接地到文献、数据库、代码、仿真和仪器工具，并保留来源与证据链。</x:v>
      </x:c>
      <x:c r="H738" s="28" t="str">
        <x:v>每个结论能否回溯到来源；每次工具调用是否有权限、模式与验证？</x:v>
      </x:c>
      <x:c r="I738" s="28" t="str">
        <x:v>有据回答率；引文正确率；工具调用成功率；结构化输出合格率；幻觉率</x:v>
      </x:c>
      <x:c r="J738" s="64" t="str">
        <x:v>工程化关键</x:v>
      </x:c>
      <x:c r="K738" s="64" t="str">
        <x:v>P1</x:v>
      </x:c>
      <x:c r="L738" s="28" t="str">
        <x:v>S11; S34; S35; S36; S37</x:v>
      </x:c>
      <x:c r="M738" s="28" t="str">
        <x:v>https://www.nature.com/articles/s42256-024-00832-8</x:v>
      </x:c>
    </x:row>
    <x:row r="739" ht="48" customHeight="1">
      <x:c r="A739" s="64" t="str">
        <x:v>T0738</x:v>
      </x:c>
      <x:c r="B739" s="28" t="str">
        <x:v>科学智能体与多智能体</x:v>
      </x:c>
      <x:c r="C739" s="28" t="str">
        <x:v>科学大模型智能体：知识、检索与工具接地</x:v>
      </x:c>
      <x:c r="D739" s="28" t="str">
        <x:v>语义解析与证据接地</x:v>
      </x:c>
      <x:c r="E739" s="28" t="str">
        <x:v>科学大模型智能体</x:v>
      </x:c>
      <x:c r="F739" s="28" t="str">
        <x:v>主张—证据链接</x:v>
      </x:c>
      <x:c r="G739" s="28" t="str">
        <x:v>围绕“主张—证据链接”把科学大模型接地到文献、数据库、代码、仿真和仪器工具，并保留来源与证据链。</x:v>
      </x:c>
      <x:c r="H739" s="28" t="str">
        <x:v>每个结论能否回溯到来源；每次工具调用是否有权限、模式与验证？</x:v>
      </x:c>
      <x:c r="I739" s="28" t="str">
        <x:v>有据回答率；引文正确率；工具调用成功率；结构化输出合格率；幻觉率</x:v>
      </x:c>
      <x:c r="J739" s="64" t="str">
        <x:v>工程化关键</x:v>
      </x:c>
      <x:c r="K739" s="64" t="str">
        <x:v>P1</x:v>
      </x:c>
      <x:c r="L739" s="28" t="str">
        <x:v>S11; S34; S35; S36; S37</x:v>
      </x:c>
      <x:c r="M739" s="28" t="str">
        <x:v>https://www.nature.com/articles/s41551-025-01463-z</x:v>
      </x:c>
    </x:row>
    <x:row r="740" ht="48" customHeight="1">
      <x:c r="A740" s="64" t="str">
        <x:v>T0739</x:v>
      </x:c>
      <x:c r="B740" s="28" t="str">
        <x:v>科学智能体与多智能体</x:v>
      </x:c>
      <x:c r="C740" s="28" t="str">
        <x:v>科学大模型智能体：知识、检索与工具接地</x:v>
      </x:c>
      <x:c r="D740" s="28" t="str">
        <x:v>语义解析与证据接地</x:v>
      </x:c>
      <x:c r="E740" s="28" t="str">
        <x:v>科学大模型智能体</x:v>
      </x:c>
      <x:c r="F740" s="28" t="str">
        <x:v>矛盾检测</x:v>
      </x:c>
      <x:c r="G740" s="28" t="str">
        <x:v>围绕“矛盾检测”把科学大模型接地到文献、数据库、代码、仿真和仪器工具，并保留来源与证据链。</x:v>
      </x:c>
      <x:c r="H740" s="28" t="str">
        <x:v>每个结论能否回溯到来源；每次工具调用是否有权限、模式与验证？</x:v>
      </x:c>
      <x:c r="I740" s="28" t="str">
        <x:v>有据回答率；引文正确率；工具调用成功率；结构化输出合格率；幻觉率</x:v>
      </x:c>
      <x:c r="J740" s="64" t="str">
        <x:v>工程化关键</x:v>
      </x:c>
      <x:c r="K740" s="64" t="str">
        <x:v>P1</x:v>
      </x:c>
      <x:c r="L740" s="28" t="str">
        <x:v>S11; S34; S35; S36; S37</x:v>
      </x:c>
      <x:c r="M740" s="28" t="str">
        <x:v>https://www.nature.com/articles/s43246-025-00994-x</x:v>
      </x:c>
    </x:row>
    <x:row r="741" ht="48" customHeight="1">
      <x:c r="A741" s="64" t="str">
        <x:v>T0740</x:v>
      </x:c>
      <x:c r="B741" s="28" t="str">
        <x:v>科学智能体与多智能体</x:v>
      </x:c>
      <x:c r="C741" s="28" t="str">
        <x:v>科学大模型智能体：知识、检索与工具接地</x:v>
      </x:c>
      <x:c r="D741" s="28" t="str">
        <x:v>语义解析与证据接地</x:v>
      </x:c>
      <x:c r="E741" s="28" t="str">
        <x:v>科学大模型智能体</x:v>
      </x:c>
      <x:c r="F741" s="28" t="str">
        <x:v>证据等级评估</x:v>
      </x:c>
      <x:c r="G741" s="28" t="str">
        <x:v>围绕“证据等级评估”把科学大模型接地到文献、数据库、代码、仿真和仪器工具，并保留来源与证据链。</x:v>
      </x:c>
      <x:c r="H741" s="28" t="str">
        <x:v>每个结论能否回溯到来源；每次工具调用是否有权限、模式与验证？</x:v>
      </x:c>
      <x:c r="I741" s="28" t="str">
        <x:v>有据回答率；引文正确率；工具调用成功率；结构化输出合格率；幻觉率</x:v>
      </x:c>
      <x:c r="J741" s="64" t="str">
        <x:v>工程化关键</x:v>
      </x:c>
      <x:c r="K741" s="64" t="str">
        <x:v>P1</x:v>
      </x:c>
      <x:c r="L741" s="28" t="str">
        <x:v>S11; S34; S35; S36; S37</x:v>
      </x:c>
      <x:c r="M741" s="28" t="str">
        <x:v>https://modelcontextprotocol.io/docs/getting-started/intro</x:v>
      </x:c>
    </x:row>
    <x:row r="742" ht="48" customHeight="1">
      <x:c r="A742" s="64" t="str">
        <x:v>T0741</x:v>
      </x:c>
      <x:c r="B742" s="28" t="str">
        <x:v>科学智能体与多智能体</x:v>
      </x:c>
      <x:c r="C742" s="28" t="str">
        <x:v>科学大模型智能体：知识、检索与工具接地</x:v>
      </x:c>
      <x:c r="D742" s="28" t="str">
        <x:v>结构化生成、代码与工具</x:v>
      </x:c>
      <x:c r="E742" s="28" t="str">
        <x:v>科学大模型智能体</x:v>
      </x:c>
      <x:c r="F742" s="28" t="str">
        <x:v>来源时效管理</x:v>
      </x:c>
      <x:c r="G742" s="28" t="str">
        <x:v>围绕“来源时效管理”把科学大模型接地到文献、数据库、代码、仿真和仪器工具，并保留来源与证据链。</x:v>
      </x:c>
      <x:c r="H742" s="28" t="str">
        <x:v>每个结论能否回溯到来源；每次工具调用是否有权限、模式与验证？</x:v>
      </x:c>
      <x:c r="I742" s="28" t="str">
        <x:v>有据回答率；引文正确率；工具调用成功率；结构化输出合格率；幻觉率</x:v>
      </x:c>
      <x:c r="J742" s="64" t="str">
        <x:v>工程化关键</x:v>
      </x:c>
      <x:c r="K742" s="64" t="str">
        <x:v>P1</x:v>
      </x:c>
      <x:c r="L742" s="28" t="str">
        <x:v>S11; S34; S35; S36; S37</x:v>
      </x:c>
      <x:c r="M742" s="28" t="str">
        <x:v>https://www.nature.com/articles/s41586-023-06792-0</x:v>
      </x:c>
    </x:row>
    <x:row r="743" ht="48" customHeight="1">
      <x:c r="A743" s="64" t="str">
        <x:v>T0742</x:v>
      </x:c>
      <x:c r="B743" s="28" t="str">
        <x:v>科学智能体与多智能体</x:v>
      </x:c>
      <x:c r="C743" s="28" t="str">
        <x:v>科学大模型智能体：知识、检索与工具接地</x:v>
      </x:c>
      <x:c r="D743" s="28" t="str">
        <x:v>结构化生成、代码与工具</x:v>
      </x:c>
      <x:c r="E743" s="28" t="str">
        <x:v>科学大模型智能体</x:v>
      </x:c>
      <x:c r="F743" s="28" t="str">
        <x:v>溯源感知生成</x:v>
      </x:c>
      <x:c r="G743" s="28" t="str">
        <x:v>围绕“溯源感知生成”把科学大模型接地到文献、数据库、代码、仿真和仪器工具，并保留来源与证据链。</x:v>
      </x:c>
      <x:c r="H743" s="28" t="str">
        <x:v>每个结论能否回溯到来源；每次工具调用是否有权限、模式与验证？</x:v>
      </x:c>
      <x:c r="I743" s="28" t="str">
        <x:v>有据回答率；引文正确率；工具调用成功率；结构化输出合格率；幻觉率</x:v>
      </x:c>
      <x:c r="J743" s="64" t="str">
        <x:v>工程化关键</x:v>
      </x:c>
      <x:c r="K743" s="64" t="str">
        <x:v>P1</x:v>
      </x:c>
      <x:c r="L743" s="28" t="str">
        <x:v>S11; S34; S35; S36; S37</x:v>
      </x:c>
      <x:c r="M743" s="28" t="str">
        <x:v>https://www.nature.com/articles/s42256-024-00832-8</x:v>
      </x:c>
    </x:row>
    <x:row r="744" ht="48" customHeight="1">
      <x:c r="A744" s="64" t="str">
        <x:v>T0743</x:v>
      </x:c>
      <x:c r="B744" s="28" t="str">
        <x:v>科学智能体与多智能体</x:v>
      </x:c>
      <x:c r="C744" s="28" t="str">
        <x:v>科学大模型智能体：知识、检索与工具接地</x:v>
      </x:c>
      <x:c r="D744" s="28" t="str">
        <x:v>结构化生成、代码与工具</x:v>
      </x:c>
      <x:c r="E744" s="28" t="str">
        <x:v>科学大模型智能体</x:v>
      </x:c>
      <x:c r="F744" s="28" t="str">
        <x:v>结构化输出</x:v>
      </x:c>
      <x:c r="G744" s="28" t="str">
        <x:v>围绕“结构化输出”把科学大模型接地到文献、数据库、代码、仿真和仪器工具，并保留来源与证据链。</x:v>
      </x:c>
      <x:c r="H744" s="28" t="str">
        <x:v>每个结论能否回溯到来源；每次工具调用是否有权限、模式与验证？</x:v>
      </x:c>
      <x:c r="I744" s="28" t="str">
        <x:v>有据回答率；引文正确率；工具调用成功率；结构化输出合格率；幻觉率</x:v>
      </x:c>
      <x:c r="J744" s="64" t="str">
        <x:v>工程化关键</x:v>
      </x:c>
      <x:c r="K744" s="64" t="str">
        <x:v>P1</x:v>
      </x:c>
      <x:c r="L744" s="28" t="str">
        <x:v>S11; S34; S35; S36; S37</x:v>
      </x:c>
      <x:c r="M744" s="28" t="str">
        <x:v>https://www.nature.com/articles/s41551-025-01463-z</x:v>
      </x:c>
    </x:row>
    <x:row r="745" ht="48" customHeight="1">
      <x:c r="A745" s="64" t="str">
        <x:v>T0744</x:v>
      </x:c>
      <x:c r="B745" s="28" t="str">
        <x:v>科学智能体与多智能体</x:v>
      </x:c>
      <x:c r="C745" s="28" t="str">
        <x:v>科学大模型智能体：知识、检索与工具接地</x:v>
      </x:c>
      <x:c r="D745" s="28" t="str">
        <x:v>结构化生成、代码与工具</x:v>
      </x:c>
      <x:c r="E745" s="28" t="str">
        <x:v>科学大模型智能体</x:v>
      </x:c>
      <x:c r="F745" s="28" t="str">
        <x:v>JSON Schema约束</x:v>
      </x:c>
      <x:c r="G745" s="28" t="str">
        <x:v>围绕“JSON Schema约束”把科学大模型接地到文献、数据库、代码、仿真和仪器工具，并保留来源与证据链。</x:v>
      </x:c>
      <x:c r="H745" s="28" t="str">
        <x:v>每个结论能否回溯到来源；每次工具调用是否有权限、模式与验证？</x:v>
      </x:c>
      <x:c r="I745" s="28" t="str">
        <x:v>有据回答率；引文正确率；工具调用成功率；结构化输出合格率；幻觉率</x:v>
      </x:c>
      <x:c r="J745" s="64" t="str">
        <x:v>工程化关键</x:v>
      </x:c>
      <x:c r="K745" s="64" t="str">
        <x:v>P1</x:v>
      </x:c>
      <x:c r="L745" s="28" t="str">
        <x:v>S11; S34; S35; S36; S37</x:v>
      </x:c>
      <x:c r="M745" s="28" t="str">
        <x:v>https://www.nature.com/articles/s43246-025-00994-x</x:v>
      </x:c>
    </x:row>
    <x:row r="746" ht="48" customHeight="1">
      <x:c r="A746" s="64" t="str">
        <x:v>T0745</x:v>
      </x:c>
      <x:c r="B746" s="28" t="str">
        <x:v>科学智能体与多智能体</x:v>
      </x:c>
      <x:c r="C746" s="28" t="str">
        <x:v>科学大模型智能体：知识、检索与工具接地</x:v>
      </x:c>
      <x:c r="D746" s="28" t="str">
        <x:v>结构化生成、代码与工具</x:v>
      </x:c>
      <x:c r="E746" s="28" t="str">
        <x:v>科学大模型智能体</x:v>
      </x:c>
      <x:c r="F746" s="28" t="str">
        <x:v>约束解码</x:v>
      </x:c>
      <x:c r="G746" s="28" t="str">
        <x:v>围绕“约束解码”把科学大模型接地到文献、数据库、代码、仿真和仪器工具，并保留来源与证据链。</x:v>
      </x:c>
      <x:c r="H746" s="28" t="str">
        <x:v>每个结论能否回溯到来源；每次工具调用是否有权限、模式与验证？</x:v>
      </x:c>
      <x:c r="I746" s="28" t="str">
        <x:v>有据回答率；引文正确率；工具调用成功率；结构化输出合格率；幻觉率</x:v>
      </x:c>
      <x:c r="J746" s="64" t="str">
        <x:v>工程化关键</x:v>
      </x:c>
      <x:c r="K746" s="64" t="str">
        <x:v>P1</x:v>
      </x:c>
      <x:c r="L746" s="28" t="str">
        <x:v>S11; S34; S35; S36; S37</x:v>
      </x:c>
      <x:c r="M746" s="28" t="str">
        <x:v>https://modelcontextprotocol.io/docs/getting-started/intro</x:v>
      </x:c>
    </x:row>
    <x:row r="747" ht="48" customHeight="1">
      <x:c r="A747" s="64" t="str">
        <x:v>T0746</x:v>
      </x:c>
      <x:c r="B747" s="28" t="str">
        <x:v>科学智能体与多智能体</x:v>
      </x:c>
      <x:c r="C747" s="28" t="str">
        <x:v>科学大模型智能体：知识、检索与工具接地</x:v>
      </x:c>
      <x:c r="D747" s="28" t="str">
        <x:v>结构化生成、代码与工具</x:v>
      </x:c>
      <x:c r="E747" s="28" t="str">
        <x:v>科学大模型智能体</x:v>
      </x:c>
      <x:c r="F747" s="28" t="str">
        <x:v>函数调用</x:v>
      </x:c>
      <x:c r="G747" s="28" t="str">
        <x:v>围绕“函数调用”把科学大模型接地到文献、数据库、代码、仿真和仪器工具，并保留来源与证据链。</x:v>
      </x:c>
      <x:c r="H747" s="28" t="str">
        <x:v>每个结论能否回溯到来源；每次工具调用是否有权限、模式与验证？</x:v>
      </x:c>
      <x:c r="I747" s="28" t="str">
        <x:v>有据回答率；引文正确率；工具调用成功率；结构化输出合格率；幻觉率</x:v>
      </x:c>
      <x:c r="J747" s="64" t="str">
        <x:v>工程化关键</x:v>
      </x:c>
      <x:c r="K747" s="64" t="str">
        <x:v>P1</x:v>
      </x:c>
      <x:c r="L747" s="28" t="str">
        <x:v>S11; S34; S35; S36; S37</x:v>
      </x:c>
      <x:c r="M747" s="28" t="str">
        <x:v>https://www.nature.com/articles/s41586-023-06792-0</x:v>
      </x:c>
    </x:row>
    <x:row r="748" ht="48" customHeight="1">
      <x:c r="A748" s="64" t="str">
        <x:v>T0747</x:v>
      </x:c>
      <x:c r="B748" s="28" t="str">
        <x:v>科学智能体与多智能体</x:v>
      </x:c>
      <x:c r="C748" s="28" t="str">
        <x:v>科学大模型智能体：知识、检索与工具接地</x:v>
      </x:c>
      <x:c r="D748" s="28" t="str">
        <x:v>结构化生成、代码与工具</x:v>
      </x:c>
      <x:c r="E748" s="28" t="str">
        <x:v>科学大模型智能体</x:v>
      </x:c>
      <x:c r="F748" s="28" t="str">
        <x:v>代码生成</x:v>
      </x:c>
      <x:c r="G748" s="28" t="str">
        <x:v>围绕“代码生成”把科学大模型接地到文献、数据库、代码、仿真和仪器工具，并保留来源与证据链。</x:v>
      </x:c>
      <x:c r="H748" s="28" t="str">
        <x:v>每个结论能否回溯到来源；每次工具调用是否有权限、模式与验证？</x:v>
      </x:c>
      <x:c r="I748" s="28" t="str">
        <x:v>有据回答率；引文正确率；工具调用成功率；结构化输出合格率；幻觉率</x:v>
      </x:c>
      <x:c r="J748" s="64" t="str">
        <x:v>工程化关键</x:v>
      </x:c>
      <x:c r="K748" s="64" t="str">
        <x:v>P1</x:v>
      </x:c>
      <x:c r="L748" s="28" t="str">
        <x:v>S11; S34; S35; S36; S37</x:v>
      </x:c>
      <x:c r="M748" s="28" t="str">
        <x:v>https://www.nature.com/articles/s42256-024-00832-8</x:v>
      </x:c>
    </x:row>
    <x:row r="749" ht="48" customHeight="1">
      <x:c r="A749" s="64" t="str">
        <x:v>T0748</x:v>
      </x:c>
      <x:c r="B749" s="28" t="str">
        <x:v>科学智能体与多智能体</x:v>
      </x:c>
      <x:c r="C749" s="28" t="str">
        <x:v>科学大模型智能体：知识、检索与工具接地</x:v>
      </x:c>
      <x:c r="D749" s="28" t="str">
        <x:v>结构化生成、代码与工具</x:v>
      </x:c>
      <x:c r="E749" s="28" t="str">
        <x:v>科学大模型智能体</x:v>
      </x:c>
      <x:c r="F749" s="28" t="str">
        <x:v>代码执行</x:v>
      </x:c>
      <x:c r="G749" s="28" t="str">
        <x:v>围绕“代码执行”把科学大模型接地到文献、数据库、代码、仿真和仪器工具，并保留来源与证据链。</x:v>
      </x:c>
      <x:c r="H749" s="28" t="str">
        <x:v>每个结论能否回溯到来源；每次工具调用是否有权限、模式与验证？</x:v>
      </x:c>
      <x:c r="I749" s="28" t="str">
        <x:v>有据回答率；引文正确率；工具调用成功率；结构化输出合格率；幻觉率</x:v>
      </x:c>
      <x:c r="J749" s="64" t="str">
        <x:v>工程化关键</x:v>
      </x:c>
      <x:c r="K749" s="64" t="str">
        <x:v>P1</x:v>
      </x:c>
      <x:c r="L749" s="28" t="str">
        <x:v>S11; S34; S35; S36; S37</x:v>
      </x:c>
      <x:c r="M749" s="28" t="str">
        <x:v>https://www.nature.com/articles/s41551-025-01463-z</x:v>
      </x:c>
    </x:row>
    <x:row r="750" ht="48" customHeight="1">
      <x:c r="A750" s="64" t="str">
        <x:v>T0749</x:v>
      </x:c>
      <x:c r="B750" s="28" t="str">
        <x:v>科学智能体与多智能体</x:v>
      </x:c>
      <x:c r="C750" s="28" t="str">
        <x:v>科学大模型智能体：知识、检索与工具接地</x:v>
      </x:c>
      <x:c r="D750" s="28" t="str">
        <x:v>结构化生成、代码与工具</x:v>
      </x:c>
      <x:c r="E750" s="28" t="str">
        <x:v>科学大模型智能体</x:v>
      </x:c>
      <x:c r="F750" s="28" t="str">
        <x:v>Notebook智能体</x:v>
      </x:c>
      <x:c r="G750" s="28" t="str">
        <x:v>围绕“Notebook智能体”把科学大模型接地到文献、数据库、代码、仿真和仪器工具，并保留来源与证据链。</x:v>
      </x:c>
      <x:c r="H750" s="28" t="str">
        <x:v>每个结论能否回溯到来源；每次工具调用是否有权限、模式与验证？</x:v>
      </x:c>
      <x:c r="I750" s="28" t="str">
        <x:v>有据回答率；引文正确率；工具调用成功率；结构化输出合格率；幻觉率</x:v>
      </x:c>
      <x:c r="J750" s="64" t="str">
        <x:v>进阶能力</x:v>
      </x:c>
      <x:c r="K750" s="64" t="str">
        <x:v>P2</x:v>
      </x:c>
      <x:c r="L750" s="28" t="str">
        <x:v>S11; S34; S35; S36; S37</x:v>
      </x:c>
      <x:c r="M750" s="28" t="str">
        <x:v>https://www.nature.com/articles/s43246-025-00994-x</x:v>
      </x:c>
    </x:row>
    <x:row r="751" ht="48" customHeight="1">
      <x:c r="A751" s="64" t="str">
        <x:v>T0750</x:v>
      </x:c>
      <x:c r="B751" s="28" t="str">
        <x:v>科学智能体与多智能体</x:v>
      </x:c>
      <x:c r="C751" s="28" t="str">
        <x:v>科学大模型智能体：知识、检索与工具接地</x:v>
      </x:c>
      <x:c r="D751" s="28" t="str">
        <x:v>结构化生成、代码与工具</x:v>
      </x:c>
      <x:c r="E751" s="28" t="str">
        <x:v>科学大模型智能体</x:v>
      </x:c>
      <x:c r="F751" s="28" t="str">
        <x:v>SQL智能体</x:v>
      </x:c>
      <x:c r="G751" s="28" t="str">
        <x:v>围绕“SQL智能体”把科学大模型接地到文献、数据库、代码、仿真和仪器工具，并保留来源与证据链。</x:v>
      </x:c>
      <x:c r="H751" s="28" t="str">
        <x:v>每个结论能否回溯到来源；每次工具调用是否有权限、模式与验证？</x:v>
      </x:c>
      <x:c r="I751" s="28" t="str">
        <x:v>有据回答率；引文正确率；工具调用成功率；结构化输出合格率；幻觉率</x:v>
      </x:c>
      <x:c r="J751" s="64" t="str">
        <x:v>进阶能力</x:v>
      </x:c>
      <x:c r="K751" s="64" t="str">
        <x:v>P2</x:v>
      </x:c>
      <x:c r="L751" s="28" t="str">
        <x:v>S11; S34; S35; S36; S37</x:v>
      </x:c>
      <x:c r="M751" s="28" t="str">
        <x:v>https://modelcontextprotocol.io/docs/getting-started/intro</x:v>
      </x:c>
    </x:row>
    <x:row r="752" ht="48" customHeight="1">
      <x:c r="A752" s="64" t="str">
        <x:v>T0751</x:v>
      </x:c>
      <x:c r="B752" s="28" t="str">
        <x:v>科学智能体与多智能体</x:v>
      </x:c>
      <x:c r="C752" s="28" t="str">
        <x:v>科学大模型智能体：知识、检索与工具接地</x:v>
      </x:c>
      <x:c r="D752" s="28" t="str">
        <x:v>协议互联、上下文与幻觉防控</x:v>
      </x:c>
      <x:c r="E752" s="28" t="str">
        <x:v>科学大模型智能体</x:v>
      </x:c>
      <x:c r="F752" s="28" t="str">
        <x:v>科学计算器工具</x:v>
      </x:c>
      <x:c r="G752" s="28" t="str">
        <x:v>围绕“科学计算器工具”把科学大模型接地到文献、数据库、代码、仿真和仪器工具，并保留来源与证据链。</x:v>
      </x:c>
      <x:c r="H752" s="28" t="str">
        <x:v>每个结论能否回溯到来源；每次工具调用是否有权限、模式与验证？</x:v>
      </x:c>
      <x:c r="I752" s="28" t="str">
        <x:v>有据回答率；引文正确率；工具调用成功率；结构化输出合格率；幻觉率</x:v>
      </x:c>
      <x:c r="J752" s="64" t="str">
        <x:v>进阶能力</x:v>
      </x:c>
      <x:c r="K752" s="64" t="str">
        <x:v>P2</x:v>
      </x:c>
      <x:c r="L752" s="28" t="str">
        <x:v>S11; S34; S35; S36; S37</x:v>
      </x:c>
      <x:c r="M752" s="28" t="str">
        <x:v>https://www.nature.com/articles/s41586-023-06792-0</x:v>
      </x:c>
    </x:row>
    <x:row r="753" ht="48" customHeight="1">
      <x:c r="A753" s="64" t="str">
        <x:v>T0752</x:v>
      </x:c>
      <x:c r="B753" s="28" t="str">
        <x:v>科学智能体与多智能体</x:v>
      </x:c>
      <x:c r="C753" s="28" t="str">
        <x:v>科学大模型智能体：知识、检索与工具接地</x:v>
      </x:c>
      <x:c r="D753" s="28" t="str">
        <x:v>协议互联、上下文与幻觉防控</x:v>
      </x:c>
      <x:c r="E753" s="28" t="str">
        <x:v>科学大模型智能体</x:v>
      </x:c>
      <x:c r="F753" s="28" t="str">
        <x:v>符号代数工具</x:v>
      </x:c>
      <x:c r="G753" s="28" t="str">
        <x:v>围绕“符号代数工具”把科学大模型接地到文献、数据库、代码、仿真和仪器工具，并保留来源与证据链。</x:v>
      </x:c>
      <x:c r="H753" s="28" t="str">
        <x:v>每个结论能否回溯到来源；每次工具调用是否有权限、模式与验证？</x:v>
      </x:c>
      <x:c r="I753" s="28" t="str">
        <x:v>有据回答率；引文正确率；工具调用成功率；结构化输出合格率；幻觉率</x:v>
      </x:c>
      <x:c r="J753" s="64" t="str">
        <x:v>进阶能力</x:v>
      </x:c>
      <x:c r="K753" s="64" t="str">
        <x:v>P2</x:v>
      </x:c>
      <x:c r="L753" s="28" t="str">
        <x:v>S11; S34; S35; S36; S37</x:v>
      </x:c>
      <x:c r="M753" s="28" t="str">
        <x:v>https://www.nature.com/articles/s42256-024-00832-8</x:v>
      </x:c>
    </x:row>
    <x:row r="754" ht="48" customHeight="1">
      <x:c r="A754" s="64" t="str">
        <x:v>T0753</x:v>
      </x:c>
      <x:c r="B754" s="28" t="str">
        <x:v>科学智能体与多智能体</x:v>
      </x:c>
      <x:c r="C754" s="28" t="str">
        <x:v>科学大模型智能体：知识、检索与工具接地</x:v>
      </x:c>
      <x:c r="D754" s="28" t="str">
        <x:v>协议互联、上下文与幻觉防控</x:v>
      </x:c>
      <x:c r="E754" s="28" t="str">
        <x:v>科学大模型智能体</x:v>
      </x:c>
      <x:c r="F754" s="28" t="str">
        <x:v>仿真工具调用</x:v>
      </x:c>
      <x:c r="G754" s="28" t="str">
        <x:v>围绕“仿真工具调用”把科学大模型接地到文献、数据库、代码、仿真和仪器工具，并保留来源与证据链。</x:v>
      </x:c>
      <x:c r="H754" s="28" t="str">
        <x:v>每个结论能否回溯到来源；每次工具调用是否有权限、模式与验证？</x:v>
      </x:c>
      <x:c r="I754" s="28" t="str">
        <x:v>有据回答率；引文正确率；工具调用成功率；结构化输出合格率；幻觉率</x:v>
      </x:c>
      <x:c r="J754" s="64" t="str">
        <x:v>进阶能力</x:v>
      </x:c>
      <x:c r="K754" s="64" t="str">
        <x:v>P2</x:v>
      </x:c>
      <x:c r="L754" s="28" t="str">
        <x:v>S11; S34; S35; S36; S37</x:v>
      </x:c>
      <x:c r="M754" s="28" t="str">
        <x:v>https://www.nature.com/articles/s41551-025-01463-z</x:v>
      </x:c>
    </x:row>
    <x:row r="755" ht="48" customHeight="1">
      <x:c r="A755" s="64" t="str">
        <x:v>T0754</x:v>
      </x:c>
      <x:c r="B755" s="28" t="str">
        <x:v>科学智能体与多智能体</x:v>
      </x:c>
      <x:c r="C755" s="28" t="str">
        <x:v>科学大模型智能体：知识、检索与工具接地</x:v>
      </x:c>
      <x:c r="D755" s="28" t="str">
        <x:v>协议互联、上下文与幻觉防控</x:v>
      </x:c>
      <x:c r="E755" s="28" t="str">
        <x:v>科学大模型智能体</x:v>
      </x:c>
      <x:c r="F755" s="28" t="str">
        <x:v>仪器API调用</x:v>
      </x:c>
      <x:c r="G755" s="28" t="str">
        <x:v>围绕“仪器API调用”把科学大模型接地到文献、数据库、代码、仿真和仪器工具，并保留来源与证据链。</x:v>
      </x:c>
      <x:c r="H755" s="28" t="str">
        <x:v>每个结论能否回溯到来源；每次工具调用是否有权限、模式与验证？</x:v>
      </x:c>
      <x:c r="I755" s="28" t="str">
        <x:v>有据回答率；引文正确率；工具调用成功率；结构化输出合格率；幻觉率</x:v>
      </x:c>
      <x:c r="J755" s="64" t="str">
        <x:v>进阶能力</x:v>
      </x:c>
      <x:c r="K755" s="64" t="str">
        <x:v>P2</x:v>
      </x:c>
      <x:c r="L755" s="28" t="str">
        <x:v>S11; S34; S35; S36; S37</x:v>
      </x:c>
      <x:c r="M755" s="28" t="str">
        <x:v>https://www.nature.com/articles/s43246-025-00994-x</x:v>
      </x:c>
    </x:row>
    <x:row r="756" ht="48" customHeight="1">
      <x:c r="A756" s="64" t="str">
        <x:v>T0755</x:v>
      </x:c>
      <x:c r="B756" s="28" t="str">
        <x:v>科学智能体与多智能体</x:v>
      </x:c>
      <x:c r="C756" s="28" t="str">
        <x:v>科学大模型智能体：知识、检索与工具接地</x:v>
      </x:c>
      <x:c r="D756" s="28" t="str">
        <x:v>协议互联、上下文与幻觉防控</x:v>
      </x:c>
      <x:c r="E756" s="28" t="str">
        <x:v>科学大模型智能体</x:v>
      </x:c>
      <x:c r="F756" s="28" t="str">
        <x:v>MCP工具协议</x:v>
      </x:c>
      <x:c r="G756" s="28" t="str">
        <x:v>围绕“MCP工具协议”把科学大模型接地到文献、数据库、代码、仿真和仪器工具，并保留来源与证据链。</x:v>
      </x:c>
      <x:c r="H756" s="28" t="str">
        <x:v>每个结论能否回溯到来源；每次工具调用是否有权限、模式与验证？</x:v>
      </x:c>
      <x:c r="I756" s="28" t="str">
        <x:v>有据回答率；引文正确率；工具调用成功率；结构化输出合格率；幻觉率</x:v>
      </x:c>
      <x:c r="J756" s="64" t="str">
        <x:v>进阶能力</x:v>
      </x:c>
      <x:c r="K756" s="64" t="str">
        <x:v>P2</x:v>
      </x:c>
      <x:c r="L756" s="28" t="str">
        <x:v>S11; S34; S35; S36; S37</x:v>
      </x:c>
      <x:c r="M756" s="28" t="str">
        <x:v>https://modelcontextprotocol.io/docs/getting-started/intro</x:v>
      </x:c>
    </x:row>
    <x:row r="757" ht="48" customHeight="1">
      <x:c r="A757" s="64" t="str">
        <x:v>T0756</x:v>
      </x:c>
      <x:c r="B757" s="28" t="str">
        <x:v>科学智能体与多智能体</x:v>
      </x:c>
      <x:c r="C757" s="28" t="str">
        <x:v>科学大模型智能体：知识、检索与工具接地</x:v>
      </x:c>
      <x:c r="D757" s="28" t="str">
        <x:v>协议互联、上下文与幻觉防控</x:v>
      </x:c>
      <x:c r="E757" s="28" t="str">
        <x:v>科学大模型智能体</x:v>
      </x:c>
      <x:c r="F757" s="28" t="str">
        <x:v>A2A智能体协议</x:v>
      </x:c>
      <x:c r="G757" s="28" t="str">
        <x:v>围绕“A2A智能体协议”把科学大模型接地到文献、数据库、代码、仿真和仪器工具，并保留来源与证据链。</x:v>
      </x:c>
      <x:c r="H757" s="28" t="str">
        <x:v>每个结论能否回溯到来源；每次工具调用是否有权限、模式与验证？</x:v>
      </x:c>
      <x:c r="I757" s="28" t="str">
        <x:v>有据回答率；引文正确率；工具调用成功率；结构化输出合格率；幻觉率</x:v>
      </x:c>
      <x:c r="J757" s="64" t="str">
        <x:v>进阶能力</x:v>
      </x:c>
      <x:c r="K757" s="64" t="str">
        <x:v>P2</x:v>
      </x:c>
      <x:c r="L757" s="28" t="str">
        <x:v>S11; S34; S35; S36; S37</x:v>
      </x:c>
      <x:c r="M757" s="28" t="str">
        <x:v>https://www.nature.com/articles/s41586-023-06792-0</x:v>
      </x:c>
    </x:row>
    <x:row r="758" ht="48" customHeight="1">
      <x:c r="A758" s="64" t="str">
        <x:v>T0757</x:v>
      </x:c>
      <x:c r="B758" s="28" t="str">
        <x:v>科学智能体与多智能体</x:v>
      </x:c>
      <x:c r="C758" s="28" t="str">
        <x:v>科学大模型智能体：知识、检索与工具接地</x:v>
      </x:c>
      <x:c r="D758" s="28" t="str">
        <x:v>协议互联、上下文与幻觉防控</x:v>
      </x:c>
      <x:c r="E758" s="28" t="str">
        <x:v>科学大模型智能体</x:v>
      </x:c>
      <x:c r="F758" s="28" t="str">
        <x:v>提示注入防御</x:v>
      </x:c>
      <x:c r="G758" s="28" t="str">
        <x:v>围绕“提示注入防御”把科学大模型接地到文献、数据库、代码、仿真和仪器工具，并保留来源与证据链。</x:v>
      </x:c>
      <x:c r="H758" s="28" t="str">
        <x:v>每个结论能否回溯到来源；每次工具调用是否有权限、模式与验证？</x:v>
      </x:c>
      <x:c r="I758" s="28" t="str">
        <x:v>有据回答率；引文正确率；工具调用成功率；结构化输出合格率；幻觉率</x:v>
      </x:c>
      <x:c r="J758" s="64" t="str">
        <x:v>前沿能力</x:v>
      </x:c>
      <x:c r="K758" s="64" t="str">
        <x:v>P2</x:v>
      </x:c>
      <x:c r="L758" s="28" t="str">
        <x:v>S11; S34; S35; S36; S37</x:v>
      </x:c>
      <x:c r="M758" s="28" t="str">
        <x:v>https://www.nature.com/articles/s42256-024-00832-8</x:v>
      </x:c>
    </x:row>
    <x:row r="759" ht="48" customHeight="1">
      <x:c r="A759" s="64" t="str">
        <x:v>T0758</x:v>
      </x:c>
      <x:c r="B759" s="28" t="str">
        <x:v>科学智能体与多智能体</x:v>
      </x:c>
      <x:c r="C759" s="28" t="str">
        <x:v>科学大模型智能体：知识、检索与工具接地</x:v>
      </x:c>
      <x:c r="D759" s="28" t="str">
        <x:v>协议互联、上下文与幻觉防控</x:v>
      </x:c>
      <x:c r="E759" s="28" t="str">
        <x:v>科学大模型智能体</x:v>
      </x:c>
      <x:c r="F759" s="28" t="str">
        <x:v>上下文窗口管理</x:v>
      </x:c>
      <x:c r="G759" s="28" t="str">
        <x:v>围绕“上下文窗口管理”把科学大模型接地到文献、数据库、代码、仿真和仪器工具，并保留来源与证据链。</x:v>
      </x:c>
      <x:c r="H759" s="28" t="str">
        <x:v>每个结论能否回溯到来源；每次工具调用是否有权限、模式与验证？</x:v>
      </x:c>
      <x:c r="I759" s="28" t="str">
        <x:v>有据回答率；引文正确率；工具调用成功率；结构化输出合格率；幻觉率</x:v>
      </x:c>
      <x:c r="J759" s="64" t="str">
        <x:v>前沿能力</x:v>
      </x:c>
      <x:c r="K759" s="64" t="str">
        <x:v>P2</x:v>
      </x:c>
      <x:c r="L759" s="28" t="str">
        <x:v>S11; S34; S35; S36; S37</x:v>
      </x:c>
      <x:c r="M759" s="28" t="str">
        <x:v>https://www.nature.com/articles/s41551-025-01463-z</x:v>
      </x:c>
    </x:row>
    <x:row r="760" ht="48" customHeight="1">
      <x:c r="A760" s="64" t="str">
        <x:v>T0759</x:v>
      </x:c>
      <x:c r="B760" s="28" t="str">
        <x:v>科学智能体与多智能体</x:v>
      </x:c>
      <x:c r="C760" s="28" t="str">
        <x:v>科学大模型智能体：知识、检索与工具接地</x:v>
      </x:c>
      <x:c r="D760" s="28" t="str">
        <x:v>协议互联、上下文与幻觉防控</x:v>
      </x:c>
      <x:c r="E760" s="28" t="str">
        <x:v>科学大模型智能体</x:v>
      </x:c>
      <x:c r="F760" s="28" t="str">
        <x:v>长上下文检索</x:v>
      </x:c>
      <x:c r="G760" s="28" t="str">
        <x:v>围绕“长上下文检索”把科学大模型接地到文献、数据库、代码、仿真和仪器工具，并保留来源与证据链。</x:v>
      </x:c>
      <x:c r="H760" s="28" t="str">
        <x:v>每个结论能否回溯到来源；每次工具调用是否有权限、模式与验证？</x:v>
      </x:c>
      <x:c r="I760" s="28" t="str">
        <x:v>有据回答率；引文正确率；工具调用成功率；结构化输出合格率；幻觉率</x:v>
      </x:c>
      <x:c r="J760" s="64" t="str">
        <x:v>前沿能力</x:v>
      </x:c>
      <x:c r="K760" s="64" t="str">
        <x:v>P2</x:v>
      </x:c>
      <x:c r="L760" s="28" t="str">
        <x:v>S11; S34; S35; S36; S37</x:v>
      </x:c>
      <x:c r="M760" s="28" t="str">
        <x:v>https://www.nature.com/articles/s43246-025-00994-x</x:v>
      </x:c>
    </x:row>
    <x:row r="761" ht="48" customHeight="1">
      <x:c r="A761" s="64" t="str">
        <x:v>T0760</x:v>
      </x:c>
      <x:c r="B761" s="28" t="str">
        <x:v>科学智能体与多智能体</x:v>
      </x:c>
      <x:c r="C761" s="28" t="str">
        <x:v>科学大模型智能体：知识、检索与工具接地</x:v>
      </x:c>
      <x:c r="D761" s="28" t="str">
        <x:v>协议互联、上下文与幻觉防控</x:v>
      </x:c>
      <x:c r="E761" s="28" t="str">
        <x:v>科学大模型智能体</x:v>
      </x:c>
      <x:c r="F761" s="28" t="str">
        <x:v>科学幻觉检测</x:v>
      </x:c>
      <x:c r="G761" s="28" t="str">
        <x:v>围绕“科学幻觉检测”把科学大模型接地到文献、数据库、代码、仿真和仪器工具，并保留来源与证据链。</x:v>
      </x:c>
      <x:c r="H761" s="28" t="str">
        <x:v>每个结论能否回溯到来源；每次工具调用是否有权限、模式与验证？</x:v>
      </x:c>
      <x:c r="I761" s="28" t="str">
        <x:v>有据回答率；引文正确率；工具调用成功率；结构化输出合格率；幻觉率</x:v>
      </x:c>
      <x:c r="J761" s="64" t="str">
        <x:v>前沿能力</x:v>
      </x:c>
      <x:c r="K761" s="64" t="str">
        <x:v>P2</x:v>
      </x:c>
      <x:c r="L761" s="28" t="str">
        <x:v>S11; S34; S35; S36; S37</x:v>
      </x:c>
      <x:c r="M761" s="28" t="str">
        <x:v>https://modelcontextprotocol.io/docs/getting-started/intro</x:v>
      </x:c>
    </x:row>
    <x:row r="762" ht="48" customHeight="1">
      <x:c r="A762" s="64" t="str">
        <x:v>T0761</x:v>
      </x:c>
      <x:c r="B762" s="28" t="str">
        <x:v>科学智能体与多智能体</x:v>
      </x:c>
      <x:c r="C762" s="28" t="str">
        <x:v>Agent规划、推理、工具使用与记忆</x:v>
      </x:c>
      <x:c r="D762" s="28" t="str">
        <x:v>规划、搜索与任务分解</x:v>
      </x:c>
      <x:c r="E762" s="28" t="str">
        <x:v>Agent认知架构</x:v>
      </x:c>
      <x:c r="F762" s="28" t="str">
        <x:v>ReAct</x:v>
      </x:c>
      <x:c r="G762" s="28" t="str">
        <x:v>将“ReAct”作为Agent从目标到动作的认知构件，要求状态可跟踪、工具调用可验证、失败可回退。</x:v>
      </x:c>
      <x:c r="H762" s="28" t="str">
        <x:v>计划是否可执行；关键动作前后是否验证；失败是否触发回溯而非盲重试？</x:v>
      </x:c>
      <x:c r="I762" s="28" t="str">
        <x:v>任务成功率；计划修订次数；工具选择准确率；回退成功率；每任务token/时延</x:v>
      </x:c>
      <x:c r="J762" s="64" t="str">
        <x:v>基础能力</x:v>
      </x:c>
      <x:c r="K762" s="64" t="str">
        <x:v>P0</x:v>
      </x:c>
      <x:c r="L762" s="28" t="str">
        <x:v>S31; S32; S33; S39</x:v>
      </x:c>
      <x:c r="M762" s="28" t="str">
        <x:v>https://openreview.net/forum?id=WE_vluYUL-X</x:v>
      </x:c>
    </x:row>
    <x:row r="763" ht="48" customHeight="1">
      <x:c r="A763" s="64" t="str">
        <x:v>T0762</x:v>
      </x:c>
      <x:c r="B763" s="28" t="str">
        <x:v>科学智能体与多智能体</x:v>
      </x:c>
      <x:c r="C763" s="28" t="str">
        <x:v>Agent规划、推理、工具使用与记忆</x:v>
      </x:c>
      <x:c r="D763" s="28" t="str">
        <x:v>规划、搜索与任务分解</x:v>
      </x:c>
      <x:c r="E763" s="28" t="str">
        <x:v>Agent认知架构</x:v>
      </x:c>
      <x:c r="F763" s="28" t="str">
        <x:v>规划—执行</x:v>
      </x:c>
      <x:c r="G763" s="28" t="str">
        <x:v>将“规划—执行”作为Agent从目标到动作的认知构件，要求状态可跟踪、工具调用可验证、失败可回退。</x:v>
      </x:c>
      <x:c r="H763" s="28" t="str">
        <x:v>计划是否可执行；关键动作前后是否验证；失败是否触发回溯而非盲重试？</x:v>
      </x:c>
      <x:c r="I763" s="28" t="str">
        <x:v>任务成功率；计划修订次数；工具选择准确率；回退成功率；每任务token/时延</x:v>
      </x:c>
      <x:c r="J763" s="64" t="str">
        <x:v>基础能力</x:v>
      </x:c>
      <x:c r="K763" s="64" t="str">
        <x:v>P0</x:v>
      </x:c>
      <x:c r="L763" s="28" t="str">
        <x:v>S31; S32; S33; S39</x:v>
      </x:c>
      <x:c r="M763" s="28" t="str">
        <x:v>https://arxiv.org/abs/2302.04761</x:v>
      </x:c>
    </x:row>
    <x:row r="764" ht="48" customHeight="1">
      <x:c r="A764" s="64" t="str">
        <x:v>T0763</x:v>
      </x:c>
      <x:c r="B764" s="28" t="str">
        <x:v>科学智能体与多智能体</x:v>
      </x:c>
      <x:c r="C764" s="28" t="str">
        <x:v>Agent规划、推理、工具使用与记忆</x:v>
      </x:c>
      <x:c r="D764" s="28" t="str">
        <x:v>规划、搜索与任务分解</x:v>
      </x:c>
      <x:c r="E764" s="28" t="str">
        <x:v>Agent认知架构</x:v>
      </x:c>
      <x:c r="F764" s="28" t="str">
        <x:v>分层任务网络HTN</x:v>
      </x:c>
      <x:c r="G764" s="28" t="str">
        <x:v>将“分层任务网络HTN”作为Agent从目标到动作的认知构件，要求状态可跟踪、工具调用可验证、失败可回退。</x:v>
      </x:c>
      <x:c r="H764" s="28" t="str">
        <x:v>计划是否可执行；关键动作前后是否验证；失败是否触发回溯而非盲重试？</x:v>
      </x:c>
      <x:c r="I764" s="28" t="str">
        <x:v>任务成功率；计划修订次数；工具选择准确率；回退成功率；每任务token/时延</x:v>
      </x:c>
      <x:c r="J764" s="64" t="str">
        <x:v>基础能力</x:v>
      </x:c>
      <x:c r="K764" s="64" t="str">
        <x:v>P0</x:v>
      </x:c>
      <x:c r="L764" s="28" t="str">
        <x:v>S31; S32; S33; S39</x:v>
      </x:c>
      <x:c r="M764" s="28" t="str">
        <x:v>https://arxiv.org/abs/2303.11366</x:v>
      </x:c>
    </x:row>
    <x:row r="765" ht="48" customHeight="1">
      <x:c r="A765" s="64" t="str">
        <x:v>T0764</x:v>
      </x:c>
      <x:c r="B765" s="28" t="str">
        <x:v>科学智能体与多智能体</x:v>
      </x:c>
      <x:c r="C765" s="28" t="str">
        <x:v>Agent规划、推理、工具使用与记忆</x:v>
      </x:c>
      <x:c r="D765" s="28" t="str">
        <x:v>规划、搜索与任务分解</x:v>
      </x:c>
      <x:c r="E765" s="28" t="str">
        <x:v>Agent认知架构</x:v>
      </x:c>
      <x:c r="F765" s="28" t="str">
        <x:v>任务分解</x:v>
      </x:c>
      <x:c r="G765" s="28" t="str">
        <x:v>将“任务分解”作为Agent从目标到动作的认知构件，要求状态可跟踪、工具调用可验证、失败可回退。</x:v>
      </x:c>
      <x:c r="H765" s="28" t="str">
        <x:v>计划是否可执行；关键动作前后是否验证；失败是否触发回溯而非盲重试？</x:v>
      </x:c>
      <x:c r="I765" s="28" t="str">
        <x:v>任务成功率；计划修订次数；工具选择准确率；回退成功率；每任务token/时延</x:v>
      </x:c>
      <x:c r="J765" s="64" t="str">
        <x:v>基础能力</x:v>
      </x:c>
      <x:c r="K765" s="64" t="str">
        <x:v>P0</x:v>
      </x:c>
      <x:c r="L765" s="28" t="str">
        <x:v>S31; S32; S33; S39</x:v>
      </x:c>
      <x:c r="M765" s="28" t="str">
        <x:v>https://developers.openai.com/api/docs/guides/agents</x:v>
      </x:c>
    </x:row>
    <x:row r="766" ht="48" customHeight="1">
      <x:c r="A766" s="64" t="str">
        <x:v>T0765</x:v>
      </x:c>
      <x:c r="B766" s="28" t="str">
        <x:v>科学智能体与多智能体</x:v>
      </x:c>
      <x:c r="C766" s="28" t="str">
        <x:v>Agent规划、推理、工具使用与记忆</x:v>
      </x:c>
      <x:c r="D766" s="28" t="str">
        <x:v>规划、搜索与任务分解</x:v>
      </x:c>
      <x:c r="E766" s="28" t="str">
        <x:v>Agent认知架构</x:v>
      </x:c>
      <x:c r="F766" s="28" t="str">
        <x:v>子目标生成</x:v>
      </x:c>
      <x:c r="G766" s="28" t="str">
        <x:v>将“子目标生成”作为Agent从目标到动作的认知构件，要求状态可跟踪、工具调用可验证、失败可回退。</x:v>
      </x:c>
      <x:c r="H766" s="28" t="str">
        <x:v>计划是否可执行；关键动作前后是否验证；失败是否触发回溯而非盲重试？</x:v>
      </x:c>
      <x:c r="I766" s="28" t="str">
        <x:v>任务成功率；计划修订次数；工具选择准确率；回退成功率；每任务token/时延</x:v>
      </x:c>
      <x:c r="J766" s="64" t="str">
        <x:v>基础能力</x:v>
      </x:c>
      <x:c r="K766" s="64" t="str">
        <x:v>P0</x:v>
      </x:c>
      <x:c r="L766" s="28" t="str">
        <x:v>S31; S32; S33; S39</x:v>
      </x:c>
      <x:c r="M766" s="28" t="str">
        <x:v>https://openreview.net/forum?id=WE_vluYUL-X</x:v>
      </x:c>
    </x:row>
    <x:row r="767" ht="48" customHeight="1">
      <x:c r="A767" s="64" t="str">
        <x:v>T0766</x:v>
      </x:c>
      <x:c r="B767" s="28" t="str">
        <x:v>科学智能体与多智能体</x:v>
      </x:c>
      <x:c r="C767" s="28" t="str">
        <x:v>Agent规划、推理、工具使用与记忆</x:v>
      </x:c>
      <x:c r="D767" s="28" t="str">
        <x:v>规划、搜索与任务分解</x:v>
      </x:c>
      <x:c r="E767" s="28" t="str">
        <x:v>Agent认知架构</x:v>
      </x:c>
      <x:c r="F767" s="28" t="str">
        <x:v>目标栈</x:v>
      </x:c>
      <x:c r="G767" s="28" t="str">
        <x:v>将“目标栈”作为Agent从目标到动作的认知构件，要求状态可跟踪、工具调用可验证、失败可回退。</x:v>
      </x:c>
      <x:c r="H767" s="28" t="str">
        <x:v>计划是否可执行；关键动作前后是否验证；失败是否触发回溯而非盲重试？</x:v>
      </x:c>
      <x:c r="I767" s="28" t="str">
        <x:v>任务成功率；计划修订次数；工具选择准确率；回退成功率；每任务token/时延</x:v>
      </x:c>
      <x:c r="J767" s="64" t="str">
        <x:v>基础能力</x:v>
      </x:c>
      <x:c r="K767" s="64" t="str">
        <x:v>P0</x:v>
      </x:c>
      <x:c r="L767" s="28" t="str">
        <x:v>S31; S32; S33; S39</x:v>
      </x:c>
      <x:c r="M767" s="28" t="str">
        <x:v>https://arxiv.org/abs/2302.04761</x:v>
      </x:c>
    </x:row>
    <x:row r="768" ht="48" customHeight="1">
      <x:c r="A768" s="64" t="str">
        <x:v>T0767</x:v>
      </x:c>
      <x:c r="B768" s="28" t="str">
        <x:v>科学智能体与多智能体</x:v>
      </x:c>
      <x:c r="C768" s="28" t="str">
        <x:v>Agent规划、推理、工具使用与记忆</x:v>
      </x:c>
      <x:c r="D768" s="28" t="str">
        <x:v>规划、搜索与任务分解</x:v>
      </x:c>
      <x:c r="E768" s="28" t="str">
        <x:v>Agent认知架构</x:v>
      </x:c>
      <x:c r="F768" s="28" t="str">
        <x:v>状态跟踪</x:v>
      </x:c>
      <x:c r="G768" s="28" t="str">
        <x:v>将“状态跟踪”作为Agent从目标到动作的认知构件，要求状态可跟踪、工具调用可验证、失败可回退。</x:v>
      </x:c>
      <x:c r="H768" s="28" t="str">
        <x:v>计划是否可执行；关键动作前后是否验证；失败是否触发回溯而非盲重试？</x:v>
      </x:c>
      <x:c r="I768" s="28" t="str">
        <x:v>任务成功率；计划修订次数；工具选择准确率；回退成功率；每任务token/时延</x:v>
      </x:c>
      <x:c r="J768" s="64" t="str">
        <x:v>基础能力</x:v>
      </x:c>
      <x:c r="K768" s="64" t="str">
        <x:v>P0</x:v>
      </x:c>
      <x:c r="L768" s="28" t="str">
        <x:v>S31; S32; S33; S39</x:v>
      </x:c>
      <x:c r="M768" s="28" t="str">
        <x:v>https://arxiv.org/abs/2303.11366</x:v>
      </x:c>
    </x:row>
    <x:row r="769" ht="48" customHeight="1">
      <x:c r="A769" s="64" t="str">
        <x:v>T0768</x:v>
      </x:c>
      <x:c r="B769" s="28" t="str">
        <x:v>科学智能体与多智能体</x:v>
      </x:c>
      <x:c r="C769" s="28" t="str">
        <x:v>Agent规划、推理、工具使用与记忆</x:v>
      </x:c>
      <x:c r="D769" s="28" t="str">
        <x:v>规划、搜索与任务分解</x:v>
      </x:c>
      <x:c r="E769" s="28" t="str">
        <x:v>Agent认知架构</x:v>
      </x:c>
      <x:c r="F769" s="28" t="str">
        <x:v>世界模型</x:v>
      </x:c>
      <x:c r="G769" s="28" t="str">
        <x:v>将“世界模型”作为Agent从目标到动作的认知构件，要求状态可跟踪、工具调用可验证、失败可回退。</x:v>
      </x:c>
      <x:c r="H769" s="28" t="str">
        <x:v>计划是否可执行；关键动作前后是否验证；失败是否触发回溯而非盲重试？</x:v>
      </x:c>
      <x:c r="I769" s="28" t="str">
        <x:v>任务成功率；计划修订次数；工具选择准确率；回退成功率；每任务token/时延</x:v>
      </x:c>
      <x:c r="J769" s="64" t="str">
        <x:v>基础能力</x:v>
      </x:c>
      <x:c r="K769" s="64" t="str">
        <x:v>P0</x:v>
      </x:c>
      <x:c r="L769" s="28" t="str">
        <x:v>S31; S32; S33; S39</x:v>
      </x:c>
      <x:c r="M769" s="28" t="str">
        <x:v>https://developers.openai.com/api/docs/guides/agents</x:v>
      </x:c>
    </x:row>
    <x:row r="770" ht="48" customHeight="1">
      <x:c r="A770" s="64" t="str">
        <x:v>T0769</x:v>
      </x:c>
      <x:c r="B770" s="28" t="str">
        <x:v>科学智能体与多智能体</x:v>
      </x:c>
      <x:c r="C770" s="28" t="str">
        <x:v>Agent规划、推理、工具使用与记忆</x:v>
      </x:c>
      <x:c r="D770" s="28" t="str">
        <x:v>规划、搜索与任务分解</x:v>
      </x:c>
      <x:c r="E770" s="28" t="str">
        <x:v>Agent认知架构</x:v>
      </x:c>
      <x:c r="F770" s="28" t="str">
        <x:v>基于模型的规划</x:v>
      </x:c>
      <x:c r="G770" s="28" t="str">
        <x:v>将“基于模型的规划”作为Agent从目标到动作的认知构件，要求状态可跟踪、工具调用可验证、失败可回退。</x:v>
      </x:c>
      <x:c r="H770" s="28" t="str">
        <x:v>计划是否可执行；关键动作前后是否验证；失败是否触发回溯而非盲重试？</x:v>
      </x:c>
      <x:c r="I770" s="28" t="str">
        <x:v>任务成功率；计划修订次数；工具选择准确率；回退成功率；每任务token/时延</x:v>
      </x:c>
      <x:c r="J770" s="64" t="str">
        <x:v>基础能力</x:v>
      </x:c>
      <x:c r="K770" s="64" t="str">
        <x:v>P0</x:v>
      </x:c>
      <x:c r="L770" s="28" t="str">
        <x:v>S31; S32; S33; S39</x:v>
      </x:c>
      <x:c r="M770" s="28" t="str">
        <x:v>https://openreview.net/forum?id=WE_vluYUL-X</x:v>
      </x:c>
    </x:row>
    <x:row r="771" ht="48" customHeight="1">
      <x:c r="A771" s="64" t="str">
        <x:v>T0770</x:v>
      </x:c>
      <x:c r="B771" s="28" t="str">
        <x:v>科学智能体与多智能体</x:v>
      </x:c>
      <x:c r="C771" s="28" t="str">
        <x:v>Agent规划、推理、工具使用与记忆</x:v>
      </x:c>
      <x:c r="D771" s="28" t="str">
        <x:v>规划、搜索与任务分解</x:v>
      </x:c>
      <x:c r="E771" s="28" t="str">
        <x:v>Agent认知架构</x:v>
      </x:c>
      <x:c r="F771" s="28" t="str">
        <x:v>树搜索</x:v>
      </x:c>
      <x:c r="G771" s="28" t="str">
        <x:v>将“树搜索”作为Agent从目标到动作的认知构件，要求状态可跟踪、工具调用可验证、失败可回退。</x:v>
      </x:c>
      <x:c r="H771" s="28" t="str">
        <x:v>计划是否可执行；关键动作前后是否验证；失败是否触发回溯而非盲重试？</x:v>
      </x:c>
      <x:c r="I771" s="28" t="str">
        <x:v>任务成功率；计划修订次数；工具选择准确率；回退成功率；每任务token/时延</x:v>
      </x:c>
      <x:c r="J771" s="64" t="str">
        <x:v>基础能力</x:v>
      </x:c>
      <x:c r="K771" s="64" t="str">
        <x:v>P0</x:v>
      </x:c>
      <x:c r="L771" s="28" t="str">
        <x:v>S31; S32; S33; S39</x:v>
      </x:c>
      <x:c r="M771" s="28" t="str">
        <x:v>https://arxiv.org/abs/2302.04761</x:v>
      </x:c>
    </x:row>
    <x:row r="772" ht="48" customHeight="1">
      <x:c r="A772" s="64" t="str">
        <x:v>T0771</x:v>
      </x:c>
      <x:c r="B772" s="28" t="str">
        <x:v>科学智能体与多智能体</x:v>
      </x:c>
      <x:c r="C772" s="28" t="str">
        <x:v>Agent规划、推理、工具使用与记忆</x:v>
      </x:c>
      <x:c r="D772" s="28" t="str">
        <x:v>工具选择与执行控制</x:v>
      </x:c>
      <x:c r="E772" s="28" t="str">
        <x:v>Agent认知架构</x:v>
      </x:c>
      <x:c r="F772" s="28" t="str">
        <x:v>蒙特卡洛树搜索</x:v>
      </x:c>
      <x:c r="G772" s="28" t="str">
        <x:v>将“蒙特卡洛树搜索”作为Agent从目标到动作的认知构件，要求状态可跟踪、工具调用可验证、失败可回退。</x:v>
      </x:c>
      <x:c r="H772" s="28" t="str">
        <x:v>计划是否可执行；关键动作前后是否验证；失败是否触发回溯而非盲重试？</x:v>
      </x:c>
      <x:c r="I772" s="28" t="str">
        <x:v>任务成功率；计划修订次数；工具选择准确率；回退成功率；每任务token/时延</x:v>
      </x:c>
      <x:c r="J772" s="64" t="str">
        <x:v>基础能力</x:v>
      </x:c>
      <x:c r="K772" s="64" t="str">
        <x:v>P1</x:v>
      </x:c>
      <x:c r="L772" s="28" t="str">
        <x:v>S31; S32; S33; S39</x:v>
      </x:c>
      <x:c r="M772" s="28" t="str">
        <x:v>https://arxiv.org/abs/2303.11366</x:v>
      </x:c>
    </x:row>
    <x:row r="773" ht="48" customHeight="1">
      <x:c r="A773" s="64" t="str">
        <x:v>T0772</x:v>
      </x:c>
      <x:c r="B773" s="28" t="str">
        <x:v>科学智能体与多智能体</x:v>
      </x:c>
      <x:c r="C773" s="28" t="str">
        <x:v>Agent规划、推理、工具使用与记忆</x:v>
      </x:c>
      <x:c r="D773" s="28" t="str">
        <x:v>工具选择与执行控制</x:v>
      </x:c>
      <x:c r="E773" s="28" t="str">
        <x:v>Agent认知架构</x:v>
      </x:c>
      <x:c r="F773" s="28" t="str">
        <x:v>束搜索</x:v>
      </x:c>
      <x:c r="G773" s="28" t="str">
        <x:v>将“束搜索”作为Agent从目标到动作的认知构件，要求状态可跟踪、工具调用可验证、失败可回退。</x:v>
      </x:c>
      <x:c r="H773" s="28" t="str">
        <x:v>计划是否可执行；关键动作前后是否验证；失败是否触发回溯而非盲重试？</x:v>
      </x:c>
      <x:c r="I773" s="28" t="str">
        <x:v>任务成功率；计划修订次数；工具选择准确率；回退成功率；每任务token/时延</x:v>
      </x:c>
      <x:c r="J773" s="64" t="str">
        <x:v>基础能力</x:v>
      </x:c>
      <x:c r="K773" s="64" t="str">
        <x:v>P1</x:v>
      </x:c>
      <x:c r="L773" s="28" t="str">
        <x:v>S31; S32; S33; S39</x:v>
      </x:c>
      <x:c r="M773" s="28" t="str">
        <x:v>https://developers.openai.com/api/docs/guides/agents</x:v>
      </x:c>
    </x:row>
    <x:row r="774" ht="48" customHeight="1">
      <x:c r="A774" s="64" t="str">
        <x:v>T0773</x:v>
      </x:c>
      <x:c r="B774" s="28" t="str">
        <x:v>科学智能体与多智能体</x:v>
      </x:c>
      <x:c r="C774" s="28" t="str">
        <x:v>Agent规划、推理、工具使用与记忆</x:v>
      </x:c>
      <x:c r="D774" s="28" t="str">
        <x:v>工具选择与执行控制</x:v>
      </x:c>
      <x:c r="E774" s="28" t="str">
        <x:v>Agent认知架构</x:v>
      </x:c>
      <x:c r="F774" s="28" t="str">
        <x:v>最佳优先搜索</x:v>
      </x:c>
      <x:c r="G774" s="28" t="str">
        <x:v>将“最佳优先搜索”作为Agent从目标到动作的认知构件，要求状态可跟踪、工具调用可验证、失败可回退。</x:v>
      </x:c>
      <x:c r="H774" s="28" t="str">
        <x:v>计划是否可执行；关键动作前后是否验证；失败是否触发回溯而非盲重试？</x:v>
      </x:c>
      <x:c r="I774" s="28" t="str">
        <x:v>任务成功率；计划修订次数；工具选择准确率；回退成功率；每任务token/时延</x:v>
      </x:c>
      <x:c r="J774" s="64" t="str">
        <x:v>工程化关键</x:v>
      </x:c>
      <x:c r="K774" s="64" t="str">
        <x:v>P1</x:v>
      </x:c>
      <x:c r="L774" s="28" t="str">
        <x:v>S31; S32; S33; S39</x:v>
      </x:c>
      <x:c r="M774" s="28" t="str">
        <x:v>https://openreview.net/forum?id=WE_vluYUL-X</x:v>
      </x:c>
    </x:row>
    <x:row r="775" ht="48" customHeight="1">
      <x:c r="A775" s="64" t="str">
        <x:v>T0774</x:v>
      </x:c>
      <x:c r="B775" s="28" t="str">
        <x:v>科学智能体与多智能体</x:v>
      </x:c>
      <x:c r="C775" s="28" t="str">
        <x:v>Agent规划、推理、工具使用与记忆</x:v>
      </x:c>
      <x:c r="D775" s="28" t="str">
        <x:v>工具选择与执行控制</x:v>
      </x:c>
      <x:c r="E775" s="28" t="str">
        <x:v>Agent认知架构</x:v>
      </x:c>
      <x:c r="F775" s="28" t="str">
        <x:v>约束求解</x:v>
      </x:c>
      <x:c r="G775" s="28" t="str">
        <x:v>将“约束求解”作为Agent从目标到动作的认知构件，要求状态可跟踪、工具调用可验证、失败可回退。</x:v>
      </x:c>
      <x:c r="H775" s="28" t="str">
        <x:v>计划是否可执行；关键动作前后是否验证；失败是否触发回溯而非盲重试？</x:v>
      </x:c>
      <x:c r="I775" s="28" t="str">
        <x:v>任务成功率；计划修订次数；工具选择准确率；回退成功率；每任务token/时延</x:v>
      </x:c>
      <x:c r="J775" s="64" t="str">
        <x:v>工程化关键</x:v>
      </x:c>
      <x:c r="K775" s="64" t="str">
        <x:v>P1</x:v>
      </x:c>
      <x:c r="L775" s="28" t="str">
        <x:v>S31; S32; S33; S39</x:v>
      </x:c>
      <x:c r="M775" s="28" t="str">
        <x:v>https://arxiv.org/abs/2302.04761</x:v>
      </x:c>
    </x:row>
    <x:row r="776" ht="48" customHeight="1">
      <x:c r="A776" s="64" t="str">
        <x:v>T0775</x:v>
      </x:c>
      <x:c r="B776" s="28" t="str">
        <x:v>科学智能体与多智能体</x:v>
      </x:c>
      <x:c r="C776" s="28" t="str">
        <x:v>Agent规划、推理、工具使用与记忆</x:v>
      </x:c>
      <x:c r="D776" s="28" t="str">
        <x:v>工具选择与执行控制</x:v>
      </x:c>
      <x:c r="E776" s="28" t="str">
        <x:v>Agent认知架构</x:v>
      </x:c>
      <x:c r="F776" s="28" t="str">
        <x:v>计划调度</x:v>
      </x:c>
      <x:c r="G776" s="28" t="str">
        <x:v>将“计划调度”作为Agent从目标到动作的认知构件，要求状态可跟踪、工具调用可验证、失败可回退。</x:v>
      </x:c>
      <x:c r="H776" s="28" t="str">
        <x:v>计划是否可执行；关键动作前后是否验证；失败是否触发回溯而非盲重试？</x:v>
      </x:c>
      <x:c r="I776" s="28" t="str">
        <x:v>任务成功率；计划修订次数；工具选择准确率；回退成功率；每任务token/时延</x:v>
      </x:c>
      <x:c r="J776" s="64" t="str">
        <x:v>工程化关键</x:v>
      </x:c>
      <x:c r="K776" s="64" t="str">
        <x:v>P1</x:v>
      </x:c>
      <x:c r="L776" s="28" t="str">
        <x:v>S31; S32; S33; S39</x:v>
      </x:c>
      <x:c r="M776" s="28" t="str">
        <x:v>https://arxiv.org/abs/2303.11366</x:v>
      </x:c>
    </x:row>
    <x:row r="777" ht="48" customHeight="1">
      <x:c r="A777" s="64" t="str">
        <x:v>T0776</x:v>
      </x:c>
      <x:c r="B777" s="28" t="str">
        <x:v>科学智能体与多智能体</x:v>
      </x:c>
      <x:c r="C777" s="28" t="str">
        <x:v>Agent规划、推理、工具使用与记忆</x:v>
      </x:c>
      <x:c r="D777" s="28" t="str">
        <x:v>工具选择与执行控制</x:v>
      </x:c>
      <x:c r="E777" s="28" t="str">
        <x:v>Agent认知架构</x:v>
      </x:c>
      <x:c r="F777" s="28" t="str">
        <x:v>程序合成</x:v>
      </x:c>
      <x:c r="G777" s="28" t="str">
        <x:v>将“程序合成”作为Agent从目标到动作的认知构件，要求状态可跟踪、工具调用可验证、失败可回退。</x:v>
      </x:c>
      <x:c r="H777" s="28" t="str">
        <x:v>计划是否可执行；关键动作前后是否验证；失败是否触发回溯而非盲重试？</x:v>
      </x:c>
      <x:c r="I777" s="28" t="str">
        <x:v>任务成功率；计划修订次数；工具选择准确率；回退成功率；每任务token/时延</x:v>
      </x:c>
      <x:c r="J777" s="64" t="str">
        <x:v>工程化关键</x:v>
      </x:c>
      <x:c r="K777" s="64" t="str">
        <x:v>P1</x:v>
      </x:c>
      <x:c r="L777" s="28" t="str">
        <x:v>S31; S32; S33; S39</x:v>
      </x:c>
      <x:c r="M777" s="28" t="str">
        <x:v>https://developers.openai.com/api/docs/guides/agents</x:v>
      </x:c>
    </x:row>
    <x:row r="778" ht="48" customHeight="1">
      <x:c r="A778" s="64" t="str">
        <x:v>T0777</x:v>
      </x:c>
      <x:c r="B778" s="28" t="str">
        <x:v>科学智能体与多智能体</x:v>
      </x:c>
      <x:c r="C778" s="28" t="str">
        <x:v>Agent规划、推理、工具使用与记忆</x:v>
      </x:c>
      <x:c r="D778" s="28" t="str">
        <x:v>工具选择与执行控制</x:v>
      </x:c>
      <x:c r="E778" s="28" t="str">
        <x:v>Agent认知架构</x:v>
      </x:c>
      <x:c r="F778" s="28" t="str">
        <x:v>工具选择</x:v>
      </x:c>
      <x:c r="G778" s="28" t="str">
        <x:v>将“工具选择”作为Agent从目标到动作的认知构件，要求状态可跟踪、工具调用可验证、失败可回退。</x:v>
      </x:c>
      <x:c r="H778" s="28" t="str">
        <x:v>计划是否可执行；关键动作前后是否验证；失败是否触发回溯而非盲重试？</x:v>
      </x:c>
      <x:c r="I778" s="28" t="str">
        <x:v>任务成功率；计划修订次数；工具选择准确率；回退成功率；每任务token/时延</x:v>
      </x:c>
      <x:c r="J778" s="64" t="str">
        <x:v>工程化关键</x:v>
      </x:c>
      <x:c r="K778" s="64" t="str">
        <x:v>P1</x:v>
      </x:c>
      <x:c r="L778" s="28" t="str">
        <x:v>S31; S32; S33; S39</x:v>
      </x:c>
      <x:c r="M778" s="28" t="str">
        <x:v>https://openreview.net/forum?id=WE_vluYUL-X</x:v>
      </x:c>
    </x:row>
    <x:row r="779" ht="48" customHeight="1">
      <x:c r="A779" s="64" t="str">
        <x:v>T0778</x:v>
      </x:c>
      <x:c r="B779" s="28" t="str">
        <x:v>科学智能体与多智能体</x:v>
      </x:c>
      <x:c r="C779" s="28" t="str">
        <x:v>Agent规划、推理、工具使用与记忆</x:v>
      </x:c>
      <x:c r="D779" s="28" t="str">
        <x:v>工具选择与执行控制</x:v>
      </x:c>
      <x:c r="E779" s="28" t="str">
        <x:v>Agent认知架构</x:v>
      </x:c>
      <x:c r="F779" s="28" t="str">
        <x:v>工具路由</x:v>
      </x:c>
      <x:c r="G779" s="28" t="str">
        <x:v>将“工具路由”作为Agent从目标到动作的认知构件，要求状态可跟踪、工具调用可验证、失败可回退。</x:v>
      </x:c>
      <x:c r="H779" s="28" t="str">
        <x:v>计划是否可执行；关键动作前后是否验证；失败是否触发回溯而非盲重试？</x:v>
      </x:c>
      <x:c r="I779" s="28" t="str">
        <x:v>任务成功率；计划修订次数；工具选择准确率；回退成功率；每任务token/时延</x:v>
      </x:c>
      <x:c r="J779" s="64" t="str">
        <x:v>工程化关键</x:v>
      </x:c>
      <x:c r="K779" s="64" t="str">
        <x:v>P1</x:v>
      </x:c>
      <x:c r="L779" s="28" t="str">
        <x:v>S31; S32; S33; S39</x:v>
      </x:c>
      <x:c r="M779" s="28" t="str">
        <x:v>https://arxiv.org/abs/2302.04761</x:v>
      </x:c>
    </x:row>
    <x:row r="780" ht="48" customHeight="1">
      <x:c r="A780" s="64" t="str">
        <x:v>T0779</x:v>
      </x:c>
      <x:c r="B780" s="28" t="str">
        <x:v>科学智能体与多智能体</x:v>
      </x:c>
      <x:c r="C780" s="28" t="str">
        <x:v>Agent规划、推理、工具使用与记忆</x:v>
      </x:c>
      <x:c r="D780" s="28" t="str">
        <x:v>工具选择与执行控制</x:v>
      </x:c>
      <x:c r="E780" s="28" t="str">
        <x:v>Agent认知架构</x:v>
      </x:c>
      <x:c r="F780" s="28" t="str">
        <x:v>参数生成</x:v>
      </x:c>
      <x:c r="G780" s="28" t="str">
        <x:v>将“参数生成”作为Agent从目标到动作的认知构件，要求状态可跟踪、工具调用可验证、失败可回退。</x:v>
      </x:c>
      <x:c r="H780" s="28" t="str">
        <x:v>计划是否可执行；关键动作前后是否验证；失败是否触发回溯而非盲重试？</x:v>
      </x:c>
      <x:c r="I780" s="28" t="str">
        <x:v>任务成功率；计划修订次数；工具选择准确率；回退成功率；每任务token/时延</x:v>
      </x:c>
      <x:c r="J780" s="64" t="str">
        <x:v>工程化关键</x:v>
      </x:c>
      <x:c r="K780" s="64" t="str">
        <x:v>P1</x:v>
      </x:c>
      <x:c r="L780" s="28" t="str">
        <x:v>S31; S32; S33; S39</x:v>
      </x:c>
      <x:c r="M780" s="28" t="str">
        <x:v>https://arxiv.org/abs/2303.11366</x:v>
      </x:c>
    </x:row>
    <x:row r="781" ht="48" customHeight="1">
      <x:c r="A781" s="64" t="str">
        <x:v>T0780</x:v>
      </x:c>
      <x:c r="B781" s="28" t="str">
        <x:v>科学智能体与多智能体</x:v>
      </x:c>
      <x:c r="C781" s="28" t="str">
        <x:v>Agent规划、推理、工具使用与记忆</x:v>
      </x:c>
      <x:c r="D781" s="28" t="str">
        <x:v>工具选择与执行控制</x:v>
      </x:c>
      <x:c r="E781" s="28" t="str">
        <x:v>Agent认知架构</x:v>
      </x:c>
      <x:c r="F781" s="28" t="str">
        <x:v>前置条件检查</x:v>
      </x:c>
      <x:c r="G781" s="28" t="str">
        <x:v>将“前置条件检查”作为Agent从目标到动作的认知构件，要求状态可跟踪、工具调用可验证、失败可回退。</x:v>
      </x:c>
      <x:c r="H781" s="28" t="str">
        <x:v>计划是否可执行；关键动作前后是否验证；失败是否触发回溯而非盲重试？</x:v>
      </x:c>
      <x:c r="I781" s="28" t="str">
        <x:v>任务成功率；计划修订次数；工具选择准确率；回退成功率；每任务token/时延</x:v>
      </x:c>
      <x:c r="J781" s="64" t="str">
        <x:v>工程化关键</x:v>
      </x:c>
      <x:c r="K781" s="64" t="str">
        <x:v>P1</x:v>
      </x:c>
      <x:c r="L781" s="28" t="str">
        <x:v>S31; S32; S33; S39</x:v>
      </x:c>
      <x:c r="M781" s="28" t="str">
        <x:v>https://developers.openai.com/api/docs/guides/agents</x:v>
      </x:c>
    </x:row>
    <x:row r="782" ht="48" customHeight="1">
      <x:c r="A782" s="64" t="str">
        <x:v>T0781</x:v>
      </x:c>
      <x:c r="B782" s="28" t="str">
        <x:v>科学智能体与多智能体</x:v>
      </x:c>
      <x:c r="C782" s="28" t="str">
        <x:v>Agent规划、推理、工具使用与记忆</x:v>
      </x:c>
      <x:c r="D782" s="28" t="str">
        <x:v>反思、验证与测试时计算</x:v>
      </x:c>
      <x:c r="E782" s="28" t="str">
        <x:v>Agent认知架构</x:v>
      </x:c>
      <x:c r="F782" s="28" t="str">
        <x:v>后置条件验证</x:v>
      </x:c>
      <x:c r="G782" s="28" t="str">
        <x:v>将“后置条件验证”作为Agent从目标到动作的认知构件，要求状态可跟踪、工具调用可验证、失败可回退。</x:v>
      </x:c>
      <x:c r="H782" s="28" t="str">
        <x:v>计划是否可执行；关键动作前后是否验证；失败是否触发回溯而非盲重试？</x:v>
      </x:c>
      <x:c r="I782" s="28" t="str">
        <x:v>任务成功率；计划修订次数；工具选择准确率；回退成功率；每任务token/时延</x:v>
      </x:c>
      <x:c r="J782" s="64" t="str">
        <x:v>工程化关键</x:v>
      </x:c>
      <x:c r="K782" s="64" t="str">
        <x:v>P1</x:v>
      </x:c>
      <x:c r="L782" s="28" t="str">
        <x:v>S31; S32; S33; S39</x:v>
      </x:c>
      <x:c r="M782" s="28" t="str">
        <x:v>https://openreview.net/forum?id=WE_vluYUL-X</x:v>
      </x:c>
    </x:row>
    <x:row r="783" ht="48" customHeight="1">
      <x:c r="A783" s="64" t="str">
        <x:v>T0782</x:v>
      </x:c>
      <x:c r="B783" s="28" t="str">
        <x:v>科学智能体与多智能体</x:v>
      </x:c>
      <x:c r="C783" s="28" t="str">
        <x:v>Agent规划、推理、工具使用与记忆</x:v>
      </x:c>
      <x:c r="D783" s="28" t="str">
        <x:v>反思、验证与测试时计算</x:v>
      </x:c>
      <x:c r="E783" s="28" t="str">
        <x:v>Agent认知架构</x:v>
      </x:c>
      <x:c r="F783" s="28" t="str">
        <x:v>观测解释</x:v>
      </x:c>
      <x:c r="G783" s="28" t="str">
        <x:v>将“观测解释”作为Agent从目标到动作的认知构件，要求状态可跟踪、工具调用可验证、失败可回退。</x:v>
      </x:c>
      <x:c r="H783" s="28" t="str">
        <x:v>计划是否可执行；关键动作前后是否验证；失败是否触发回溯而非盲重试？</x:v>
      </x:c>
      <x:c r="I783" s="28" t="str">
        <x:v>任务成功率；计划修订次数；工具选择准确率；回退成功率；每任务token/时延</x:v>
      </x:c>
      <x:c r="J783" s="64" t="str">
        <x:v>工程化关键</x:v>
      </x:c>
      <x:c r="K783" s="64" t="str">
        <x:v>P1</x:v>
      </x:c>
      <x:c r="L783" s="28" t="str">
        <x:v>S31; S32; S33; S39</x:v>
      </x:c>
      <x:c r="M783" s="28" t="str">
        <x:v>https://arxiv.org/abs/2302.04761</x:v>
      </x:c>
    </x:row>
    <x:row r="784" ht="48" customHeight="1">
      <x:c r="A784" s="64" t="str">
        <x:v>T0783</x:v>
      </x:c>
      <x:c r="B784" s="28" t="str">
        <x:v>科学智能体与多智能体</x:v>
      </x:c>
      <x:c r="C784" s="28" t="str">
        <x:v>Agent规划、推理、工具使用与记忆</x:v>
      </x:c>
      <x:c r="D784" s="28" t="str">
        <x:v>反思、验证与测试时计算</x:v>
      </x:c>
      <x:c r="E784" s="28" t="str">
        <x:v>Agent认知架构</x:v>
      </x:c>
      <x:c r="F784" s="28" t="str">
        <x:v>循环控制</x:v>
      </x:c>
      <x:c r="G784" s="28" t="str">
        <x:v>将“循环控制”作为Agent从目标到动作的认知构件，要求状态可跟踪、工具调用可验证、失败可回退。</x:v>
      </x:c>
      <x:c r="H784" s="28" t="str">
        <x:v>计划是否可执行；关键动作前后是否验证；失败是否触发回溯而非盲重试？</x:v>
      </x:c>
      <x:c r="I784" s="28" t="str">
        <x:v>任务成功率；计划修订次数；工具选择准确率；回退成功率；每任务token/时延</x:v>
      </x:c>
      <x:c r="J784" s="64" t="str">
        <x:v>工程化关键</x:v>
      </x:c>
      <x:c r="K784" s="64" t="str">
        <x:v>P1</x:v>
      </x:c>
      <x:c r="L784" s="28" t="str">
        <x:v>S31; S32; S33; S39</x:v>
      </x:c>
      <x:c r="M784" s="28" t="str">
        <x:v>https://arxiv.org/abs/2303.11366</x:v>
      </x:c>
    </x:row>
    <x:row r="785" ht="48" customHeight="1">
      <x:c r="A785" s="64" t="str">
        <x:v>T0784</x:v>
      </x:c>
      <x:c r="B785" s="28" t="str">
        <x:v>科学智能体与多智能体</x:v>
      </x:c>
      <x:c r="C785" s="28" t="str">
        <x:v>Agent规划、推理、工具使用与记忆</x:v>
      </x:c>
      <x:c r="D785" s="28" t="str">
        <x:v>反思、验证与测试时计算</x:v>
      </x:c>
      <x:c r="E785" s="28" t="str">
        <x:v>Agent认知架构</x:v>
      </x:c>
      <x:c r="F785" s="28" t="str">
        <x:v>终止判断</x:v>
      </x:c>
      <x:c r="G785" s="28" t="str">
        <x:v>将“终止判断”作为Agent从目标到动作的认知构件，要求状态可跟踪、工具调用可验证、失败可回退。</x:v>
      </x:c>
      <x:c r="H785" s="28" t="str">
        <x:v>计划是否可执行；关键动作前后是否验证；失败是否触发回溯而非盲重试？</x:v>
      </x:c>
      <x:c r="I785" s="28" t="str">
        <x:v>任务成功率；计划修订次数；工具选择准确率；回退成功率；每任务token/时延</x:v>
      </x:c>
      <x:c r="J785" s="64" t="str">
        <x:v>工程化关键</x:v>
      </x:c>
      <x:c r="K785" s="64" t="str">
        <x:v>P1</x:v>
      </x:c>
      <x:c r="L785" s="28" t="str">
        <x:v>S31; S32; S33; S39</x:v>
      </x:c>
      <x:c r="M785" s="28" t="str">
        <x:v>https://developers.openai.com/api/docs/guides/agents</x:v>
      </x:c>
    </x:row>
    <x:row r="786" ht="48" customHeight="1">
      <x:c r="A786" s="64" t="str">
        <x:v>T0785</x:v>
      </x:c>
      <x:c r="B786" s="28" t="str">
        <x:v>科学智能体与多智能体</x:v>
      </x:c>
      <x:c r="C786" s="28" t="str">
        <x:v>Agent规划、推理、工具使用与记忆</x:v>
      </x:c>
      <x:c r="D786" s="28" t="str">
        <x:v>反思、验证与测试时计算</x:v>
      </x:c>
      <x:c r="E786" s="28" t="str">
        <x:v>Agent认知架构</x:v>
      </x:c>
      <x:c r="F786" s="28" t="str">
        <x:v>重试</x:v>
      </x:c>
      <x:c r="G786" s="28" t="str">
        <x:v>将“重试”作为Agent从目标到动作的认知构件，要求状态可跟踪、工具调用可验证、失败可回退。</x:v>
      </x:c>
      <x:c r="H786" s="28" t="str">
        <x:v>计划是否可执行；关键动作前后是否验证；失败是否触发回溯而非盲重试？</x:v>
      </x:c>
      <x:c r="I786" s="28" t="str">
        <x:v>任务成功率；计划修订次数；工具选择准确率；回退成功率；每任务token/时延</x:v>
      </x:c>
      <x:c r="J786" s="64" t="str">
        <x:v>工程化关键</x:v>
      </x:c>
      <x:c r="K786" s="64" t="str">
        <x:v>P1</x:v>
      </x:c>
      <x:c r="L786" s="28" t="str">
        <x:v>S31; S32; S33; S39</x:v>
      </x:c>
      <x:c r="M786" s="28" t="str">
        <x:v>https://openreview.net/forum?id=WE_vluYUL-X</x:v>
      </x:c>
    </x:row>
    <x:row r="787" ht="48" customHeight="1">
      <x:c r="A787" s="64" t="str">
        <x:v>T0786</x:v>
      </x:c>
      <x:c r="B787" s="28" t="str">
        <x:v>科学智能体与多智能体</x:v>
      </x:c>
      <x:c r="C787" s="28" t="str">
        <x:v>Agent规划、推理、工具使用与记忆</x:v>
      </x:c>
      <x:c r="D787" s="28" t="str">
        <x:v>反思、验证与测试时计算</x:v>
      </x:c>
      <x:c r="E787" s="28" t="str">
        <x:v>Agent认知架构</x:v>
      </x:c>
      <x:c r="F787" s="28" t="str">
        <x:v>回溯</x:v>
      </x:c>
      <x:c r="G787" s="28" t="str">
        <x:v>将“回溯”作为Agent从目标到动作的认知构件，要求状态可跟踪、工具调用可验证、失败可回退。</x:v>
      </x:c>
      <x:c r="H787" s="28" t="str">
        <x:v>计划是否可执行；关键动作前后是否验证；失败是否触发回溯而非盲重试？</x:v>
      </x:c>
      <x:c r="I787" s="28" t="str">
        <x:v>任务成功率；计划修订次数；工具选择准确率；回退成功率；每任务token/时延</x:v>
      </x:c>
      <x:c r="J787" s="64" t="str">
        <x:v>工程化关键</x:v>
      </x:c>
      <x:c r="K787" s="64" t="str">
        <x:v>P1</x:v>
      </x:c>
      <x:c r="L787" s="28" t="str">
        <x:v>S31; S32; S33; S39</x:v>
      </x:c>
      <x:c r="M787" s="28" t="str">
        <x:v>https://arxiv.org/abs/2302.04761</x:v>
      </x:c>
    </x:row>
    <x:row r="788" ht="48" customHeight="1">
      <x:c r="A788" s="64" t="str">
        <x:v>T0787</x:v>
      </x:c>
      <x:c r="B788" s="28" t="str">
        <x:v>科学智能体与多智能体</x:v>
      </x:c>
      <x:c r="C788" s="28" t="str">
        <x:v>Agent规划、推理、工具使用与记忆</x:v>
      </x:c>
      <x:c r="D788" s="28" t="str">
        <x:v>反思、验证与测试时计算</x:v>
      </x:c>
      <x:c r="E788" s="28" t="str">
        <x:v>Agent认知架构</x:v>
      </x:c>
      <x:c r="F788" s="28" t="str">
        <x:v>反思</x:v>
      </x:c>
      <x:c r="G788" s="28" t="str">
        <x:v>将“反思”作为Agent从目标到动作的认知构件，要求状态可跟踪、工具调用可验证、失败可回退。</x:v>
      </x:c>
      <x:c r="H788" s="28" t="str">
        <x:v>计划是否可执行；关键动作前后是否验证；失败是否触发回溯而非盲重试？</x:v>
      </x:c>
      <x:c r="I788" s="28" t="str">
        <x:v>任务成功率；计划修订次数；工具选择准确率；回退成功率；每任务token/时延</x:v>
      </x:c>
      <x:c r="J788" s="64" t="str">
        <x:v>工程化关键</x:v>
      </x:c>
      <x:c r="K788" s="64" t="str">
        <x:v>P1</x:v>
      </x:c>
      <x:c r="L788" s="28" t="str">
        <x:v>S31; S32; S33; S39</x:v>
      </x:c>
      <x:c r="M788" s="28" t="str">
        <x:v>https://arxiv.org/abs/2303.11366</x:v>
      </x:c>
    </x:row>
    <x:row r="789" ht="48" customHeight="1">
      <x:c r="A789" s="64" t="str">
        <x:v>T0788</x:v>
      </x:c>
      <x:c r="B789" s="28" t="str">
        <x:v>科学智能体与多智能体</x:v>
      </x:c>
      <x:c r="C789" s="28" t="str">
        <x:v>Agent规划、推理、工具使用与记忆</x:v>
      </x:c>
      <x:c r="D789" s="28" t="str">
        <x:v>反思、验证与测试时计算</x:v>
      </x:c>
      <x:c r="E789" s="28" t="str">
        <x:v>Agent认知架构</x:v>
      </x:c>
      <x:c r="F789" s="28" t="str">
        <x:v>Reflexion</x:v>
      </x:c>
      <x:c r="G789" s="28" t="str">
        <x:v>将“Reflexion”作为Agent从目标到动作的认知构件，要求状态可跟踪、工具调用可验证、失败可回退。</x:v>
      </x:c>
      <x:c r="H789" s="28" t="str">
        <x:v>计划是否可执行；关键动作前后是否验证；失败是否触发回溯而非盲重试？</x:v>
      </x:c>
      <x:c r="I789" s="28" t="str">
        <x:v>任务成功率；计划修订次数；工具选择准确率；回退成功率；每任务token/时延</x:v>
      </x:c>
      <x:c r="J789" s="64" t="str">
        <x:v>工程化关键</x:v>
      </x:c>
      <x:c r="K789" s="64" t="str">
        <x:v>P1</x:v>
      </x:c>
      <x:c r="L789" s="28" t="str">
        <x:v>S31; S32; S33; S39</x:v>
      </x:c>
      <x:c r="M789" s="28" t="str">
        <x:v>https://developers.openai.com/api/docs/guides/agents</x:v>
      </x:c>
    </x:row>
    <x:row r="790" ht="48" customHeight="1">
      <x:c r="A790" s="64" t="str">
        <x:v>T0789</x:v>
      </x:c>
      <x:c r="B790" s="28" t="str">
        <x:v>科学智能体与多智能体</x:v>
      </x:c>
      <x:c r="C790" s="28" t="str">
        <x:v>Agent规划、推理、工具使用与记忆</x:v>
      </x:c>
      <x:c r="D790" s="28" t="str">
        <x:v>反思、验证与测试时计算</x:v>
      </x:c>
      <x:c r="E790" s="28" t="str">
        <x:v>Agent认知架构</x:v>
      </x:c>
      <x:c r="F790" s="28" t="str">
        <x:v>自我批评</x:v>
      </x:c>
      <x:c r="G790" s="28" t="str">
        <x:v>将“自我批评”作为Agent从目标到动作的认知构件，要求状态可跟踪、工具调用可验证、失败可回退。</x:v>
      </x:c>
      <x:c r="H790" s="28" t="str">
        <x:v>计划是否可执行；关键动作前后是否验证；失败是否触发回溯而非盲重试？</x:v>
      </x:c>
      <x:c r="I790" s="28" t="str">
        <x:v>任务成功率；计划修订次数；工具选择准确率；回退成功率；每任务token/时延</x:v>
      </x:c>
      <x:c r="J790" s="64" t="str">
        <x:v>进阶能力</x:v>
      </x:c>
      <x:c r="K790" s="64" t="str">
        <x:v>P2</x:v>
      </x:c>
      <x:c r="L790" s="28" t="str">
        <x:v>S31; S32; S33; S39</x:v>
      </x:c>
      <x:c r="M790" s="28" t="str">
        <x:v>https://openreview.net/forum?id=WE_vluYUL-X</x:v>
      </x:c>
    </x:row>
    <x:row r="791" ht="48" customHeight="1">
      <x:c r="A791" s="64" t="str">
        <x:v>T0790</x:v>
      </x:c>
      <x:c r="B791" s="28" t="str">
        <x:v>科学智能体与多智能体</x:v>
      </x:c>
      <x:c r="C791" s="28" t="str">
        <x:v>Agent规划、推理、工具使用与记忆</x:v>
      </x:c>
      <x:c r="D791" s="28" t="str">
        <x:v>反思、验证与测试时计算</x:v>
      </x:c>
      <x:c r="E791" s="28" t="str">
        <x:v>Agent认知架构</x:v>
      </x:c>
      <x:c r="F791" s="28" t="str">
        <x:v>验证器模型</x:v>
      </x:c>
      <x:c r="G791" s="28" t="str">
        <x:v>将“验证器模型”作为Agent从目标到动作的认知构件，要求状态可跟踪、工具调用可验证、失败可回退。</x:v>
      </x:c>
      <x:c r="H791" s="28" t="str">
        <x:v>计划是否可执行；关键动作前后是否验证；失败是否触发回溯而非盲重试？</x:v>
      </x:c>
      <x:c r="I791" s="28" t="str">
        <x:v>任务成功率；计划修订次数；工具选择准确率；回退成功率；每任务token/时延</x:v>
      </x:c>
      <x:c r="J791" s="64" t="str">
        <x:v>进阶能力</x:v>
      </x:c>
      <x:c r="K791" s="64" t="str">
        <x:v>P2</x:v>
      </x:c>
      <x:c r="L791" s="28" t="str">
        <x:v>S31; S32; S33; S39</x:v>
      </x:c>
      <x:c r="M791" s="28" t="str">
        <x:v>https://arxiv.org/abs/2302.04761</x:v>
      </x:c>
    </x:row>
    <x:row r="792" ht="48" customHeight="1">
      <x:c r="A792" s="64" t="str">
        <x:v>T0791</x:v>
      </x:c>
      <x:c r="B792" s="28" t="str">
        <x:v>科学智能体与多智能体</x:v>
      </x:c>
      <x:c r="C792" s="28" t="str">
        <x:v>Agent规划、推理、工具使用与记忆</x:v>
      </x:c>
      <x:c r="D792" s="28" t="str">
        <x:v>多层记忆与技能沉淀</x:v>
      </x:c>
      <x:c r="E792" s="28" t="str">
        <x:v>Agent认知架构</x:v>
      </x:c>
      <x:c r="F792" s="28" t="str">
        <x:v>多智能体辩论</x:v>
      </x:c>
      <x:c r="G792" s="28" t="str">
        <x:v>将“多智能体辩论”作为Agent从目标到动作的认知构件，要求状态可跟踪、工具调用可验证、失败可回退。</x:v>
      </x:c>
      <x:c r="H792" s="28" t="str">
        <x:v>计划是否可执行；关键动作前后是否验证；失败是否触发回溯而非盲重试？</x:v>
      </x:c>
      <x:c r="I792" s="28" t="str">
        <x:v>任务成功率；计划修订次数；工具选择准确率；回退成功率；每任务token/时延</x:v>
      </x:c>
      <x:c r="J792" s="64" t="str">
        <x:v>进阶能力</x:v>
      </x:c>
      <x:c r="K792" s="64" t="str">
        <x:v>P2</x:v>
      </x:c>
      <x:c r="L792" s="28" t="str">
        <x:v>S31; S32; S33; S39</x:v>
      </x:c>
      <x:c r="M792" s="28" t="str">
        <x:v>https://arxiv.org/abs/2303.11366</x:v>
      </x:c>
    </x:row>
    <x:row r="793" ht="48" customHeight="1">
      <x:c r="A793" s="64" t="str">
        <x:v>T0792</x:v>
      </x:c>
      <x:c r="B793" s="28" t="str">
        <x:v>科学智能体与多智能体</x:v>
      </x:c>
      <x:c r="C793" s="28" t="str">
        <x:v>Agent规划、推理、工具使用与记忆</x:v>
      </x:c>
      <x:c r="D793" s="28" t="str">
        <x:v>多层记忆与技能沉淀</x:v>
      </x:c>
      <x:c r="E793" s="28" t="str">
        <x:v>Agent认知架构</x:v>
      </x:c>
      <x:c r="F793" s="28" t="str">
        <x:v>验证链</x:v>
      </x:c>
      <x:c r="G793" s="28" t="str">
        <x:v>将“验证链”作为Agent从目标到动作的认知构件，要求状态可跟踪、工具调用可验证、失败可回退。</x:v>
      </x:c>
      <x:c r="H793" s="28" t="str">
        <x:v>计划是否可执行；关键动作前后是否验证；失败是否触发回溯而非盲重试？</x:v>
      </x:c>
      <x:c r="I793" s="28" t="str">
        <x:v>任务成功率；计划修订次数；工具选择准确率；回退成功率；每任务token/时延</x:v>
      </x:c>
      <x:c r="J793" s="64" t="str">
        <x:v>进阶能力</x:v>
      </x:c>
      <x:c r="K793" s="64" t="str">
        <x:v>P2</x:v>
      </x:c>
      <x:c r="L793" s="28" t="str">
        <x:v>S31; S32; S33; S39</x:v>
      </x:c>
      <x:c r="M793" s="28" t="str">
        <x:v>https://developers.openai.com/api/docs/guides/agents</x:v>
      </x:c>
    </x:row>
    <x:row r="794" ht="48" customHeight="1">
      <x:c r="A794" s="64" t="str">
        <x:v>T0793</x:v>
      </x:c>
      <x:c r="B794" s="28" t="str">
        <x:v>科学智能体与多智能体</x:v>
      </x:c>
      <x:c r="C794" s="28" t="str">
        <x:v>Agent规划、推理、工具使用与记忆</x:v>
      </x:c>
      <x:c r="D794" s="28" t="str">
        <x:v>多层记忆与技能沉淀</x:v>
      </x:c>
      <x:c r="E794" s="28" t="str">
        <x:v>Agent认知架构</x:v>
      </x:c>
      <x:c r="F794" s="28" t="str">
        <x:v>测试时计算</x:v>
      </x:c>
      <x:c r="G794" s="28" t="str">
        <x:v>将“测试时计算”作为Agent从目标到动作的认知构件，要求状态可跟踪、工具调用可验证、失败可回退。</x:v>
      </x:c>
      <x:c r="H794" s="28" t="str">
        <x:v>计划是否可执行；关键动作前后是否验证；失败是否触发回溯而非盲重试？</x:v>
      </x:c>
      <x:c r="I794" s="28" t="str">
        <x:v>任务成功率；计划修订次数；工具选择准确率；回退成功率；每任务token/时延</x:v>
      </x:c>
      <x:c r="J794" s="64" t="str">
        <x:v>进阶能力</x:v>
      </x:c>
      <x:c r="K794" s="64" t="str">
        <x:v>P2</x:v>
      </x:c>
      <x:c r="L794" s="28" t="str">
        <x:v>S31; S32; S33; S39</x:v>
      </x:c>
      <x:c r="M794" s="28" t="str">
        <x:v>https://openreview.net/forum?id=WE_vluYUL-X</x:v>
      </x:c>
    </x:row>
    <x:row r="795" ht="48" customHeight="1">
      <x:c r="A795" s="64" t="str">
        <x:v>T0794</x:v>
      </x:c>
      <x:c r="B795" s="28" t="str">
        <x:v>科学智能体与多智能体</x:v>
      </x:c>
      <x:c r="C795" s="28" t="str">
        <x:v>Agent规划、推理、工具使用与记忆</x:v>
      </x:c>
      <x:c r="D795" s="28" t="str">
        <x:v>多层记忆与技能沉淀</x:v>
      </x:c>
      <x:c r="E795" s="28" t="str">
        <x:v>Agent认知架构</x:v>
      </x:c>
      <x:c r="F795" s="28" t="str">
        <x:v>情景记忆</x:v>
      </x:c>
      <x:c r="G795" s="28" t="str">
        <x:v>将“情景记忆”作为Agent从目标到动作的认知构件，要求状态可跟踪、工具调用可验证、失败可回退。</x:v>
      </x:c>
      <x:c r="H795" s="28" t="str">
        <x:v>计划是否可执行；关键动作前后是否验证；失败是否触发回溯而非盲重试？</x:v>
      </x:c>
      <x:c r="I795" s="28" t="str">
        <x:v>任务成功率；计划修订次数；工具选择准确率；回退成功率；每任务token/时延</x:v>
      </x:c>
      <x:c r="J795" s="64" t="str">
        <x:v>进阶能力</x:v>
      </x:c>
      <x:c r="K795" s="64" t="str">
        <x:v>P2</x:v>
      </x:c>
      <x:c r="L795" s="28" t="str">
        <x:v>S31; S32; S33; S39</x:v>
      </x:c>
      <x:c r="M795" s="28" t="str">
        <x:v>https://arxiv.org/abs/2302.04761</x:v>
      </x:c>
    </x:row>
    <x:row r="796" ht="48" customHeight="1">
      <x:c r="A796" s="64" t="str">
        <x:v>T0795</x:v>
      </x:c>
      <x:c r="B796" s="28" t="str">
        <x:v>科学智能体与多智能体</x:v>
      </x:c>
      <x:c r="C796" s="28" t="str">
        <x:v>Agent规划、推理、工具使用与记忆</x:v>
      </x:c>
      <x:c r="D796" s="28" t="str">
        <x:v>多层记忆与技能沉淀</x:v>
      </x:c>
      <x:c r="E796" s="28" t="str">
        <x:v>Agent认知架构</x:v>
      </x:c>
      <x:c r="F796" s="28" t="str">
        <x:v>语义记忆</x:v>
      </x:c>
      <x:c r="G796" s="28" t="str">
        <x:v>将“语义记忆”作为Agent从目标到动作的认知构件，要求状态可跟踪、工具调用可验证、失败可回退。</x:v>
      </x:c>
      <x:c r="H796" s="28" t="str">
        <x:v>计划是否可执行；关键动作前后是否验证；失败是否触发回溯而非盲重试？</x:v>
      </x:c>
      <x:c r="I796" s="28" t="str">
        <x:v>任务成功率；计划修订次数；工具选择准确率；回退成功率；每任务token/时延</x:v>
      </x:c>
      <x:c r="J796" s="64" t="str">
        <x:v>进阶能力</x:v>
      </x:c>
      <x:c r="K796" s="64" t="str">
        <x:v>P2</x:v>
      </x:c>
      <x:c r="L796" s="28" t="str">
        <x:v>S31; S32; S33; S39</x:v>
      </x:c>
      <x:c r="M796" s="28" t="str">
        <x:v>https://arxiv.org/abs/2303.11366</x:v>
      </x:c>
    </x:row>
    <x:row r="797" ht="48" customHeight="1">
      <x:c r="A797" s="64" t="str">
        <x:v>T0796</x:v>
      </x:c>
      <x:c r="B797" s="28" t="str">
        <x:v>科学智能体与多智能体</x:v>
      </x:c>
      <x:c r="C797" s="28" t="str">
        <x:v>Agent规划、推理、工具使用与记忆</x:v>
      </x:c>
      <x:c r="D797" s="28" t="str">
        <x:v>多层记忆与技能沉淀</x:v>
      </x:c>
      <x:c r="E797" s="28" t="str">
        <x:v>Agent认知架构</x:v>
      </x:c>
      <x:c r="F797" s="28" t="str">
        <x:v>程序性记忆</x:v>
      </x:c>
      <x:c r="G797" s="28" t="str">
        <x:v>将“程序性记忆”作为Agent从目标到动作的认知构件，要求状态可跟踪、工具调用可验证、失败可回退。</x:v>
      </x:c>
      <x:c r="H797" s="28" t="str">
        <x:v>计划是否可执行；关键动作前后是否验证；失败是否触发回溯而非盲重试？</x:v>
      </x:c>
      <x:c r="I797" s="28" t="str">
        <x:v>任务成功率；计划修订次数；工具选择准确率；回退成功率；每任务token/时延</x:v>
      </x:c>
      <x:c r="J797" s="64" t="str">
        <x:v>进阶能力</x:v>
      </x:c>
      <x:c r="K797" s="64" t="str">
        <x:v>P2</x:v>
      </x:c>
      <x:c r="L797" s="28" t="str">
        <x:v>S31; S32; S33; S39</x:v>
      </x:c>
      <x:c r="M797" s="28" t="str">
        <x:v>https://developers.openai.com/api/docs/guides/agents</x:v>
      </x:c>
    </x:row>
    <x:row r="798" ht="48" customHeight="1">
      <x:c r="A798" s="64" t="str">
        <x:v>T0797</x:v>
      </x:c>
      <x:c r="B798" s="28" t="str">
        <x:v>科学智能体与多智能体</x:v>
      </x:c>
      <x:c r="C798" s="28" t="str">
        <x:v>Agent规划、推理、工具使用与记忆</x:v>
      </x:c>
      <x:c r="D798" s="28" t="str">
        <x:v>多层记忆与技能沉淀</x:v>
      </x:c>
      <x:c r="E798" s="28" t="str">
        <x:v>Agent认知架构</x:v>
      </x:c>
      <x:c r="F798" s="28" t="str">
        <x:v>工作记忆</x:v>
      </x:c>
      <x:c r="G798" s="28" t="str">
        <x:v>将“工作记忆”作为Agent从目标到动作的认知构件，要求状态可跟踪、工具调用可验证、失败可回退。</x:v>
      </x:c>
      <x:c r="H798" s="28" t="str">
        <x:v>计划是否可执行；关键动作前后是否验证；失败是否触发回溯而非盲重试？</x:v>
      </x:c>
      <x:c r="I798" s="28" t="str">
        <x:v>任务成功率；计划修订次数；工具选择准确率；回退成功率；每任务token/时延</x:v>
      </x:c>
      <x:c r="J798" s="64" t="str">
        <x:v>前沿能力</x:v>
      </x:c>
      <x:c r="K798" s="64" t="str">
        <x:v>P2</x:v>
      </x:c>
      <x:c r="L798" s="28" t="str">
        <x:v>S31; S32; S33; S39</x:v>
      </x:c>
      <x:c r="M798" s="28" t="str">
        <x:v>https://openreview.net/forum?id=WE_vluYUL-X</x:v>
      </x:c>
    </x:row>
    <x:row r="799" ht="48" customHeight="1">
      <x:c r="A799" s="64" t="str">
        <x:v>T0798</x:v>
      </x:c>
      <x:c r="B799" s="28" t="str">
        <x:v>科学智能体与多智能体</x:v>
      </x:c>
      <x:c r="C799" s="28" t="str">
        <x:v>Agent规划、推理、工具使用与记忆</x:v>
      </x:c>
      <x:c r="D799" s="28" t="str">
        <x:v>多层记忆与技能沉淀</x:v>
      </x:c>
      <x:c r="E799" s="28" t="str">
        <x:v>Agent认知架构</x:v>
      </x:c>
      <x:c r="F799" s="28" t="str">
        <x:v>记忆巩固</x:v>
      </x:c>
      <x:c r="G799" s="28" t="str">
        <x:v>将“记忆巩固”作为Agent从目标到动作的认知构件，要求状态可跟踪、工具调用可验证、失败可回退。</x:v>
      </x:c>
      <x:c r="H799" s="28" t="str">
        <x:v>计划是否可执行；关键动作前后是否验证；失败是否触发回溯而非盲重试？</x:v>
      </x:c>
      <x:c r="I799" s="28" t="str">
        <x:v>任务成功率；计划修订次数；工具选择准确率；回退成功率；每任务token/时延</x:v>
      </x:c>
      <x:c r="J799" s="64" t="str">
        <x:v>前沿能力</x:v>
      </x:c>
      <x:c r="K799" s="64" t="str">
        <x:v>P2</x:v>
      </x:c>
      <x:c r="L799" s="28" t="str">
        <x:v>S31; S32; S33; S39</x:v>
      </x:c>
      <x:c r="M799" s="28" t="str">
        <x:v>https://arxiv.org/abs/2302.04761</x:v>
      </x:c>
    </x:row>
    <x:row r="800" ht="48" customHeight="1">
      <x:c r="A800" s="64" t="str">
        <x:v>T0799</x:v>
      </x:c>
      <x:c r="B800" s="28" t="str">
        <x:v>科学智能体与多智能体</x:v>
      </x:c>
      <x:c r="C800" s="28" t="str">
        <x:v>Agent规划、推理、工具使用与记忆</x:v>
      </x:c>
      <x:c r="D800" s="28" t="str">
        <x:v>多层记忆与技能沉淀</x:v>
      </x:c>
      <x:c r="E800" s="28" t="str">
        <x:v>Agent认知架构</x:v>
      </x:c>
      <x:c r="F800" s="28" t="str">
        <x:v>经验回放</x:v>
      </x:c>
      <x:c r="G800" s="28" t="str">
        <x:v>将“经验回放”作为Agent从目标到动作的认知构件，要求状态可跟踪、工具调用可验证、失败可回退。</x:v>
      </x:c>
      <x:c r="H800" s="28" t="str">
        <x:v>计划是否可执行；关键动作前后是否验证；失败是否触发回溯而非盲重试？</x:v>
      </x:c>
      <x:c r="I800" s="28" t="str">
        <x:v>任务成功率；计划修订次数；工具选择准确率；回退成功率；每任务token/时延</x:v>
      </x:c>
      <x:c r="J800" s="64" t="str">
        <x:v>前沿能力</x:v>
      </x:c>
      <x:c r="K800" s="64" t="str">
        <x:v>P2</x:v>
      </x:c>
      <x:c r="L800" s="28" t="str">
        <x:v>S31; S32; S33; S39</x:v>
      </x:c>
      <x:c r="M800" s="28" t="str">
        <x:v>https://arxiv.org/abs/2303.11366</x:v>
      </x:c>
    </x:row>
    <x:row r="801" ht="48" customHeight="1">
      <x:c r="A801" s="64" t="str">
        <x:v>T0800</x:v>
      </x:c>
      <x:c r="B801" s="28" t="str">
        <x:v>科学智能体与多智能体</x:v>
      </x:c>
      <x:c r="C801" s="28" t="str">
        <x:v>Agent规划、推理、工具使用与记忆</x:v>
      </x:c>
      <x:c r="D801" s="28" t="str">
        <x:v>多层记忆与技能沉淀</x:v>
      </x:c>
      <x:c r="E801" s="28" t="str">
        <x:v>Agent认知架构</x:v>
      </x:c>
      <x:c r="F801" s="28" t="str">
        <x:v>技能库</x:v>
      </x:c>
      <x:c r="G801" s="28" t="str">
        <x:v>将“技能库”作为Agent从目标到动作的认知构件，要求状态可跟踪、工具调用可验证、失败可回退。</x:v>
      </x:c>
      <x:c r="H801" s="28" t="str">
        <x:v>计划是否可执行；关键动作前后是否验证；失败是否触发回溯而非盲重试？</x:v>
      </x:c>
      <x:c r="I801" s="28" t="str">
        <x:v>任务成功率；计划修订次数；工具选择准确率；回退成功率；每任务token/时延</x:v>
      </x:c>
      <x:c r="J801" s="64" t="str">
        <x:v>前沿能力</x:v>
      </x:c>
      <x:c r="K801" s="64" t="str">
        <x:v>P2</x:v>
      </x:c>
      <x:c r="L801" s="28" t="str">
        <x:v>S31; S32; S33; S39</x:v>
      </x:c>
      <x:c r="M801" s="28" t="str">
        <x:v>https://developers.openai.com/api/docs/guides/agents</x:v>
      </x:c>
    </x:row>
    <x:row r="802" ht="48" customHeight="1">
      <x:c r="A802" s="64" t="str">
        <x:v>T0801</x:v>
      </x:c>
      <x:c r="B802" s="28" t="str">
        <x:v>科学智能体与多智能体</x:v>
      </x:c>
      <x:c r="C802" s="28" t="str">
        <x:v>多智能体与人机协同</x:v>
      </x:c>
      <x:c r="D802" s="28" t="str">
        <x:v>角色化智能体</x:v>
      </x:c>
      <x:c r="E802" s="28" t="str">
        <x:v>多智能体与协作</x:v>
      </x:c>
      <x:c r="F802" s="28" t="str">
        <x:v>监督者—执行者</x:v>
      </x:c>
      <x:c r="G802" s="28" t="str">
        <x:v>用“监督者—执行者”组织不同角色、权限与能力的智能体协作，并控制通信、冲突、信任、审批和故障转移。</x:v>
      </x:c>
      <x:c r="H802" s="28" t="str">
        <x:v>角色边界、共享状态、冲突解决、审批与责任归属是否明确？</x:v>
      </x:c>
      <x:c r="I802" s="28" t="str">
        <x:v>协作任务成功率；消息轮次；冲突率；审批延迟；故障转移时间；责任可追溯率</x:v>
      </x:c>
      <x:c r="J802" s="64" t="str">
        <x:v>基础能力</x:v>
      </x:c>
      <x:c r="K802" s="64" t="str">
        <x:v>P0</x:v>
      </x:c>
      <x:c r="L802" s="28" t="str">
        <x:v>S38; S54; S65</x:v>
      </x:c>
      <x:c r="M802" s="28" t="str">
        <x:v>https://a2aproject.github.io/A2A/latest/</x:v>
      </x:c>
    </x:row>
    <x:row r="803" ht="48" customHeight="1">
      <x:c r="A803" s="64" t="str">
        <x:v>T0802</x:v>
      </x:c>
      <x:c r="B803" s="28" t="str">
        <x:v>科学智能体与多智能体</x:v>
      </x:c>
      <x:c r="C803" s="28" t="str">
        <x:v>多智能体与人机协同</x:v>
      </x:c>
      <x:c r="D803" s="28" t="str">
        <x:v>角色化智能体</x:v>
      </x:c>
      <x:c r="E803" s="28" t="str">
        <x:v>多智能体与协作</x:v>
      </x:c>
      <x:c r="F803" s="28" t="str">
        <x:v>专家智能体</x:v>
      </x:c>
      <x:c r="G803" s="28" t="str">
        <x:v>用“专家智能体”组织不同角色、权限与能力的智能体协作，并控制通信、冲突、信任、审批和故障转移。</x:v>
      </x:c>
      <x:c r="H803" s="28" t="str">
        <x:v>角色边界、共享状态、冲突解决、审批与责任归属是否明确？</x:v>
      </x:c>
      <x:c r="I803" s="28" t="str">
        <x:v>协作任务成功率；消息轮次；冲突率；审批延迟；故障转移时间；责任可追溯率</x:v>
      </x:c>
      <x:c r="J803" s="64" t="str">
        <x:v>基础能力</x:v>
      </x:c>
      <x:c r="K803" s="64" t="str">
        <x:v>P0</x:v>
      </x:c>
      <x:c r="L803" s="28" t="str">
        <x:v>S38; S54; S65</x:v>
      </x:c>
      <x:c r="M803" s="28" t="str">
        <x:v>https://pubs.acs.org/doi/10.1021/jacs.4c17738</x:v>
      </x:c>
    </x:row>
    <x:row r="804" ht="48" customHeight="1">
      <x:c r="A804" s="64" t="str">
        <x:v>T0803</x:v>
      </x:c>
      <x:c r="B804" s="28" t="str">
        <x:v>科学智能体与多智能体</x:v>
      </x:c>
      <x:c r="C804" s="28" t="str">
        <x:v>多智能体与人机协同</x:v>
      </x:c>
      <x:c r="D804" s="28" t="str">
        <x:v>角色化智能体</x:v>
      </x:c>
      <x:c r="E804" s="28" t="str">
        <x:v>多智能体与协作</x:v>
      </x:c>
      <x:c r="F804" s="28" t="str">
        <x:v>规划者—执行者</x:v>
      </x:c>
      <x:c r="G804" s="28" t="str">
        <x:v>用“规划者—执行者”组织不同角色、权限与能力的智能体协作，并控制通信、冲突、信任、审批和故障转移。</x:v>
      </x:c>
      <x:c r="H804" s="28" t="str">
        <x:v>角色边界、共享状态、冲突解决、审批与责任归属是否明确？</x:v>
      </x:c>
      <x:c r="I804" s="28" t="str">
        <x:v>协作任务成功率；消息轮次；冲突率；审批延迟；故障转移时间；责任可追溯率</x:v>
      </x:c>
      <x:c r="J804" s="64" t="str">
        <x:v>基础能力</x:v>
      </x:c>
      <x:c r="K804" s="64" t="str">
        <x:v>P0</x:v>
      </x:c>
      <x:c r="L804" s="28" t="str">
        <x:v>S38; S54; S65</x:v>
      </x:c>
      <x:c r="M804" s="28" t="str">
        <x:v>https://www.nature.com/articles/s41467-025-64105-7</x:v>
      </x:c>
    </x:row>
    <x:row r="805" ht="48" customHeight="1">
      <x:c r="A805" s="64" t="str">
        <x:v>T0804</x:v>
      </x:c>
      <x:c r="B805" s="28" t="str">
        <x:v>科学智能体与多智能体</x:v>
      </x:c>
      <x:c r="C805" s="28" t="str">
        <x:v>多智能体与人机协同</x:v>
      </x:c>
      <x:c r="D805" s="28" t="str">
        <x:v>角色化智能体</x:v>
      </x:c>
      <x:c r="E805" s="28" t="str">
        <x:v>多智能体与协作</x:v>
      </x:c>
      <x:c r="F805" s="28" t="str">
        <x:v>研究者—实验者</x:v>
      </x:c>
      <x:c r="G805" s="28" t="str">
        <x:v>用“研究者—实验者”组织不同角色、权限与能力的智能体协作，并控制通信、冲突、信任、审批和故障转移。</x:v>
      </x:c>
      <x:c r="H805" s="28" t="str">
        <x:v>角色边界、共享状态、冲突解决、审批与责任归属是否明确？</x:v>
      </x:c>
      <x:c r="I805" s="28" t="str">
        <x:v>协作任务成功率；消息轮次；冲突率；审批延迟；故障转移时间；责任可追溯率</x:v>
      </x:c>
      <x:c r="J805" s="64" t="str">
        <x:v>基础能力</x:v>
      </x:c>
      <x:c r="K805" s="64" t="str">
        <x:v>P0</x:v>
      </x:c>
      <x:c r="L805" s="28" t="str">
        <x:v>S38; S54; S65</x:v>
      </x:c>
      <x:c r="M805" s="28" t="str">
        <x:v>https://a2aproject.github.io/A2A/latest/</x:v>
      </x:c>
    </x:row>
    <x:row r="806" ht="48" customHeight="1">
      <x:c r="A806" s="64" t="str">
        <x:v>T0805</x:v>
      </x:c>
      <x:c r="B806" s="28" t="str">
        <x:v>科学智能体与多智能体</x:v>
      </x:c>
      <x:c r="C806" s="28" t="str">
        <x:v>多智能体与人机协同</x:v>
      </x:c>
      <x:c r="D806" s="28" t="str">
        <x:v>角色化智能体</x:v>
      </x:c>
      <x:c r="E806" s="28" t="str">
        <x:v>多智能体与协作</x:v>
      </x:c>
      <x:c r="F806" s="28" t="str">
        <x:v>批评者智能体</x:v>
      </x:c>
      <x:c r="G806" s="28" t="str">
        <x:v>用“批评者智能体”组织不同角色、权限与能力的智能体协作，并控制通信、冲突、信任、审批和故障转移。</x:v>
      </x:c>
      <x:c r="H806" s="28" t="str">
        <x:v>角色边界、共享状态、冲突解决、审批与责任归属是否明确？</x:v>
      </x:c>
      <x:c r="I806" s="28" t="str">
        <x:v>协作任务成功率；消息轮次；冲突率；审批延迟；故障转移时间；责任可追溯率</x:v>
      </x:c>
      <x:c r="J806" s="64" t="str">
        <x:v>基础能力</x:v>
      </x:c>
      <x:c r="K806" s="64" t="str">
        <x:v>P0</x:v>
      </x:c>
      <x:c r="L806" s="28" t="str">
        <x:v>S38; S54; S65</x:v>
      </x:c>
      <x:c r="M806" s="28" t="str">
        <x:v>https://pubs.acs.org/doi/10.1021/jacs.4c17738</x:v>
      </x:c>
    </x:row>
    <x:row r="807" ht="48" customHeight="1">
      <x:c r="A807" s="64" t="str">
        <x:v>T0806</x:v>
      </x:c>
      <x:c r="B807" s="28" t="str">
        <x:v>科学智能体与多智能体</x:v>
      </x:c>
      <x:c r="C807" s="28" t="str">
        <x:v>多智能体与人机协同</x:v>
      </x:c>
      <x:c r="D807" s="28" t="str">
        <x:v>角色化智能体</x:v>
      </x:c>
      <x:c r="E807" s="28" t="str">
        <x:v>多智能体与协作</x:v>
      </x:c>
      <x:c r="F807" s="28" t="str">
        <x:v>验证者智能体</x:v>
      </x:c>
      <x:c r="G807" s="28" t="str">
        <x:v>用“验证者智能体”组织不同角色、权限与能力的智能体协作，并控制通信、冲突、信任、审批和故障转移。</x:v>
      </x:c>
      <x:c r="H807" s="28" t="str">
        <x:v>角色边界、共享状态、冲突解决、审批与责任归属是否明确？</x:v>
      </x:c>
      <x:c r="I807" s="28" t="str">
        <x:v>协作任务成功率；消息轮次；冲突率；审批延迟；故障转移时间；责任可追溯率</x:v>
      </x:c>
      <x:c r="J807" s="64" t="str">
        <x:v>基础能力</x:v>
      </x:c>
      <x:c r="K807" s="64" t="str">
        <x:v>P0</x:v>
      </x:c>
      <x:c r="L807" s="28" t="str">
        <x:v>S38; S54; S65</x:v>
      </x:c>
      <x:c r="M807" s="28" t="str">
        <x:v>https://www.nature.com/articles/s41467-025-64105-7</x:v>
      </x:c>
    </x:row>
    <x:row r="808" ht="48" customHeight="1">
      <x:c r="A808" s="64" t="str">
        <x:v>T0807</x:v>
      </x:c>
      <x:c r="B808" s="28" t="str">
        <x:v>科学智能体与多智能体</x:v>
      </x:c>
      <x:c r="C808" s="28" t="str">
        <x:v>多智能体与人机协同</x:v>
      </x:c>
      <x:c r="D808" s="28" t="str">
        <x:v>角色化智能体</x:v>
      </x:c>
      <x:c r="E808" s="28" t="str">
        <x:v>多智能体与协作</x:v>
      </x:c>
      <x:c r="F808" s="28" t="str">
        <x:v>安全智能体</x:v>
      </x:c>
      <x:c r="G808" s="28" t="str">
        <x:v>用“安全智能体”组织不同角色、权限与能力的智能体协作，并控制通信、冲突、信任、审批和故障转移。</x:v>
      </x:c>
      <x:c r="H808" s="28" t="str">
        <x:v>角色边界、共享状态、冲突解决、审批与责任归属是否明确？</x:v>
      </x:c>
      <x:c r="I808" s="28" t="str">
        <x:v>协作任务成功率；消息轮次；冲突率；审批延迟；故障转移时间；责任可追溯率</x:v>
      </x:c>
      <x:c r="J808" s="64" t="str">
        <x:v>基础能力</x:v>
      </x:c>
      <x:c r="K808" s="64" t="str">
        <x:v>P0</x:v>
      </x:c>
      <x:c r="L808" s="28" t="str">
        <x:v>S38; S54; S65</x:v>
      </x:c>
      <x:c r="M808" s="28" t="str">
        <x:v>https://a2aproject.github.io/A2A/latest/</x:v>
      </x:c>
    </x:row>
    <x:row r="809" ht="48" customHeight="1">
      <x:c r="A809" s="64" t="str">
        <x:v>T0808</x:v>
      </x:c>
      <x:c r="B809" s="28" t="str">
        <x:v>科学智能体与多智能体</x:v>
      </x:c>
      <x:c r="C809" s="28" t="str">
        <x:v>多智能体与人机协同</x:v>
      </x:c>
      <x:c r="D809" s="28" t="str">
        <x:v>角色化智能体</x:v>
      </x:c>
      <x:c r="E809" s="28" t="str">
        <x:v>多智能体与协作</x:v>
      </x:c>
      <x:c r="F809" s="28" t="str">
        <x:v>数据管家智能体</x:v>
      </x:c>
      <x:c r="G809" s="28" t="str">
        <x:v>用“数据管家智能体”组织不同角色、权限与能力的智能体协作，并控制通信、冲突、信任、审批和故障转移。</x:v>
      </x:c>
      <x:c r="H809" s="28" t="str">
        <x:v>角色边界、共享状态、冲突解决、审批与责任归属是否明确？</x:v>
      </x:c>
      <x:c r="I809" s="28" t="str">
        <x:v>协作任务成功率；消息轮次；冲突率；审批延迟；故障转移时间；责任可追溯率</x:v>
      </x:c>
      <x:c r="J809" s="64" t="str">
        <x:v>基础能力</x:v>
      </x:c>
      <x:c r="K809" s="64" t="str">
        <x:v>P0</x:v>
      </x:c>
      <x:c r="L809" s="28" t="str">
        <x:v>S38; S54; S65</x:v>
      </x:c>
      <x:c r="M809" s="28" t="str">
        <x:v>https://pubs.acs.org/doi/10.1021/jacs.4c17738</x:v>
      </x:c>
    </x:row>
    <x:row r="810" ht="48" customHeight="1">
      <x:c r="A810" s="64" t="str">
        <x:v>T0809</x:v>
      </x:c>
      <x:c r="B810" s="28" t="str">
        <x:v>科学智能体与多智能体</x:v>
      </x:c>
      <x:c r="C810" s="28" t="str">
        <x:v>多智能体与人机协同</x:v>
      </x:c>
      <x:c r="D810" s="28" t="str">
        <x:v>角色化智能体</x:v>
      </x:c>
      <x:c r="E810" s="28" t="str">
        <x:v>多智能体与协作</x:v>
      </x:c>
      <x:c r="F810" s="28" t="str">
        <x:v>调度智能体</x:v>
      </x:c>
      <x:c r="G810" s="28" t="str">
        <x:v>用“调度智能体”组织不同角色、权限与能力的智能体协作，并控制通信、冲突、信任、审批和故障转移。</x:v>
      </x:c>
      <x:c r="H810" s="28" t="str">
        <x:v>角色边界、共享状态、冲突解决、审批与责任归属是否明确？</x:v>
      </x:c>
      <x:c r="I810" s="28" t="str">
        <x:v>协作任务成功率；消息轮次；冲突率；审批延迟；故障转移时间；责任可追溯率</x:v>
      </x:c>
      <x:c r="J810" s="64" t="str">
        <x:v>基础能力</x:v>
      </x:c>
      <x:c r="K810" s="64" t="str">
        <x:v>P0</x:v>
      </x:c>
      <x:c r="L810" s="28" t="str">
        <x:v>S38; S54; S65</x:v>
      </x:c>
      <x:c r="M810" s="28" t="str">
        <x:v>https://www.nature.com/articles/s41467-025-64105-7</x:v>
      </x:c>
    </x:row>
    <x:row r="811" ht="48" customHeight="1">
      <x:c r="A811" s="64" t="str">
        <x:v>T0810</x:v>
      </x:c>
      <x:c r="B811" s="28" t="str">
        <x:v>科学智能体与多智能体</x:v>
      </x:c>
      <x:c r="C811" s="28" t="str">
        <x:v>多智能体与人机协同</x:v>
      </x:c>
      <x:c r="D811" s="28" t="str">
        <x:v>角色化智能体</x:v>
      </x:c>
      <x:c r="E811" s="28" t="str">
        <x:v>多智能体与协作</x:v>
      </x:c>
      <x:c r="F811" s="28" t="str">
        <x:v>机器人智能体</x:v>
      </x:c>
      <x:c r="G811" s="28" t="str">
        <x:v>用“机器人智能体”组织不同角色、权限与能力的智能体协作，并控制通信、冲突、信任、审批和故障转移。</x:v>
      </x:c>
      <x:c r="H811" s="28" t="str">
        <x:v>角色边界、共享状态、冲突解决、审批与责任归属是否明确？</x:v>
      </x:c>
      <x:c r="I811" s="28" t="str">
        <x:v>协作任务成功率；消息轮次；冲突率；审批延迟；故障转移时间；责任可追溯率</x:v>
      </x:c>
      <x:c r="J811" s="64" t="str">
        <x:v>基础能力</x:v>
      </x:c>
      <x:c r="K811" s="64" t="str">
        <x:v>P0</x:v>
      </x:c>
      <x:c r="L811" s="28" t="str">
        <x:v>S38; S54; S65</x:v>
      </x:c>
      <x:c r="M811" s="28" t="str">
        <x:v>https://a2aproject.github.io/A2A/latest/</x:v>
      </x:c>
    </x:row>
    <x:row r="812" ht="48" customHeight="1">
      <x:c r="A812" s="64" t="str">
        <x:v>T0811</x:v>
      </x:c>
      <x:c r="B812" s="28" t="str">
        <x:v>科学智能体与多智能体</x:v>
      </x:c>
      <x:c r="C812" s="28" t="str">
        <x:v>多智能体与人机协同</x:v>
      </x:c>
      <x:c r="D812" s="28" t="str">
        <x:v>发现、委派与通信</x:v>
      </x:c>
      <x:c r="E812" s="28" t="str">
        <x:v>多智能体与协作</x:v>
      </x:c>
      <x:c r="F812" s="28" t="str">
        <x:v>仪器智能体</x:v>
      </x:c>
      <x:c r="G812" s="28" t="str">
        <x:v>用“仪器智能体”组织不同角色、权限与能力的智能体协作，并控制通信、冲突、信任、审批和故障转移。</x:v>
      </x:c>
      <x:c r="H812" s="28" t="str">
        <x:v>角色边界、共享状态、冲突解决、审批与责任归属是否明确？</x:v>
      </x:c>
      <x:c r="I812" s="28" t="str">
        <x:v>协作任务成功率；消息轮次；冲突率；审批延迟；故障转移时间；责任可追溯率</x:v>
      </x:c>
      <x:c r="J812" s="64" t="str">
        <x:v>基础能力</x:v>
      </x:c>
      <x:c r="K812" s="64" t="str">
        <x:v>P1</x:v>
      </x:c>
      <x:c r="L812" s="28" t="str">
        <x:v>S38; S54; S65</x:v>
      </x:c>
      <x:c r="M812" s="28" t="str">
        <x:v>https://pubs.acs.org/doi/10.1021/jacs.4c17738</x:v>
      </x:c>
    </x:row>
    <x:row r="813" ht="48" customHeight="1">
      <x:c r="A813" s="64" t="str">
        <x:v>T0812</x:v>
      </x:c>
      <x:c r="B813" s="28" t="str">
        <x:v>科学智能体与多智能体</x:v>
      </x:c>
      <x:c r="C813" s="28" t="str">
        <x:v>多智能体与人机协同</x:v>
      </x:c>
      <x:c r="D813" s="28" t="str">
        <x:v>发现、委派与通信</x:v>
      </x:c>
      <x:c r="E813" s="28" t="str">
        <x:v>多智能体与协作</x:v>
      </x:c>
      <x:c r="F813" s="28" t="str">
        <x:v>智能体能力卡</x:v>
      </x:c>
      <x:c r="G813" s="28" t="str">
        <x:v>用“智能体能力卡”组织不同角色、权限与能力的智能体协作，并控制通信、冲突、信任、审批和故障转移。</x:v>
      </x:c>
      <x:c r="H813" s="28" t="str">
        <x:v>角色边界、共享状态、冲突解决、审批与责任归属是否明确？</x:v>
      </x:c>
      <x:c r="I813" s="28" t="str">
        <x:v>协作任务成功率；消息轮次；冲突率；审批延迟；故障转移时间；责任可追溯率</x:v>
      </x:c>
      <x:c r="J813" s="64" t="str">
        <x:v>基础能力</x:v>
      </x:c>
      <x:c r="K813" s="64" t="str">
        <x:v>P1</x:v>
      </x:c>
      <x:c r="L813" s="28" t="str">
        <x:v>S38; S54; S65</x:v>
      </x:c>
      <x:c r="M813" s="28" t="str">
        <x:v>https://www.nature.com/articles/s41467-025-64105-7</x:v>
      </x:c>
    </x:row>
    <x:row r="814" ht="48" customHeight="1">
      <x:c r="A814" s="64" t="str">
        <x:v>T0813</x:v>
      </x:c>
      <x:c r="B814" s="28" t="str">
        <x:v>科学智能体与多智能体</x:v>
      </x:c>
      <x:c r="C814" s="28" t="str">
        <x:v>多智能体与人机协同</x:v>
      </x:c>
      <x:c r="D814" s="28" t="str">
        <x:v>发现、委派与通信</x:v>
      </x:c>
      <x:c r="E814" s="28" t="str">
        <x:v>多智能体与协作</x:v>
      </x:c>
      <x:c r="F814" s="28" t="str">
        <x:v>智能体发现</x:v>
      </x:c>
      <x:c r="G814" s="28" t="str">
        <x:v>用“智能体发现”组织不同角色、权限与能力的智能体协作，并控制通信、冲突、信任、审批和故障转移。</x:v>
      </x:c>
      <x:c r="H814" s="28" t="str">
        <x:v>角色边界、共享状态、冲突解决、审批与责任归属是否明确？</x:v>
      </x:c>
      <x:c r="I814" s="28" t="str">
        <x:v>协作任务成功率；消息轮次；冲突率；审批延迟；故障转移时间；责任可追溯率</x:v>
      </x:c>
      <x:c r="J814" s="64" t="str">
        <x:v>工程化关键</x:v>
      </x:c>
      <x:c r="K814" s="64" t="str">
        <x:v>P1</x:v>
      </x:c>
      <x:c r="L814" s="28" t="str">
        <x:v>S38; S54; S65</x:v>
      </x:c>
      <x:c r="M814" s="28" t="str">
        <x:v>https://a2aproject.github.io/A2A/latest/</x:v>
      </x:c>
    </x:row>
    <x:row r="815" ht="48" customHeight="1">
      <x:c r="A815" s="64" t="str">
        <x:v>T0814</x:v>
      </x:c>
      <x:c r="B815" s="28" t="str">
        <x:v>科学智能体与多智能体</x:v>
      </x:c>
      <x:c r="C815" s="28" t="str">
        <x:v>多智能体与人机协同</x:v>
      </x:c>
      <x:c r="D815" s="28" t="str">
        <x:v>发现、委派与通信</x:v>
      </x:c>
      <x:c r="E815" s="28" t="str">
        <x:v>多智能体与协作</x:v>
      </x:c>
      <x:c r="F815" s="28" t="str">
        <x:v>委派</x:v>
      </x:c>
      <x:c r="G815" s="28" t="str">
        <x:v>用“委派”组织不同角色、权限与能力的智能体协作，并控制通信、冲突、信任、审批和故障转移。</x:v>
      </x:c>
      <x:c r="H815" s="28" t="str">
        <x:v>角色边界、共享状态、冲突解决、审批与责任归属是否明确？</x:v>
      </x:c>
      <x:c r="I815" s="28" t="str">
        <x:v>协作任务成功率；消息轮次；冲突率；审批延迟；故障转移时间；责任可追溯率</x:v>
      </x:c>
      <x:c r="J815" s="64" t="str">
        <x:v>工程化关键</x:v>
      </x:c>
      <x:c r="K815" s="64" t="str">
        <x:v>P1</x:v>
      </x:c>
      <x:c r="L815" s="28" t="str">
        <x:v>S38; S54; S65</x:v>
      </x:c>
      <x:c r="M815" s="28" t="str">
        <x:v>https://pubs.acs.org/doi/10.1021/jacs.4c17738</x:v>
      </x:c>
    </x:row>
    <x:row r="816" ht="48" customHeight="1">
      <x:c r="A816" s="64" t="str">
        <x:v>T0815</x:v>
      </x:c>
      <x:c r="B816" s="28" t="str">
        <x:v>科学智能体与多智能体</x:v>
      </x:c>
      <x:c r="C816" s="28" t="str">
        <x:v>多智能体与人机协同</x:v>
      </x:c>
      <x:c r="D816" s="28" t="str">
        <x:v>发现、委派与通信</x:v>
      </x:c>
      <x:c r="E816" s="28" t="str">
        <x:v>多智能体与协作</x:v>
      </x:c>
      <x:c r="F816" s="28" t="str">
        <x:v>合同网协议</x:v>
      </x:c>
      <x:c r="G816" s="28" t="str">
        <x:v>用“合同网协议”组织不同角色、权限与能力的智能体协作，并控制通信、冲突、信任、审批和故障转移。</x:v>
      </x:c>
      <x:c r="H816" s="28" t="str">
        <x:v>角色边界、共享状态、冲突解决、审批与责任归属是否明确？</x:v>
      </x:c>
      <x:c r="I816" s="28" t="str">
        <x:v>协作任务成功率；消息轮次；冲突率；审批延迟；故障转移时间；责任可追溯率</x:v>
      </x:c>
      <x:c r="J816" s="64" t="str">
        <x:v>工程化关键</x:v>
      </x:c>
      <x:c r="K816" s="64" t="str">
        <x:v>P1</x:v>
      </x:c>
      <x:c r="L816" s="28" t="str">
        <x:v>S38; S54; S65</x:v>
      </x:c>
      <x:c r="M816" s="28" t="str">
        <x:v>https://www.nature.com/articles/s41467-025-64105-7</x:v>
      </x:c>
    </x:row>
    <x:row r="817" ht="48" customHeight="1">
      <x:c r="A817" s="64" t="str">
        <x:v>T0816</x:v>
      </x:c>
      <x:c r="B817" s="28" t="str">
        <x:v>科学智能体与多智能体</x:v>
      </x:c>
      <x:c r="C817" s="28" t="str">
        <x:v>多智能体与人机协同</x:v>
      </x:c>
      <x:c r="D817" s="28" t="str">
        <x:v>发现、委派与通信</x:v>
      </x:c>
      <x:c r="E817" s="28" t="str">
        <x:v>多智能体与协作</x:v>
      </x:c>
      <x:c r="F817" s="28" t="str">
        <x:v>共享黑板</x:v>
      </x:c>
      <x:c r="G817" s="28" t="str">
        <x:v>用“共享黑板”组织不同角色、权限与能力的智能体协作，并控制通信、冲突、信任、审批和故障转移。</x:v>
      </x:c>
      <x:c r="H817" s="28" t="str">
        <x:v>角色边界、共享状态、冲突解决、审批与责任归属是否明确？</x:v>
      </x:c>
      <x:c r="I817" s="28" t="str">
        <x:v>协作任务成功率；消息轮次；冲突率；审批延迟；故障转移时间；责任可追溯率</x:v>
      </x:c>
      <x:c r="J817" s="64" t="str">
        <x:v>工程化关键</x:v>
      </x:c>
      <x:c r="K817" s="64" t="str">
        <x:v>P1</x:v>
      </x:c>
      <x:c r="L817" s="28" t="str">
        <x:v>S38; S54; S65</x:v>
      </x:c>
      <x:c r="M817" s="28" t="str">
        <x:v>https://a2aproject.github.io/A2A/latest/</x:v>
      </x:c>
    </x:row>
    <x:row r="818" ht="48" customHeight="1">
      <x:c r="A818" s="64" t="str">
        <x:v>T0817</x:v>
      </x:c>
      <x:c r="B818" s="28" t="str">
        <x:v>科学智能体与多智能体</x:v>
      </x:c>
      <x:c r="C818" s="28" t="str">
        <x:v>多智能体与人机协同</x:v>
      </x:c>
      <x:c r="D818" s="28" t="str">
        <x:v>发现、委派与通信</x:v>
      </x:c>
      <x:c r="E818" s="28" t="str">
        <x:v>多智能体与协作</x:v>
      </x:c>
      <x:c r="F818" s="28" t="str">
        <x:v>共享记忆</x:v>
      </x:c>
      <x:c r="G818" s="28" t="str">
        <x:v>用“共享记忆”组织不同角色、权限与能力的智能体协作，并控制通信、冲突、信任、审批和故障转移。</x:v>
      </x:c>
      <x:c r="H818" s="28" t="str">
        <x:v>角色边界、共享状态、冲突解决、审批与责任归属是否明确？</x:v>
      </x:c>
      <x:c r="I818" s="28" t="str">
        <x:v>协作任务成功率；消息轮次；冲突率；审批延迟；故障转移时间；责任可追溯率</x:v>
      </x:c>
      <x:c r="J818" s="64" t="str">
        <x:v>工程化关键</x:v>
      </x:c>
      <x:c r="K818" s="64" t="str">
        <x:v>P1</x:v>
      </x:c>
      <x:c r="L818" s="28" t="str">
        <x:v>S38; S54; S65</x:v>
      </x:c>
      <x:c r="M818" s="28" t="str">
        <x:v>https://pubs.acs.org/doi/10.1021/jacs.4c17738</x:v>
      </x:c>
    </x:row>
    <x:row r="819" ht="48" customHeight="1">
      <x:c r="A819" s="64" t="str">
        <x:v>T0818</x:v>
      </x:c>
      <x:c r="B819" s="28" t="str">
        <x:v>科学智能体与多智能体</x:v>
      </x:c>
      <x:c r="C819" s="28" t="str">
        <x:v>多智能体与人机协同</x:v>
      </x:c>
      <x:c r="D819" s="28" t="str">
        <x:v>发现、委派与通信</x:v>
      </x:c>
      <x:c r="E819" s="28" t="str">
        <x:v>多智能体与协作</x:v>
      </x:c>
      <x:c r="F819" s="28" t="str">
        <x:v>消息协议</x:v>
      </x:c>
      <x:c r="G819" s="28" t="str">
        <x:v>用“消息协议”组织不同角色、权限与能力的智能体协作，并控制通信、冲突、信任、审批和故障转移。</x:v>
      </x:c>
      <x:c r="H819" s="28" t="str">
        <x:v>角色边界、共享状态、冲突解决、审批与责任归属是否明确？</x:v>
      </x:c>
      <x:c r="I819" s="28" t="str">
        <x:v>协作任务成功率；消息轮次；冲突率；审批延迟；故障转移时间；责任可追溯率</x:v>
      </x:c>
      <x:c r="J819" s="64" t="str">
        <x:v>工程化关键</x:v>
      </x:c>
      <x:c r="K819" s="64" t="str">
        <x:v>P1</x:v>
      </x:c>
      <x:c r="L819" s="28" t="str">
        <x:v>S38; S54; S65</x:v>
      </x:c>
      <x:c r="M819" s="28" t="str">
        <x:v>https://www.nature.com/articles/s41467-025-64105-7</x:v>
      </x:c>
    </x:row>
    <x:row r="820" ht="48" customHeight="1">
      <x:c r="A820" s="64" t="str">
        <x:v>T0819</x:v>
      </x:c>
      <x:c r="B820" s="28" t="str">
        <x:v>科学智能体与多智能体</x:v>
      </x:c>
      <x:c r="C820" s="28" t="str">
        <x:v>多智能体与人机协同</x:v>
      </x:c>
      <x:c r="D820" s="28" t="str">
        <x:v>发现、委派与通信</x:v>
      </x:c>
      <x:c r="E820" s="28" t="str">
        <x:v>多智能体与协作</x:v>
      </x:c>
      <x:c r="F820" s="28" t="str">
        <x:v>共识</x:v>
      </x:c>
      <x:c r="G820" s="28" t="str">
        <x:v>用“共识”组织不同角色、权限与能力的智能体协作，并控制通信、冲突、信任、审批和故障转移。</x:v>
      </x:c>
      <x:c r="H820" s="28" t="str">
        <x:v>角色边界、共享状态、冲突解决、审批与责任归属是否明确？</x:v>
      </x:c>
      <x:c r="I820" s="28" t="str">
        <x:v>协作任务成功率；消息轮次；冲突率；审批延迟；故障转移时间；责任可追溯率</x:v>
      </x:c>
      <x:c r="J820" s="64" t="str">
        <x:v>工程化关键</x:v>
      </x:c>
      <x:c r="K820" s="64" t="str">
        <x:v>P1</x:v>
      </x:c>
      <x:c r="L820" s="28" t="str">
        <x:v>S38; S54; S65</x:v>
      </x:c>
      <x:c r="M820" s="28" t="str">
        <x:v>https://a2aproject.github.io/A2A/latest/</x:v>
      </x:c>
    </x:row>
    <x:row r="821" ht="48" customHeight="1">
      <x:c r="A821" s="64" t="str">
        <x:v>T0820</x:v>
      </x:c>
      <x:c r="B821" s="28" t="str">
        <x:v>科学智能体与多智能体</x:v>
      </x:c>
      <x:c r="C821" s="28" t="str">
        <x:v>多智能体与人机协同</x:v>
      </x:c>
      <x:c r="D821" s="28" t="str">
        <x:v>发现、委派与通信</x:v>
      </x:c>
      <x:c r="E821" s="28" t="str">
        <x:v>多智能体与协作</x:v>
      </x:c>
      <x:c r="F821" s="28" t="str">
        <x:v>投票</x:v>
      </x:c>
      <x:c r="G821" s="28" t="str">
        <x:v>用“投票”组织不同角色、权限与能力的智能体协作，并控制通信、冲突、信任、审批和故障转移。</x:v>
      </x:c>
      <x:c r="H821" s="28" t="str">
        <x:v>角色边界、共享状态、冲突解决、审批与责任归属是否明确？</x:v>
      </x:c>
      <x:c r="I821" s="28" t="str">
        <x:v>协作任务成功率；消息轮次；冲突率；审批延迟；故障转移时间；责任可追溯率</x:v>
      </x:c>
      <x:c r="J821" s="64" t="str">
        <x:v>工程化关键</x:v>
      </x:c>
      <x:c r="K821" s="64" t="str">
        <x:v>P1</x:v>
      </x:c>
      <x:c r="L821" s="28" t="str">
        <x:v>S38; S54; S65</x:v>
      </x:c>
      <x:c r="M821" s="28" t="str">
        <x:v>https://pubs.acs.org/doi/10.1021/jacs.4c17738</x:v>
      </x:c>
    </x:row>
    <x:row r="822" ht="48" customHeight="1">
      <x:c r="A822" s="64" t="str">
        <x:v>T0821</x:v>
      </x:c>
      <x:c r="B822" s="28" t="str">
        <x:v>科学智能体与多智能体</x:v>
      </x:c>
      <x:c r="C822" s="28" t="str">
        <x:v>多智能体与人机协同</x:v>
      </x:c>
      <x:c r="D822" s="28" t="str">
        <x:v>协调、信任与故障处理</x:v>
      </x:c>
      <x:c r="E822" s="28" t="str">
        <x:v>多智能体与协作</x:v>
      </x:c>
      <x:c r="F822" s="28" t="str">
        <x:v>辩论</x:v>
      </x:c>
      <x:c r="G822" s="28" t="str">
        <x:v>用“辩论”组织不同角色、权限与能力的智能体协作，并控制通信、冲突、信任、审批和故障转移。</x:v>
      </x:c>
      <x:c r="H822" s="28" t="str">
        <x:v>角色边界、共享状态、冲突解决、审批与责任归属是否明确？</x:v>
      </x:c>
      <x:c r="I822" s="28" t="str">
        <x:v>协作任务成功率；消息轮次；冲突率；审批延迟；故障转移时间；责任可追溯率</x:v>
      </x:c>
      <x:c r="J822" s="64" t="str">
        <x:v>工程化关键</x:v>
      </x:c>
      <x:c r="K822" s="64" t="str">
        <x:v>P1</x:v>
      </x:c>
      <x:c r="L822" s="28" t="str">
        <x:v>S38; S54; S65</x:v>
      </x:c>
      <x:c r="M822" s="28" t="str">
        <x:v>https://www.nature.com/articles/s41467-025-64105-7</x:v>
      </x:c>
    </x:row>
    <x:row r="823" ht="48" customHeight="1">
      <x:c r="A823" s="64" t="str">
        <x:v>T0822</x:v>
      </x:c>
      <x:c r="B823" s="28" t="str">
        <x:v>科学智能体与多智能体</x:v>
      </x:c>
      <x:c r="C823" s="28" t="str">
        <x:v>多智能体与人机协同</x:v>
      </x:c>
      <x:c r="D823" s="28" t="str">
        <x:v>协调、信任与故障处理</x:v>
      </x:c>
      <x:c r="E823" s="28" t="str">
        <x:v>多智能体与协作</x:v>
      </x:c>
      <x:c r="F823" s="28" t="str">
        <x:v>基于角色的权限</x:v>
      </x:c>
      <x:c r="G823" s="28" t="str">
        <x:v>用“基于角色的权限”组织不同角色、权限与能力的智能体协作，并控制通信、冲突、信任、审批和故障转移。</x:v>
      </x:c>
      <x:c r="H823" s="28" t="str">
        <x:v>角色边界、共享状态、冲突解决、审批与责任归属是否明确？</x:v>
      </x:c>
      <x:c r="I823" s="28" t="str">
        <x:v>协作任务成功率；消息轮次；冲突率；审批延迟；故障转移时间；责任可追溯率</x:v>
      </x:c>
      <x:c r="J823" s="64" t="str">
        <x:v>工程化关键</x:v>
      </x:c>
      <x:c r="K823" s="64" t="str">
        <x:v>P1</x:v>
      </x:c>
      <x:c r="L823" s="28" t="str">
        <x:v>S38; S54; S65</x:v>
      </x:c>
      <x:c r="M823" s="28" t="str">
        <x:v>https://a2aproject.github.io/A2A/latest/</x:v>
      </x:c>
    </x:row>
    <x:row r="824" ht="48" customHeight="1">
      <x:c r="A824" s="64" t="str">
        <x:v>T0823</x:v>
      </x:c>
      <x:c r="B824" s="28" t="str">
        <x:v>科学智能体与多智能体</x:v>
      </x:c>
      <x:c r="C824" s="28" t="str">
        <x:v>多智能体与人机协同</x:v>
      </x:c>
      <x:c r="D824" s="28" t="str">
        <x:v>协调、信任与故障处理</x:v>
      </x:c>
      <x:c r="E824" s="28" t="str">
        <x:v>多智能体与协作</x:v>
      </x:c>
      <x:c r="F824" s="28" t="str">
        <x:v>协商</x:v>
      </x:c>
      <x:c r="G824" s="28" t="str">
        <x:v>用“协商”组织不同角色、权限与能力的智能体协作，并控制通信、冲突、信任、审批和故障转移。</x:v>
      </x:c>
      <x:c r="H824" s="28" t="str">
        <x:v>角色边界、共享状态、冲突解决、审批与责任归属是否明确？</x:v>
      </x:c>
      <x:c r="I824" s="28" t="str">
        <x:v>协作任务成功率；消息轮次；冲突率；审批延迟；故障转移时间；责任可追溯率</x:v>
      </x:c>
      <x:c r="J824" s="64" t="str">
        <x:v>工程化关键</x:v>
      </x:c>
      <x:c r="K824" s="64" t="str">
        <x:v>P1</x:v>
      </x:c>
      <x:c r="L824" s="28" t="str">
        <x:v>S38; S54; S65</x:v>
      </x:c>
      <x:c r="M824" s="28" t="str">
        <x:v>https://pubs.acs.org/doi/10.1021/jacs.4c17738</x:v>
      </x:c>
    </x:row>
    <x:row r="825" ht="48" customHeight="1">
      <x:c r="A825" s="64" t="str">
        <x:v>T0824</x:v>
      </x:c>
      <x:c r="B825" s="28" t="str">
        <x:v>科学智能体与多智能体</x:v>
      </x:c>
      <x:c r="C825" s="28" t="str">
        <x:v>多智能体与人机协同</x:v>
      </x:c>
      <x:c r="D825" s="28" t="str">
        <x:v>协调、信任与故障处理</x:v>
      </x:c>
      <x:c r="E825" s="28" t="str">
        <x:v>多智能体与协作</x:v>
      </x:c>
      <x:c r="F825" s="28" t="str">
        <x:v>冲突解决</x:v>
      </x:c>
      <x:c r="G825" s="28" t="str">
        <x:v>用“冲突解决”组织不同角色、权限与能力的智能体协作，并控制通信、冲突、信任、审批和故障转移。</x:v>
      </x:c>
      <x:c r="H825" s="28" t="str">
        <x:v>角色边界、共享状态、冲突解决、审批与责任归属是否明确？</x:v>
      </x:c>
      <x:c r="I825" s="28" t="str">
        <x:v>协作任务成功率；消息轮次；冲突率；审批延迟；故障转移时间；责任可追溯率</x:v>
      </x:c>
      <x:c r="J825" s="64" t="str">
        <x:v>工程化关键</x:v>
      </x:c>
      <x:c r="K825" s="64" t="str">
        <x:v>P1</x:v>
      </x:c>
      <x:c r="L825" s="28" t="str">
        <x:v>S38; S54; S65</x:v>
      </x:c>
      <x:c r="M825" s="28" t="str">
        <x:v>https://www.nature.com/articles/s41467-025-64105-7</x:v>
      </x:c>
    </x:row>
    <x:row r="826" ht="48" customHeight="1">
      <x:c r="A826" s="64" t="str">
        <x:v>T0825</x:v>
      </x:c>
      <x:c r="B826" s="28" t="str">
        <x:v>科学智能体与多智能体</x:v>
      </x:c>
      <x:c r="C826" s="28" t="str">
        <x:v>多智能体与人机协同</x:v>
      </x:c>
      <x:c r="D826" s="28" t="str">
        <x:v>协调、信任与故障处理</x:v>
      </x:c>
      <x:c r="E826" s="28" t="str">
        <x:v>多智能体与协作</x:v>
      </x:c>
      <x:c r="F826" s="28" t="str">
        <x:v>任务分配</x:v>
      </x:c>
      <x:c r="G826" s="28" t="str">
        <x:v>用“任务分配”组织不同角色、权限与能力的智能体协作，并控制通信、冲突、信任、审批和故障转移。</x:v>
      </x:c>
      <x:c r="H826" s="28" t="str">
        <x:v>角色边界、共享状态、冲突解决、审批与责任归属是否明确？</x:v>
      </x:c>
      <x:c r="I826" s="28" t="str">
        <x:v>协作任务成功率；消息轮次；冲突率；审批延迟；故障转移时间；责任可追溯率</x:v>
      </x:c>
      <x:c r="J826" s="64" t="str">
        <x:v>工程化关键</x:v>
      </x:c>
      <x:c r="K826" s="64" t="str">
        <x:v>P1</x:v>
      </x:c>
      <x:c r="L826" s="28" t="str">
        <x:v>S38; S54; S65</x:v>
      </x:c>
      <x:c r="M826" s="28" t="str">
        <x:v>https://a2aproject.github.io/A2A/latest/</x:v>
      </x:c>
    </x:row>
    <x:row r="827" ht="48" customHeight="1">
      <x:c r="A827" s="64" t="str">
        <x:v>T0826</x:v>
      </x:c>
      <x:c r="B827" s="28" t="str">
        <x:v>科学智能体与多智能体</x:v>
      </x:c>
      <x:c r="C827" s="28" t="str">
        <x:v>多智能体与人机协同</x:v>
      </x:c>
      <x:c r="D827" s="28" t="str">
        <x:v>协调、信任与故障处理</x:v>
      </x:c>
      <x:c r="E827" s="28" t="str">
        <x:v>多智能体与协作</x:v>
      </x:c>
      <x:c r="F827" s="28" t="str">
        <x:v>负载均衡</x:v>
      </x:c>
      <x:c r="G827" s="28" t="str">
        <x:v>用“负载均衡”组织不同角色、权限与能力的智能体协作，并控制通信、冲突、信任、审批和故障转移。</x:v>
      </x:c>
      <x:c r="H827" s="28" t="str">
        <x:v>角色边界、共享状态、冲突解决、审批与责任归属是否明确？</x:v>
      </x:c>
      <x:c r="I827" s="28" t="str">
        <x:v>协作任务成功率；消息轮次；冲突率；审批延迟；故障转移时间；责任可追溯率</x:v>
      </x:c>
      <x:c r="J827" s="64" t="str">
        <x:v>工程化关键</x:v>
      </x:c>
      <x:c r="K827" s="64" t="str">
        <x:v>P1</x:v>
      </x:c>
      <x:c r="L827" s="28" t="str">
        <x:v>S38; S54; S65</x:v>
      </x:c>
      <x:c r="M827" s="28" t="str">
        <x:v>https://pubs.acs.org/doi/10.1021/jacs.4c17738</x:v>
      </x:c>
    </x:row>
    <x:row r="828" ht="48" customHeight="1">
      <x:c r="A828" s="64" t="str">
        <x:v>T0827</x:v>
      </x:c>
      <x:c r="B828" s="28" t="str">
        <x:v>科学智能体与多智能体</x:v>
      </x:c>
      <x:c r="C828" s="28" t="str">
        <x:v>多智能体与人机协同</x:v>
      </x:c>
      <x:c r="D828" s="28" t="str">
        <x:v>协调、信任与故障处理</x:v>
      </x:c>
      <x:c r="E828" s="28" t="str">
        <x:v>多智能体与协作</x:v>
      </x:c>
      <x:c r="F828" s="28" t="str">
        <x:v>故障转移</x:v>
      </x:c>
      <x:c r="G828" s="28" t="str">
        <x:v>用“故障转移”组织不同角色、权限与能力的智能体协作，并控制通信、冲突、信任、审批和故障转移。</x:v>
      </x:c>
      <x:c r="H828" s="28" t="str">
        <x:v>角色边界、共享状态、冲突解决、审批与责任归属是否明确？</x:v>
      </x:c>
      <x:c r="I828" s="28" t="str">
        <x:v>协作任务成功率；消息轮次；冲突率；审批延迟；故障转移时间；责任可追溯率</x:v>
      </x:c>
      <x:c r="J828" s="64" t="str">
        <x:v>工程化关键</x:v>
      </x:c>
      <x:c r="K828" s="64" t="str">
        <x:v>P1</x:v>
      </x:c>
      <x:c r="L828" s="28" t="str">
        <x:v>S38; S54; S65</x:v>
      </x:c>
      <x:c r="M828" s="28" t="str">
        <x:v>https://www.nature.com/articles/s41467-025-64105-7</x:v>
      </x:c>
    </x:row>
    <x:row r="829" ht="48" customHeight="1">
      <x:c r="A829" s="64" t="str">
        <x:v>T0828</x:v>
      </x:c>
      <x:c r="B829" s="28" t="str">
        <x:v>科学智能体与多智能体</x:v>
      </x:c>
      <x:c r="C829" s="28" t="str">
        <x:v>多智能体与人机协同</x:v>
      </x:c>
      <x:c r="D829" s="28" t="str">
        <x:v>协调、信任与故障处理</x:v>
      </x:c>
      <x:c r="E829" s="28" t="str">
        <x:v>多智能体与协作</x:v>
      </x:c>
      <x:c r="F829" s="28" t="str">
        <x:v>信任评分</x:v>
      </x:c>
      <x:c r="G829" s="28" t="str">
        <x:v>用“信任评分”组织不同角色、权限与能力的智能体协作，并控制通信、冲突、信任、审批和故障转移。</x:v>
      </x:c>
      <x:c r="H829" s="28" t="str">
        <x:v>角色边界、共享状态、冲突解决、审批与责任归属是否明确？</x:v>
      </x:c>
      <x:c r="I829" s="28" t="str">
        <x:v>协作任务成功率；消息轮次；冲突率；审批延迟；故障转移时间；责任可追溯率</x:v>
      </x:c>
      <x:c r="J829" s="64" t="str">
        <x:v>工程化关键</x:v>
      </x:c>
      <x:c r="K829" s="64" t="str">
        <x:v>P1</x:v>
      </x:c>
      <x:c r="L829" s="28" t="str">
        <x:v>S38; S54; S65</x:v>
      </x:c>
      <x:c r="M829" s="28" t="str">
        <x:v>https://a2aproject.github.io/A2A/latest/</x:v>
      </x:c>
    </x:row>
    <x:row r="830" ht="48" customHeight="1">
      <x:c r="A830" s="64" t="str">
        <x:v>T0829</x:v>
      </x:c>
      <x:c r="B830" s="28" t="str">
        <x:v>科学智能体与多智能体</x:v>
      </x:c>
      <x:c r="C830" s="28" t="str">
        <x:v>多智能体与人机协同</x:v>
      </x:c>
      <x:c r="D830" s="28" t="str">
        <x:v>协调、信任与故障处理</x:v>
      </x:c>
      <x:c r="E830" s="28" t="str">
        <x:v>多智能体与协作</x:v>
      </x:c>
      <x:c r="F830" s="28" t="str">
        <x:v>声誉机制</x:v>
      </x:c>
      <x:c r="G830" s="28" t="str">
        <x:v>用“声誉机制”组织不同角色、权限与能力的智能体协作，并控制通信、冲突、信任、审批和故障转移。</x:v>
      </x:c>
      <x:c r="H830" s="28" t="str">
        <x:v>角色边界、共享状态、冲突解决、审批与责任归属是否明确？</x:v>
      </x:c>
      <x:c r="I830" s="28" t="str">
        <x:v>协作任务成功率；消息轮次；冲突率；审批延迟；故障转移时间；责任可追溯率</x:v>
      </x:c>
      <x:c r="J830" s="64" t="str">
        <x:v>进阶能力</x:v>
      </x:c>
      <x:c r="K830" s="64" t="str">
        <x:v>P2</x:v>
      </x:c>
      <x:c r="L830" s="28" t="str">
        <x:v>S38; S54; S65</x:v>
      </x:c>
      <x:c r="M830" s="28" t="str">
        <x:v>https://pubs.acs.org/doi/10.1021/jacs.4c17738</x:v>
      </x:c>
    </x:row>
    <x:row r="831" ht="48" customHeight="1">
      <x:c r="A831" s="64" t="str">
        <x:v>T0830</x:v>
      </x:c>
      <x:c r="B831" s="28" t="str">
        <x:v>科学智能体与多智能体</x:v>
      </x:c>
      <x:c r="C831" s="28" t="str">
        <x:v>多智能体与人机协同</x:v>
      </x:c>
      <x:c r="D831" s="28" t="str">
        <x:v>协调、信任与故障处理</x:v>
      </x:c>
      <x:c r="E831" s="28" t="str">
        <x:v>多智能体与协作</x:v>
      </x:c>
      <x:c r="F831" s="28" t="str">
        <x:v>消息溯源</x:v>
      </x:c>
      <x:c r="G831" s="28" t="str">
        <x:v>用“消息溯源”组织不同角色、权限与能力的智能体协作，并控制通信、冲突、信任、审批和故障转移。</x:v>
      </x:c>
      <x:c r="H831" s="28" t="str">
        <x:v>角色边界、共享状态、冲突解决、审批与责任归属是否明确？</x:v>
      </x:c>
      <x:c r="I831" s="28" t="str">
        <x:v>协作任务成功率；消息轮次；冲突率；审批延迟；故障转移时间；责任可追溯率</x:v>
      </x:c>
      <x:c r="J831" s="64" t="str">
        <x:v>进阶能力</x:v>
      </x:c>
      <x:c r="K831" s="64" t="str">
        <x:v>P2</x:v>
      </x:c>
      <x:c r="L831" s="28" t="str">
        <x:v>S38; S54; S65</x:v>
      </x:c>
      <x:c r="M831" s="28" t="str">
        <x:v>https://www.nature.com/articles/s41467-025-64105-7</x:v>
      </x:c>
    </x:row>
    <x:row r="832" ht="48" customHeight="1">
      <x:c r="A832" s="64" t="str">
        <x:v>T0831</x:v>
      </x:c>
      <x:c r="B832" s="28" t="str">
        <x:v>科学智能体与多智能体</x:v>
      </x:c>
      <x:c r="C832" s="28" t="str">
        <x:v>多智能体与人机协同</x:v>
      </x:c>
      <x:c r="D832" s="28" t="str">
        <x:v>人机审批与联邦协作</x:v>
      </x:c>
      <x:c r="E832" s="28" t="str">
        <x:v>多智能体与协作</x:v>
      </x:c>
      <x:c r="F832" s="28" t="str">
        <x:v>通信压缩</x:v>
      </x:c>
      <x:c r="G832" s="28" t="str">
        <x:v>用“通信压缩”组织不同角色、权限与能力的智能体协作，并控制通信、冲突、信任、审批和故障转移。</x:v>
      </x:c>
      <x:c r="H832" s="28" t="str">
        <x:v>角色边界、共享状态、冲突解决、审批与责任归属是否明确？</x:v>
      </x:c>
      <x:c r="I832" s="28" t="str">
        <x:v>协作任务成功率；消息轮次；冲突率；审批延迟；故障转移时间；责任可追溯率</x:v>
      </x:c>
      <x:c r="J832" s="64" t="str">
        <x:v>进阶能力</x:v>
      </x:c>
      <x:c r="K832" s="64" t="str">
        <x:v>P2</x:v>
      </x:c>
      <x:c r="L832" s="28" t="str">
        <x:v>S38; S54; S65</x:v>
      </x:c>
      <x:c r="M832" s="28" t="str">
        <x:v>https://a2aproject.github.io/A2A/latest/</x:v>
      </x:c>
    </x:row>
    <x:row r="833" ht="48" customHeight="1">
      <x:c r="A833" s="64" t="str">
        <x:v>T0832</x:v>
      </x:c>
      <x:c r="B833" s="28" t="str">
        <x:v>科学智能体与多智能体</x:v>
      </x:c>
      <x:c r="C833" s="28" t="str">
        <x:v>多智能体与人机协同</x:v>
      </x:c>
      <x:c r="D833" s="28" t="str">
        <x:v>人机审批与联邦协作</x:v>
      </x:c>
      <x:c r="E833" s="28" t="str">
        <x:v>多智能体与协作</x:v>
      </x:c>
      <x:c r="F833" s="28" t="str">
        <x:v>上下文隔离</x:v>
      </x:c>
      <x:c r="G833" s="28" t="str">
        <x:v>用“上下文隔离”组织不同角色、权限与能力的智能体协作，并控制通信、冲突、信任、审批和故障转移。</x:v>
      </x:c>
      <x:c r="H833" s="28" t="str">
        <x:v>角色边界、共享状态、冲突解决、审批与责任归属是否明确？</x:v>
      </x:c>
      <x:c r="I833" s="28" t="str">
        <x:v>协作任务成功率；消息轮次；冲突率；审批延迟；故障转移时间；责任可追溯率</x:v>
      </x:c>
      <x:c r="J833" s="64" t="str">
        <x:v>进阶能力</x:v>
      </x:c>
      <x:c r="K833" s="64" t="str">
        <x:v>P2</x:v>
      </x:c>
      <x:c r="L833" s="28" t="str">
        <x:v>S38; S54; S65</x:v>
      </x:c>
      <x:c r="M833" s="28" t="str">
        <x:v>https://pubs.acs.org/doi/10.1021/jacs.4c17738</x:v>
      </x:c>
    </x:row>
    <x:row r="834" ht="48" customHeight="1">
      <x:c r="A834" s="64" t="str">
        <x:v>T0833</x:v>
      </x:c>
      <x:c r="B834" s="28" t="str">
        <x:v>科学智能体与多智能体</x:v>
      </x:c>
      <x:c r="C834" s="28" t="str">
        <x:v>多智能体与人机协同</x:v>
      </x:c>
      <x:c r="D834" s="28" t="str">
        <x:v>人机审批与联邦协作</x:v>
      </x:c>
      <x:c r="E834" s="28" t="str">
        <x:v>多智能体与协作</x:v>
      </x:c>
      <x:c r="F834" s="28" t="str">
        <x:v>Human-in-the-loop审批</x:v>
      </x:c>
      <x:c r="G834" s="28" t="str">
        <x:v>用“Human-in-the-loop审批”组织不同角色、权限与能力的智能体协作，并控制通信、冲突、信任、审批和故障转移。</x:v>
      </x:c>
      <x:c r="H834" s="28" t="str">
        <x:v>角色边界、共享状态、冲突解决、审批与责任归属是否明确？</x:v>
      </x:c>
      <x:c r="I834" s="28" t="str">
        <x:v>协作任务成功率；消息轮次；冲突率；审批延迟；故障转移时间；责任可追溯率</x:v>
      </x:c>
      <x:c r="J834" s="64" t="str">
        <x:v>进阶能力</x:v>
      </x:c>
      <x:c r="K834" s="64" t="str">
        <x:v>P2</x:v>
      </x:c>
      <x:c r="L834" s="28" t="str">
        <x:v>S38; S54; S65</x:v>
      </x:c>
      <x:c r="M834" s="28" t="str">
        <x:v>https://www.nature.com/articles/s41467-025-64105-7</x:v>
      </x:c>
    </x:row>
    <x:row r="835" ht="48" customHeight="1">
      <x:c r="A835" s="64" t="str">
        <x:v>T0834</x:v>
      </x:c>
      <x:c r="B835" s="28" t="str">
        <x:v>科学智能体与多智能体</x:v>
      </x:c>
      <x:c r="C835" s="28" t="str">
        <x:v>多智能体与人机协同</x:v>
      </x:c>
      <x:c r="D835" s="28" t="str">
        <x:v>人机审批与联邦协作</x:v>
      </x:c>
      <x:c r="E835" s="28" t="str">
        <x:v>多智能体与协作</x:v>
      </x:c>
      <x:c r="F835" s="28" t="str">
        <x:v>Human-on-the-loop监控</x:v>
      </x:c>
      <x:c r="G835" s="28" t="str">
        <x:v>用“Human-on-the-loop监控”组织不同角色、权限与能力的智能体协作，并控制通信、冲突、信任、审批和故障转移。</x:v>
      </x:c>
      <x:c r="H835" s="28" t="str">
        <x:v>角色边界、共享状态、冲突解决、审批与责任归属是否明确？</x:v>
      </x:c>
      <x:c r="I835" s="28" t="str">
        <x:v>协作任务成功率；消息轮次；冲突率；审批延迟；故障转移时间；责任可追溯率</x:v>
      </x:c>
      <x:c r="J835" s="64" t="str">
        <x:v>进阶能力</x:v>
      </x:c>
      <x:c r="K835" s="64" t="str">
        <x:v>P2</x:v>
      </x:c>
      <x:c r="L835" s="28" t="str">
        <x:v>S38; S54; S65</x:v>
      </x:c>
      <x:c r="M835" s="28" t="str">
        <x:v>https://a2aproject.github.io/A2A/latest/</x:v>
      </x:c>
    </x:row>
    <x:row r="836" ht="48" customHeight="1">
      <x:c r="A836" s="64" t="str">
        <x:v>T0835</x:v>
      </x:c>
      <x:c r="B836" s="28" t="str">
        <x:v>科学智能体与多智能体</x:v>
      </x:c>
      <x:c r="C836" s="28" t="str">
        <x:v>多智能体与人机协同</x:v>
      </x:c>
      <x:c r="D836" s="28" t="str">
        <x:v>人机审批与联邦协作</x:v>
      </x:c>
      <x:c r="E836" s="28" t="str">
        <x:v>多智能体与协作</x:v>
      </x:c>
      <x:c r="F836" s="28" t="str">
        <x:v>审批闸门</x:v>
      </x:c>
      <x:c r="G836" s="28" t="str">
        <x:v>用“审批闸门”组织不同角色、权限与能力的智能体协作，并控制通信、冲突、信任、审批和故障转移。</x:v>
      </x:c>
      <x:c r="H836" s="28" t="str">
        <x:v>角色边界、共享状态、冲突解决、审批与责任归属是否明确？</x:v>
      </x:c>
      <x:c r="I836" s="28" t="str">
        <x:v>协作任务成功率；消息轮次；冲突率；审批延迟；故障转移时间；责任可追溯率</x:v>
      </x:c>
      <x:c r="J836" s="64" t="str">
        <x:v>进阶能力</x:v>
      </x:c>
      <x:c r="K836" s="64" t="str">
        <x:v>P2</x:v>
      </x:c>
      <x:c r="L836" s="28" t="str">
        <x:v>S38; S54; S65</x:v>
      </x:c>
      <x:c r="M836" s="28" t="str">
        <x:v>https://pubs.acs.org/doi/10.1021/jacs.4c17738</x:v>
      </x:c>
    </x:row>
    <x:row r="837" ht="48" customHeight="1">
      <x:c r="A837" s="64" t="str">
        <x:v>T0836</x:v>
      </x:c>
      <x:c r="B837" s="28" t="str">
        <x:v>科学智能体与多智能体</x:v>
      </x:c>
      <x:c r="C837" s="28" t="str">
        <x:v>多智能体与人机协同</x:v>
      </x:c>
      <x:c r="D837" s="28" t="str">
        <x:v>人机审批与联邦协作</x:v>
      </x:c>
      <x:c r="E837" s="28" t="str">
        <x:v>多智能体与协作</x:v>
      </x:c>
      <x:c r="F837" s="28" t="str">
        <x:v>风险升级</x:v>
      </x:c>
      <x:c r="G837" s="28" t="str">
        <x:v>用“风险升级”组织不同角色、权限与能力的智能体协作，并控制通信、冲突、信任、审批和故障转移。</x:v>
      </x:c>
      <x:c r="H837" s="28" t="str">
        <x:v>角色边界、共享状态、冲突解决、审批与责任归属是否明确？</x:v>
      </x:c>
      <x:c r="I837" s="28" t="str">
        <x:v>协作任务成功率；消息轮次；冲突率；审批延迟；故障转移时间；责任可追溯率</x:v>
      </x:c>
      <x:c r="J837" s="64" t="str">
        <x:v>进阶能力</x:v>
      </x:c>
      <x:c r="K837" s="64" t="str">
        <x:v>P2</x:v>
      </x:c>
      <x:c r="L837" s="28" t="str">
        <x:v>S38; S54; S65</x:v>
      </x:c>
      <x:c r="M837" s="28" t="str">
        <x:v>https://www.nature.com/articles/s41467-025-64105-7</x:v>
      </x:c>
    </x:row>
    <x:row r="838" ht="48" customHeight="1">
      <x:c r="A838" s="64" t="str">
        <x:v>T0837</x:v>
      </x:c>
      <x:c r="B838" s="28" t="str">
        <x:v>科学智能体与多智能体</x:v>
      </x:c>
      <x:c r="C838" s="28" t="str">
        <x:v>多智能体与人机协同</x:v>
      </x:c>
      <x:c r="D838" s="28" t="str">
        <x:v>人机审批与联邦协作</x:v>
      </x:c>
      <x:c r="E838" s="28" t="str">
        <x:v>多智能体与协作</x:v>
      </x:c>
      <x:c r="F838" s="28" t="str">
        <x:v>可解释交接</x:v>
      </x:c>
      <x:c r="G838" s="28" t="str">
        <x:v>用“可解释交接”组织不同角色、权限与能力的智能体协作，并控制通信、冲突、信任、审批和故障转移。</x:v>
      </x:c>
      <x:c r="H838" s="28" t="str">
        <x:v>角色边界、共享状态、冲突解决、审批与责任归属是否明确？</x:v>
      </x:c>
      <x:c r="I838" s="28" t="str">
        <x:v>协作任务成功率；消息轮次；冲突率；审批延迟；故障转移时间；责任可追溯率</x:v>
      </x:c>
      <x:c r="J838" s="64" t="str">
        <x:v>前沿能力</x:v>
      </x:c>
      <x:c r="K838" s="64" t="str">
        <x:v>P2</x:v>
      </x:c>
      <x:c r="L838" s="28" t="str">
        <x:v>S38; S54; S65</x:v>
      </x:c>
      <x:c r="M838" s="28" t="str">
        <x:v>https://a2aproject.github.io/A2A/latest/</x:v>
      </x:c>
    </x:row>
    <x:row r="839" ht="48" customHeight="1">
      <x:c r="A839" s="64" t="str">
        <x:v>T0838</x:v>
      </x:c>
      <x:c r="B839" s="28" t="str">
        <x:v>科学智能体与多智能体</x:v>
      </x:c>
      <x:c r="C839" s="28" t="str">
        <x:v>多智能体与人机协同</x:v>
      </x:c>
      <x:c r="D839" s="28" t="str">
        <x:v>人机审批与联邦协作</x:v>
      </x:c>
      <x:c r="E839" s="28" t="str">
        <x:v>多智能体与协作</x:v>
      </x:c>
      <x:c r="F839" s="28" t="str">
        <x:v>混合主动协作</x:v>
      </x:c>
      <x:c r="G839" s="28" t="str">
        <x:v>用“混合主动协作”组织不同角色、权限与能力的智能体协作，并控制通信、冲突、信任、审批和故障转移。</x:v>
      </x:c>
      <x:c r="H839" s="28" t="str">
        <x:v>角色边界、共享状态、冲突解决、审批与责任归属是否明确？</x:v>
      </x:c>
      <x:c r="I839" s="28" t="str">
        <x:v>协作任务成功率；消息轮次；冲突率；审批延迟；故障转移时间；责任可追溯率</x:v>
      </x:c>
      <x:c r="J839" s="64" t="str">
        <x:v>前沿能力</x:v>
      </x:c>
      <x:c r="K839" s="64" t="str">
        <x:v>P2</x:v>
      </x:c>
      <x:c r="L839" s="28" t="str">
        <x:v>S38; S54; S65</x:v>
      </x:c>
      <x:c r="M839" s="28" t="str">
        <x:v>https://pubs.acs.org/doi/10.1021/jacs.4c17738</x:v>
      </x:c>
    </x:row>
    <x:row r="840" ht="48" customHeight="1">
      <x:c r="A840" s="64" t="str">
        <x:v>T0839</x:v>
      </x:c>
      <x:c r="B840" s="28" t="str">
        <x:v>科学智能体与多智能体</x:v>
      </x:c>
      <x:c r="C840" s="28" t="str">
        <x:v>多智能体与人机协同</x:v>
      </x:c>
      <x:c r="D840" s="28" t="str">
        <x:v>人机审批与联邦协作</x:v>
      </x:c>
      <x:c r="E840" s="28" t="str">
        <x:v>多智能体与协作</x:v>
      </x:c>
      <x:c r="F840" s="28" t="str">
        <x:v>协同假设生成</x:v>
      </x:c>
      <x:c r="G840" s="28" t="str">
        <x:v>用“协同假设生成”组织不同角色、权限与能力的智能体协作，并控制通信、冲突、信任、审批和故障转移。</x:v>
      </x:c>
      <x:c r="H840" s="28" t="str">
        <x:v>角色边界、共享状态、冲突解决、审批与责任归属是否明确？</x:v>
      </x:c>
      <x:c r="I840" s="28" t="str">
        <x:v>协作任务成功率；消息轮次；冲突率；审批延迟；故障转移时间；责任可追溯率</x:v>
      </x:c>
      <x:c r="J840" s="64" t="str">
        <x:v>前沿能力</x:v>
      </x:c>
      <x:c r="K840" s="64" t="str">
        <x:v>P2</x:v>
      </x:c>
      <x:c r="L840" s="28" t="str">
        <x:v>S38; S54; S65</x:v>
      </x:c>
      <x:c r="M840" s="28" t="str">
        <x:v>https://www.nature.com/articles/s41467-025-64105-7</x:v>
      </x:c>
    </x:row>
    <x:row r="841" ht="48" customHeight="1">
      <x:c r="A841" s="64" t="str">
        <x:v>T0840</x:v>
      </x:c>
      <x:c r="B841" s="28" t="str">
        <x:v>科学智能体与多智能体</x:v>
      </x:c>
      <x:c r="C841" s="28" t="str">
        <x:v>多智能体与人机协同</x:v>
      </x:c>
      <x:c r="D841" s="28" t="str">
        <x:v>人机审批与联邦协作</x:v>
      </x:c>
      <x:c r="E841" s="28" t="str">
        <x:v>多智能体与协作</x:v>
      </x:c>
      <x:c r="F841" s="28" t="str">
        <x:v>联邦实验协作</x:v>
      </x:c>
      <x:c r="G841" s="28" t="str">
        <x:v>用“联邦实验协作”组织不同角色、权限与能力的智能体协作，并控制通信、冲突、信任、审批和故障转移。</x:v>
      </x:c>
      <x:c r="H841" s="28" t="str">
        <x:v>角色边界、共享状态、冲突解决、审批与责任归属是否明确？</x:v>
      </x:c>
      <x:c r="I841" s="28" t="str">
        <x:v>协作任务成功率；消息轮次；冲突率；审批延迟；故障转移时间；责任可追溯率</x:v>
      </x:c>
      <x:c r="J841" s="64" t="str">
        <x:v>前沿能力</x:v>
      </x:c>
      <x:c r="K841" s="64" t="str">
        <x:v>P2</x:v>
      </x:c>
      <x:c r="L841" s="28" t="str">
        <x:v>S38; S54; S65</x:v>
      </x:c>
      <x:c r="M841" s="28" t="str">
        <x:v>https://a2aproject.github.io/A2A/latest/</x:v>
      </x:c>
    </x:row>
    <x:row r="842" ht="48" customHeight="1">
      <x:c r="A842" s="64" t="str">
        <x:v>T0841</x:v>
      </x:c>
      <x:c r="B842" s="28" t="str">
        <x:v>可信、安全、运营与思维模型</x:v>
      </x:c>
      <x:c r="C842" s="28" t="str">
        <x:v>可靠性、验证、复现与质量体系</x:v>
      </x:c>
      <x:c r="D842" s="28" t="str">
        <x:v>校准、维护与诊断</x:v>
      </x:c>
      <x:c r="E842" s="28" t="str">
        <x:v>质量与可靠性</x:v>
      </x:c>
      <x:c r="F842" s="28" t="str">
        <x:v>计量校准</x:v>
      </x:c>
      <x:c r="G842" s="28" t="str">
        <x:v>围绕“计量校准”建立从设备健康到结果复现的证据体系，使系统可诊断、可恢复、可审计、可重复。</x:v>
      </x:c>
      <x:c r="H842" s="28" t="str">
        <x:v>同一输入能否确定性回放；跨批次/设备/实验室能否复现？</x:v>
      </x:c>
      <x:c r="I842" s="28" t="str">
        <x:v>设备可用率；故障检出/隔离率；重复性/再现性；审计覆盖率；回归测试通过率</x:v>
      </x:c>
      <x:c r="J842" s="64" t="str">
        <x:v>基础能力</x:v>
      </x:c>
      <x:c r="K842" s="64" t="str">
        <x:v>P0</x:v>
      </x:c>
      <x:c r="L842" s="28" t="str">
        <x:v>S01; S03; S23; S51</x:v>
      </x:c>
      <x:c r="M842" s="28" t="str">
        <x:v>https://pubs.acs.org/doi/10.1021/acs.chemrev.4c00055</x:v>
      </x:c>
    </x:row>
    <x:row r="843" ht="48" customHeight="1">
      <x:c r="A843" s="64" t="str">
        <x:v>T0842</x:v>
      </x:c>
      <x:c r="B843" s="28" t="str">
        <x:v>可信、安全、运营与思维模型</x:v>
      </x:c>
      <x:c r="C843" s="28" t="str">
        <x:v>可靠性、验证、复现与质量体系</x:v>
      </x:c>
      <x:c r="D843" s="28" t="str">
        <x:v>校准、维护与诊断</x:v>
      </x:c>
      <x:c r="E843" s="28" t="str">
        <x:v>质量与可靠性</x:v>
      </x:c>
      <x:c r="F843" s="28" t="str">
        <x:v>预防性维护</x:v>
      </x:c>
      <x:c r="G843" s="28" t="str">
        <x:v>围绕“预防性维护”建立从设备健康到结果复现的证据体系，使系统可诊断、可恢复、可审计、可重复。</x:v>
      </x:c>
      <x:c r="H843" s="28" t="str">
        <x:v>同一输入能否确定性回放；跨批次/设备/实验室能否复现？</x:v>
      </x:c>
      <x:c r="I843" s="28" t="str">
        <x:v>设备可用率；故障检出/隔离率；重复性/再现性；审计覆盖率；回归测试通过率</x:v>
      </x:c>
      <x:c r="J843" s="64" t="str">
        <x:v>基础能力</x:v>
      </x:c>
      <x:c r="K843" s="64" t="str">
        <x:v>P0</x:v>
      </x:c>
      <x:c r="L843" s="28" t="str">
        <x:v>S01; S03; S23; S51</x:v>
      </x:c>
      <x:c r="M843" s="28" t="str">
        <x:v>https://www.nature.com/articles/s41467-024-45569-5</x:v>
      </x:c>
    </x:row>
    <x:row r="844" ht="48" customHeight="1">
      <x:c r="A844" s="64" t="str">
        <x:v>T0843</x:v>
      </x:c>
      <x:c r="B844" s="28" t="str">
        <x:v>可信、安全、运营与思维模型</x:v>
      </x:c>
      <x:c r="C844" s="28" t="str">
        <x:v>可靠性、验证、复现与质量体系</x:v>
      </x:c>
      <x:c r="D844" s="28" t="str">
        <x:v>校准、维护与诊断</x:v>
      </x:c>
      <x:c r="E844" s="28" t="str">
        <x:v>质量与可靠性</x:v>
      </x:c>
      <x:c r="F844" s="28" t="str">
        <x:v>预测性维护</x:v>
      </x:c>
      <x:c r="G844" s="28" t="str">
        <x:v>围绕“预测性维护”建立从设备健康到结果复现的证据体系，使系统可诊断、可恢复、可审计、可重复。</x:v>
      </x:c>
      <x:c r="H844" s="28" t="str">
        <x:v>同一输入能否确定性回放；跨批次/设备/实验室能否复现？</x:v>
      </x:c>
      <x:c r="I844" s="28" t="str">
        <x:v>设备可用率；故障检出/隔离率；重复性/再现性；审计覆盖率；回归测试通过率</x:v>
      </x:c>
      <x:c r="J844" s="64" t="str">
        <x:v>基础能力</x:v>
      </x:c>
      <x:c r="K844" s="64" t="str">
        <x:v>P0</x:v>
      </x:c>
      <x:c r="L844" s="28" t="str">
        <x:v>S01; S03; S23; S51</x:v>
      </x:c>
      <x:c r="M844" s="28" t="str">
        <x:v>https://www.nature.com/articles/sdata201618</x:v>
      </x:c>
    </x:row>
    <x:row r="845" ht="48" customHeight="1">
      <x:c r="A845" s="64" t="str">
        <x:v>T0844</x:v>
      </x:c>
      <x:c r="B845" s="28" t="str">
        <x:v>可信、安全、运营与思维模型</x:v>
      </x:c>
      <x:c r="C845" s="28" t="str">
        <x:v>可靠性、验证、复现与质量体系</x:v>
      </x:c>
      <x:c r="D845" s="28" t="str">
        <x:v>校准、维护与诊断</x:v>
      </x:c>
      <x:c r="E845" s="28" t="str">
        <x:v>质量与可靠性</x:v>
      </x:c>
      <x:c r="F845" s="28" t="str">
        <x:v>自检</x:v>
      </x:c>
      <x:c r="G845" s="28" t="str">
        <x:v>围绕“自检”建立从设备健康到结果复现的证据体系，使系统可诊断、可恢复、可审计、可重复。</x:v>
      </x:c>
      <x:c r="H845" s="28" t="str">
        <x:v>同一输入能否确定性回放；跨批次/设备/实验室能否复现？</x:v>
      </x:c>
      <x:c r="I845" s="28" t="str">
        <x:v>设备可用率；故障检出/隔离率；重复性/再现性；审计覆盖率；回归测试通过率</x:v>
      </x:c>
      <x:c r="J845" s="64" t="str">
        <x:v>基础能力</x:v>
      </x:c>
      <x:c r="K845" s="64" t="str">
        <x:v>P0</x:v>
      </x:c>
      <x:c r="L845" s="28" t="str">
        <x:v>S01; S03; S23; S51</x:v>
      </x:c>
      <x:c r="M845" s="28" t="str">
        <x:v>https://www.fda.gov/regulatory-information/search-fda-guidance-documents/part-11-electronic-records-electronic-signatures-scope-and-application</x:v>
      </x:c>
    </x:row>
    <x:row r="846" ht="48" customHeight="1">
      <x:c r="A846" s="64" t="str">
        <x:v>T0845</x:v>
      </x:c>
      <x:c r="B846" s="28" t="str">
        <x:v>可信、安全、运营与思维模型</x:v>
      </x:c>
      <x:c r="C846" s="28" t="str">
        <x:v>可靠性、验证、复现与质量体系</x:v>
      </x:c>
      <x:c r="D846" s="28" t="str">
        <x:v>校准、维护与诊断</x:v>
      </x:c>
      <x:c r="E846" s="28" t="str">
        <x:v>质量与可靠性</x:v>
      </x:c>
      <x:c r="F846" s="28" t="str">
        <x:v>心跳监测</x:v>
      </x:c>
      <x:c r="G846" s="28" t="str">
        <x:v>围绕“心跳监测”建立从设备健康到结果复现的证据体系，使系统可诊断、可恢复、可审计、可重复。</x:v>
      </x:c>
      <x:c r="H846" s="28" t="str">
        <x:v>同一输入能否确定性回放；跨批次/设备/实验室能否复现？</x:v>
      </x:c>
      <x:c r="I846" s="28" t="str">
        <x:v>设备可用率；故障检出/隔离率；重复性/再现性；审计覆盖率；回归测试通过率</x:v>
      </x:c>
      <x:c r="J846" s="64" t="str">
        <x:v>基础能力</x:v>
      </x:c>
      <x:c r="K846" s="64" t="str">
        <x:v>P0</x:v>
      </x:c>
      <x:c r="L846" s="28" t="str">
        <x:v>S01; S03; S23; S51</x:v>
      </x:c>
      <x:c r="M846" s="28" t="str">
        <x:v>https://pubs.acs.org/doi/10.1021/acs.chemrev.4c00055</x:v>
      </x:c>
    </x:row>
    <x:row r="847" ht="48" customHeight="1">
      <x:c r="A847" s="64" t="str">
        <x:v>T0846</x:v>
      </x:c>
      <x:c r="B847" s="28" t="str">
        <x:v>可信、安全、运营与思维模型</x:v>
      </x:c>
      <x:c r="C847" s="28" t="str">
        <x:v>可靠性、验证、复现与质量体系</x:v>
      </x:c>
      <x:c r="D847" s="28" t="str">
        <x:v>校准、维护与诊断</x:v>
      </x:c>
      <x:c r="E847" s="28" t="str">
        <x:v>质量与可靠性</x:v>
      </x:c>
      <x:c r="F847" s="28" t="str">
        <x:v>在线诊断</x:v>
      </x:c>
      <x:c r="G847" s="28" t="str">
        <x:v>围绕“在线诊断”建立从设备健康到结果复现的证据体系，使系统可诊断、可恢复、可审计、可重复。</x:v>
      </x:c>
      <x:c r="H847" s="28" t="str">
        <x:v>同一输入能否确定性回放；跨批次/设备/实验室能否复现？</x:v>
      </x:c>
      <x:c r="I847" s="28" t="str">
        <x:v>设备可用率；故障检出/隔离率；重复性/再现性；审计覆盖率；回归测试通过率</x:v>
      </x:c>
      <x:c r="J847" s="64" t="str">
        <x:v>基础能力</x:v>
      </x:c>
      <x:c r="K847" s="64" t="str">
        <x:v>P0</x:v>
      </x:c>
      <x:c r="L847" s="28" t="str">
        <x:v>S01; S03; S23; S51</x:v>
      </x:c>
      <x:c r="M847" s="28" t="str">
        <x:v>https://www.nature.com/articles/s41467-024-45569-5</x:v>
      </x:c>
    </x:row>
    <x:row r="848" ht="48" customHeight="1">
      <x:c r="A848" s="64" t="str">
        <x:v>T0847</x:v>
      </x:c>
      <x:c r="B848" s="28" t="str">
        <x:v>可信、安全、运营与思维模型</x:v>
      </x:c>
      <x:c r="C848" s="28" t="str">
        <x:v>可靠性、验证、复现与质量体系</x:v>
      </x:c>
      <x:c r="D848" s="28" t="str">
        <x:v>校准、维护与诊断</x:v>
      </x:c>
      <x:c r="E848" s="28" t="str">
        <x:v>质量与可靠性</x:v>
      </x:c>
      <x:c r="F848" s="28" t="str">
        <x:v>故障检测</x:v>
      </x:c>
      <x:c r="G848" s="28" t="str">
        <x:v>围绕“故障检测”建立从设备健康到结果复现的证据体系，使系统可诊断、可恢复、可审计、可重复。</x:v>
      </x:c>
      <x:c r="H848" s="28" t="str">
        <x:v>同一输入能否确定性回放；跨批次/设备/实验室能否复现？</x:v>
      </x:c>
      <x:c r="I848" s="28" t="str">
        <x:v>设备可用率；故障检出/隔离率；重复性/再现性；审计覆盖率；回归测试通过率</x:v>
      </x:c>
      <x:c r="J848" s="64" t="str">
        <x:v>基础能力</x:v>
      </x:c>
      <x:c r="K848" s="64" t="str">
        <x:v>P0</x:v>
      </x:c>
      <x:c r="L848" s="28" t="str">
        <x:v>S01; S03; S23; S51</x:v>
      </x:c>
      <x:c r="M848" s="28" t="str">
        <x:v>https://www.nature.com/articles/sdata201618</x:v>
      </x:c>
    </x:row>
    <x:row r="849" ht="48" customHeight="1">
      <x:c r="A849" s="64" t="str">
        <x:v>T0848</x:v>
      </x:c>
      <x:c r="B849" s="28" t="str">
        <x:v>可信、安全、运营与思维模型</x:v>
      </x:c>
      <x:c r="C849" s="28" t="str">
        <x:v>可靠性、验证、复现与质量体系</x:v>
      </x:c>
      <x:c r="D849" s="28" t="str">
        <x:v>校准、维护与诊断</x:v>
      </x:c>
      <x:c r="E849" s="28" t="str">
        <x:v>质量与可靠性</x:v>
      </x:c>
      <x:c r="F849" s="28" t="str">
        <x:v>故障隔离</x:v>
      </x:c>
      <x:c r="G849" s="28" t="str">
        <x:v>围绕“故障隔离”建立从设备健康到结果复现的证据体系，使系统可诊断、可恢复、可审计、可重复。</x:v>
      </x:c>
      <x:c r="H849" s="28" t="str">
        <x:v>同一输入能否确定性回放；跨批次/设备/实验室能否复现？</x:v>
      </x:c>
      <x:c r="I849" s="28" t="str">
        <x:v>设备可用率；故障检出/隔离率；重复性/再现性；审计覆盖率；回归测试通过率</x:v>
      </x:c>
      <x:c r="J849" s="64" t="str">
        <x:v>基础能力</x:v>
      </x:c>
      <x:c r="K849" s="64" t="str">
        <x:v>P0</x:v>
      </x:c>
      <x:c r="L849" s="28" t="str">
        <x:v>S01; S03; S23; S51</x:v>
      </x:c>
      <x:c r="M849" s="28" t="str">
        <x:v>https://www.fda.gov/regulatory-information/search-fda-guidance-documents/part-11-electronic-records-electronic-signatures-scope-and-application</x:v>
      </x:c>
    </x:row>
    <x:row r="850" ht="48" customHeight="1">
      <x:c r="A850" s="64" t="str">
        <x:v>T0849</x:v>
      </x:c>
      <x:c r="B850" s="28" t="str">
        <x:v>可信、安全、运营与思维模型</x:v>
      </x:c>
      <x:c r="C850" s="28" t="str">
        <x:v>可靠性、验证、复现与质量体系</x:v>
      </x:c>
      <x:c r="D850" s="28" t="str">
        <x:v>校准、维护与诊断</x:v>
      </x:c>
      <x:c r="E850" s="28" t="str">
        <x:v>质量与可靠性</x:v>
      </x:c>
      <x:c r="F850" s="28" t="str">
        <x:v>故障容错</x:v>
      </x:c>
      <x:c r="G850" s="28" t="str">
        <x:v>围绕“故障容错”建立从设备健康到结果复现的证据体系，使系统可诊断、可恢复、可审计、可重复。</x:v>
      </x:c>
      <x:c r="H850" s="28" t="str">
        <x:v>同一输入能否确定性回放；跨批次/设备/实验室能否复现？</x:v>
      </x:c>
      <x:c r="I850" s="28" t="str">
        <x:v>设备可用率；故障检出/隔离率；重复性/再现性；审计覆盖率；回归测试通过率</x:v>
      </x:c>
      <x:c r="J850" s="64" t="str">
        <x:v>基础能力</x:v>
      </x:c>
      <x:c r="K850" s="64" t="str">
        <x:v>P0</x:v>
      </x:c>
      <x:c r="L850" s="28" t="str">
        <x:v>S01; S03; S23; S51</x:v>
      </x:c>
      <x:c r="M850" s="28" t="str">
        <x:v>https://pubs.acs.org/doi/10.1021/acs.chemrev.4c00055</x:v>
      </x:c>
    </x:row>
    <x:row r="851" ht="48" customHeight="1">
      <x:c r="A851" s="64" t="str">
        <x:v>T0850</x:v>
      </x:c>
      <x:c r="B851" s="28" t="str">
        <x:v>可信、安全、运营与思维模型</x:v>
      </x:c>
      <x:c r="C851" s="28" t="str">
        <x:v>可靠性、验证、复现与质量体系</x:v>
      </x:c>
      <x:c r="D851" s="28" t="str">
        <x:v>校准、维护与诊断</x:v>
      </x:c>
      <x:c r="E851" s="28" t="str">
        <x:v>质量与可靠性</x:v>
      </x:c>
      <x:c r="F851" s="28" t="str">
        <x:v>冗余</x:v>
      </x:c>
      <x:c r="G851" s="28" t="str">
        <x:v>围绕“冗余”建立从设备健康到结果复现的证据体系，使系统可诊断、可恢复、可审计、可重复。</x:v>
      </x:c>
      <x:c r="H851" s="28" t="str">
        <x:v>同一输入能否确定性回放；跨批次/设备/实验室能否复现？</x:v>
      </x:c>
      <x:c r="I851" s="28" t="str">
        <x:v>设备可用率；故障检出/隔离率；重复性/再现性；审计覆盖率；回归测试通过率</x:v>
      </x:c>
      <x:c r="J851" s="64" t="str">
        <x:v>基础能力</x:v>
      </x:c>
      <x:c r="K851" s="64" t="str">
        <x:v>P0</x:v>
      </x:c>
      <x:c r="L851" s="28" t="str">
        <x:v>S01; S03; S23; S51</x:v>
      </x:c>
      <x:c r="M851" s="28" t="str">
        <x:v>https://www.nature.com/articles/s41467-024-45569-5</x:v>
      </x:c>
    </x:row>
    <x:row r="852" ht="48" customHeight="1">
      <x:c r="A852" s="64" t="str">
        <x:v>T0851</x:v>
      </x:c>
      <x:c r="B852" s="28" t="str">
        <x:v>可信、安全、运营与思维模型</x:v>
      </x:c>
      <x:c r="C852" s="28" t="str">
        <x:v>可靠性、验证、复现与质量体系</x:v>
      </x:c>
      <x:c r="D852" s="28" t="str">
        <x:v>容错、联锁与恢复</x:v>
      </x:c>
      <x:c r="E852" s="28" t="str">
        <x:v>质量与可靠性</x:v>
      </x:c>
      <x:c r="F852" s="28" t="str">
        <x:v>看门狗</x:v>
      </x:c>
      <x:c r="G852" s="28" t="str">
        <x:v>围绕“看门狗”建立从设备健康到结果复现的证据体系，使系统可诊断、可恢复、可审计、可重复。</x:v>
      </x:c>
      <x:c r="H852" s="28" t="str">
        <x:v>同一输入能否确定性回放；跨批次/设备/实验室能否复现？</x:v>
      </x:c>
      <x:c r="I852" s="28" t="str">
        <x:v>设备可用率；故障检出/隔离率；重复性/再现性；审计覆盖率；回归测试通过率</x:v>
      </x:c>
      <x:c r="J852" s="64" t="str">
        <x:v>基础能力</x:v>
      </x:c>
      <x:c r="K852" s="64" t="str">
        <x:v>P1</x:v>
      </x:c>
      <x:c r="L852" s="28" t="str">
        <x:v>S01; S03; S23; S51</x:v>
      </x:c>
      <x:c r="M852" s="28" t="str">
        <x:v>https://www.nature.com/articles/sdata201618</x:v>
      </x:c>
    </x:row>
    <x:row r="853" ht="48" customHeight="1">
      <x:c r="A853" s="64" t="str">
        <x:v>T0852</x:v>
      </x:c>
      <x:c r="B853" s="28" t="str">
        <x:v>可信、安全、运营与思维模型</x:v>
      </x:c>
      <x:c r="C853" s="28" t="str">
        <x:v>可靠性、验证、复现与质量体系</x:v>
      </x:c>
      <x:c r="D853" s="28" t="str">
        <x:v>容错、联锁与恢复</x:v>
      </x:c>
      <x:c r="E853" s="28" t="str">
        <x:v>质量与可靠性</x:v>
      </x:c>
      <x:c r="F853" s="28" t="str">
        <x:v>安全联锁</x:v>
      </x:c>
      <x:c r="G853" s="28" t="str">
        <x:v>围绕“安全联锁”建立从设备健康到结果复现的证据体系，使系统可诊断、可恢复、可审计、可重复。</x:v>
      </x:c>
      <x:c r="H853" s="28" t="str">
        <x:v>同一输入能否确定性回放；跨批次/设备/实验室能否复现？</x:v>
      </x:c>
      <x:c r="I853" s="28" t="str">
        <x:v>设备可用率；故障检出/隔离率；重复性/再现性；审计覆盖率；回归测试通过率</x:v>
      </x:c>
      <x:c r="J853" s="64" t="str">
        <x:v>基础能力</x:v>
      </x:c>
      <x:c r="K853" s="64" t="str">
        <x:v>P1</x:v>
      </x:c>
      <x:c r="L853" s="28" t="str">
        <x:v>S01; S03; S23; S51</x:v>
      </x:c>
      <x:c r="M853" s="28" t="str">
        <x:v>https://www.fda.gov/regulatory-information/search-fda-guidance-documents/part-11-electronic-records-electronic-signatures-scope-and-application</x:v>
      </x:c>
    </x:row>
    <x:row r="854" ht="48" customHeight="1">
      <x:c r="A854" s="64" t="str">
        <x:v>T0853</x:v>
      </x:c>
      <x:c r="B854" s="28" t="str">
        <x:v>可信、安全、运营与思维模型</x:v>
      </x:c>
      <x:c r="C854" s="28" t="str">
        <x:v>可靠性、验证、复现与质量体系</x:v>
      </x:c>
      <x:c r="D854" s="28" t="str">
        <x:v>容错、联锁与恢复</x:v>
      </x:c>
      <x:c r="E854" s="28" t="str">
        <x:v>质量与可靠性</x:v>
      </x:c>
      <x:c r="F854" s="28" t="str">
        <x:v>急停</x:v>
      </x:c>
      <x:c r="G854" s="28" t="str">
        <x:v>围绕“急停”建立从设备健康到结果复现的证据体系，使系统可诊断、可恢复、可审计、可重复。</x:v>
      </x:c>
      <x:c r="H854" s="28" t="str">
        <x:v>同一输入能否确定性回放；跨批次/设备/实验室能否复现？</x:v>
      </x:c>
      <x:c r="I854" s="28" t="str">
        <x:v>设备可用率；故障检出/隔离率；重复性/再现性；审计覆盖率；回归测试通过率</x:v>
      </x:c>
      <x:c r="J854" s="64" t="str">
        <x:v>工程化关键</x:v>
      </x:c>
      <x:c r="K854" s="64" t="str">
        <x:v>P1</x:v>
      </x:c>
      <x:c r="L854" s="28" t="str">
        <x:v>S01; S03; S23; S51</x:v>
      </x:c>
      <x:c r="M854" s="28" t="str">
        <x:v>https://pubs.acs.org/doi/10.1021/acs.chemrev.4c00055</x:v>
      </x:c>
    </x:row>
    <x:row r="855" ht="48" customHeight="1">
      <x:c r="A855" s="64" t="str">
        <x:v>T0854</x:v>
      </x:c>
      <x:c r="B855" s="28" t="str">
        <x:v>可信、安全、运营与思维模型</x:v>
      </x:c>
      <x:c r="C855" s="28" t="str">
        <x:v>可靠性、验证、复现与质量体系</x:v>
      </x:c>
      <x:c r="D855" s="28" t="str">
        <x:v>容错、联锁与恢复</x:v>
      </x:c>
      <x:c r="E855" s="28" t="str">
        <x:v>质量与可靠性</x:v>
      </x:c>
      <x:c r="F855" s="28" t="str">
        <x:v>Fail-safe</x:v>
      </x:c>
      <x:c r="G855" s="28" t="str">
        <x:v>围绕“Fail-safe”建立从设备健康到结果复现的证据体系，使系统可诊断、可恢复、可审计、可重复。</x:v>
      </x:c>
      <x:c r="H855" s="28" t="str">
        <x:v>同一输入能否确定性回放；跨批次/设备/实验室能否复现？</x:v>
      </x:c>
      <x:c r="I855" s="28" t="str">
        <x:v>设备可用率；故障检出/隔离率；重复性/再现性；审计覆盖率；回归测试通过率</x:v>
      </x:c>
      <x:c r="J855" s="64" t="str">
        <x:v>工程化关键</x:v>
      </x:c>
      <x:c r="K855" s="64" t="str">
        <x:v>P1</x:v>
      </x:c>
      <x:c r="L855" s="28" t="str">
        <x:v>S01; S03; S23; S51</x:v>
      </x:c>
      <x:c r="M855" s="28" t="str">
        <x:v>https://www.nature.com/articles/s41467-024-45569-5</x:v>
      </x:c>
    </x:row>
    <x:row r="856" ht="48" customHeight="1">
      <x:c r="A856" s="64" t="str">
        <x:v>T0855</x:v>
      </x:c>
      <x:c r="B856" s="28" t="str">
        <x:v>可信、安全、运营与思维模型</x:v>
      </x:c>
      <x:c r="C856" s="28" t="str">
        <x:v>可靠性、验证、复现与质量体系</x:v>
      </x:c>
      <x:c r="D856" s="28" t="str">
        <x:v>容错、联锁与恢复</x:v>
      </x:c>
      <x:c r="E856" s="28" t="str">
        <x:v>质量与可靠性</x:v>
      </x:c>
      <x:c r="F856" s="28" t="str">
        <x:v>Fail-operational</x:v>
      </x:c>
      <x:c r="G856" s="28" t="str">
        <x:v>围绕“Fail-operational”建立从设备健康到结果复现的证据体系，使系统可诊断、可恢复、可审计、可重复。</x:v>
      </x:c>
      <x:c r="H856" s="28" t="str">
        <x:v>同一输入能否确定性回放；跨批次/设备/实验室能否复现？</x:v>
      </x:c>
      <x:c r="I856" s="28" t="str">
        <x:v>设备可用率；故障检出/隔离率；重复性/再现性；审计覆盖率；回归测试通过率</x:v>
      </x:c>
      <x:c r="J856" s="64" t="str">
        <x:v>工程化关键</x:v>
      </x:c>
      <x:c r="K856" s="64" t="str">
        <x:v>P1</x:v>
      </x:c>
      <x:c r="L856" s="28" t="str">
        <x:v>S01; S03; S23; S51</x:v>
      </x:c>
      <x:c r="M856" s="28" t="str">
        <x:v>https://www.nature.com/articles/sdata201618</x:v>
      </x:c>
    </x:row>
    <x:row r="857" ht="48" customHeight="1">
      <x:c r="A857" s="64" t="str">
        <x:v>T0856</x:v>
      </x:c>
      <x:c r="B857" s="28" t="str">
        <x:v>可信、安全、运营与思维模型</x:v>
      </x:c>
      <x:c r="C857" s="28" t="str">
        <x:v>可靠性、验证、复现与质量体系</x:v>
      </x:c>
      <x:c r="D857" s="28" t="str">
        <x:v>容错、联锁与恢复</x:v>
      </x:c>
      <x:c r="E857" s="28" t="str">
        <x:v>质量与可靠性</x:v>
      </x:c>
      <x:c r="F857" s="28" t="str">
        <x:v>质量系统优雅降级</x:v>
      </x:c>
      <x:c r="G857" s="28" t="str">
        <x:v>围绕“质量系统优雅降级”建立从设备健康到结果复现的证据体系，使系统可诊断、可恢复、可审计、可重复。</x:v>
      </x:c>
      <x:c r="H857" s="28" t="str">
        <x:v>同一输入能否确定性回放；跨批次/设备/实验室能否复现？</x:v>
      </x:c>
      <x:c r="I857" s="28" t="str">
        <x:v>设备可用率；故障检出/隔离率；重复性/再现性；审计覆盖率；回归测试通过率</x:v>
      </x:c>
      <x:c r="J857" s="64" t="str">
        <x:v>工程化关键</x:v>
      </x:c>
      <x:c r="K857" s="64" t="str">
        <x:v>P1</x:v>
      </x:c>
      <x:c r="L857" s="28" t="str">
        <x:v>S01; S03; S23; S51</x:v>
      </x:c>
      <x:c r="M857" s="28" t="str">
        <x:v>https://www.fda.gov/regulatory-information/search-fda-guidance-documents/part-11-electronic-records-electronic-signatures-scope-and-application</x:v>
      </x:c>
    </x:row>
    <x:row r="858" ht="48" customHeight="1">
      <x:c r="A858" s="64" t="str">
        <x:v>T0857</x:v>
      </x:c>
      <x:c r="B858" s="28" t="str">
        <x:v>可信、安全、运营与思维模型</x:v>
      </x:c>
      <x:c r="C858" s="28" t="str">
        <x:v>可靠性、验证、复现与质量体系</x:v>
      </x:c>
      <x:c r="D858" s="28" t="str">
        <x:v>容错、联锁与恢复</x:v>
      </x:c>
      <x:c r="E858" s="28" t="str">
        <x:v>质量与可靠性</x:v>
      </x:c>
      <x:c r="F858" s="28" t="str">
        <x:v>检查点/重启</x:v>
      </x:c>
      <x:c r="G858" s="28" t="str">
        <x:v>围绕“检查点/重启”建立从设备健康到结果复现的证据体系，使系统可诊断、可恢复、可审计、可重复。</x:v>
      </x:c>
      <x:c r="H858" s="28" t="str">
        <x:v>同一输入能否确定性回放；跨批次/设备/实验室能否复现？</x:v>
      </x:c>
      <x:c r="I858" s="28" t="str">
        <x:v>设备可用率；故障检出/隔离率；重复性/再现性；审计覆盖率；回归测试通过率</x:v>
      </x:c>
      <x:c r="J858" s="64" t="str">
        <x:v>工程化关键</x:v>
      </x:c>
      <x:c r="K858" s="64" t="str">
        <x:v>P1</x:v>
      </x:c>
      <x:c r="L858" s="28" t="str">
        <x:v>S01; S03; S23; S51</x:v>
      </x:c>
      <x:c r="M858" s="28" t="str">
        <x:v>https://pubs.acs.org/doi/10.1021/acs.chemrev.4c00055</x:v>
      </x:c>
    </x:row>
    <x:row r="859" ht="48" customHeight="1">
      <x:c r="A859" s="64" t="str">
        <x:v>T0858</x:v>
      </x:c>
      <x:c r="B859" s="28" t="str">
        <x:v>可信、安全、运营与思维模型</x:v>
      </x:c>
      <x:c r="C859" s="28" t="str">
        <x:v>可靠性、验证、复现与质量体系</x:v>
      </x:c>
      <x:c r="D859" s="28" t="str">
        <x:v>容错、联锁与恢复</x:v>
      </x:c>
      <x:c r="E859" s="28" t="str">
        <x:v>质量与可靠性</x:v>
      </x:c>
      <x:c r="F859" s="28" t="str">
        <x:v>幂等执行</x:v>
      </x:c>
      <x:c r="G859" s="28" t="str">
        <x:v>围绕“幂等执行”建立从设备健康到结果复现的证据体系，使系统可诊断、可恢复、可审计、可重复。</x:v>
      </x:c>
      <x:c r="H859" s="28" t="str">
        <x:v>同一输入能否确定性回放；跨批次/设备/实验室能否复现？</x:v>
      </x:c>
      <x:c r="I859" s="28" t="str">
        <x:v>设备可用率；故障检出/隔离率；重复性/再现性；审计覆盖率；回归测试通过率</x:v>
      </x:c>
      <x:c r="J859" s="64" t="str">
        <x:v>工程化关键</x:v>
      </x:c>
      <x:c r="K859" s="64" t="str">
        <x:v>P1</x:v>
      </x:c>
      <x:c r="L859" s="28" t="str">
        <x:v>S01; S03; S23; S51</x:v>
      </x:c>
      <x:c r="M859" s="28" t="str">
        <x:v>https://www.nature.com/articles/s41467-024-45569-5</x:v>
      </x:c>
    </x:row>
    <x:row r="860" ht="48" customHeight="1">
      <x:c r="A860" s="64" t="str">
        <x:v>T0859</x:v>
      </x:c>
      <x:c r="B860" s="28" t="str">
        <x:v>可信、安全、运营与思维模型</x:v>
      </x:c>
      <x:c r="C860" s="28" t="str">
        <x:v>可靠性、验证、复现与质量体系</x:v>
      </x:c>
      <x:c r="D860" s="28" t="str">
        <x:v>容错、联锁与恢复</x:v>
      </x:c>
      <x:c r="E860" s="28" t="str">
        <x:v>质量与可靠性</x:v>
      </x:c>
      <x:c r="F860" s="28" t="str">
        <x:v>确定性回放</x:v>
      </x:c>
      <x:c r="G860" s="28" t="str">
        <x:v>围绕“确定性回放”建立从设备健康到结果复现的证据体系，使系统可诊断、可恢复、可审计、可重复。</x:v>
      </x:c>
      <x:c r="H860" s="28" t="str">
        <x:v>同一输入能否确定性回放；跨批次/设备/实验室能否复现？</x:v>
      </x:c>
      <x:c r="I860" s="28" t="str">
        <x:v>设备可用率；故障检出/隔离率；重复性/再现性；审计覆盖率；回归测试通过率</x:v>
      </x:c>
      <x:c r="J860" s="64" t="str">
        <x:v>工程化关键</x:v>
      </x:c>
      <x:c r="K860" s="64" t="str">
        <x:v>P1</x:v>
      </x:c>
      <x:c r="L860" s="28" t="str">
        <x:v>S01; S03; S23; S51</x:v>
      </x:c>
      <x:c r="M860" s="28" t="str">
        <x:v>https://www.nature.com/articles/sdata201618</x:v>
      </x:c>
    </x:row>
    <x:row r="861" ht="48" customHeight="1">
      <x:c r="A861" s="64" t="str">
        <x:v>T0860</x:v>
      </x:c>
      <x:c r="B861" s="28" t="str">
        <x:v>可信、安全、运营与思维模型</x:v>
      </x:c>
      <x:c r="C861" s="28" t="str">
        <x:v>可靠性、验证、复现与质量体系</x:v>
      </x:c>
      <x:c r="D861" s="28" t="str">
        <x:v>容错、联锁与恢复</x:v>
      </x:c>
      <x:c r="E861" s="28" t="str">
        <x:v>质量与可靠性</x:v>
      </x:c>
      <x:c r="F861" s="28" t="str">
        <x:v>数字审计轨迹</x:v>
      </x:c>
      <x:c r="G861" s="28" t="str">
        <x:v>围绕“数字审计轨迹”建立从设备健康到结果复现的证据体系，使系统可诊断、可恢复、可审计、可重复。</x:v>
      </x:c>
      <x:c r="H861" s="28" t="str">
        <x:v>同一输入能否确定性回放；跨批次/设备/实验室能否复现？</x:v>
      </x:c>
      <x:c r="I861" s="28" t="str">
        <x:v>设备可用率；故障检出/隔离率；重复性/再现性；审计覆盖率；回归测试通过率</x:v>
      </x:c>
      <x:c r="J861" s="64" t="str">
        <x:v>工程化关键</x:v>
      </x:c>
      <x:c r="K861" s="64" t="str">
        <x:v>P1</x:v>
      </x:c>
      <x:c r="L861" s="28" t="str">
        <x:v>S01; S03; S23; S51</x:v>
      </x:c>
      <x:c r="M861" s="28" t="str">
        <x:v>https://www.fda.gov/regulatory-information/search-fda-guidance-documents/part-11-electronic-records-electronic-signatures-scope-and-application</x:v>
      </x:c>
    </x:row>
    <x:row r="862" ht="48" customHeight="1">
      <x:c r="A862" s="64" t="str">
        <x:v>T0861</x:v>
      </x:c>
      <x:c r="B862" s="28" t="str">
        <x:v>可信、安全、运营与思维模型</x:v>
      </x:c>
      <x:c r="C862" s="28" t="str">
        <x:v>可靠性、验证、复现与质量体系</x:v>
      </x:c>
      <x:c r="D862" s="28" t="str">
        <x:v>数字复现与数据完整性</x:v>
      </x:c>
      <x:c r="E862" s="28" t="str">
        <x:v>质量与可靠性</x:v>
      </x:c>
      <x:c r="F862" s="28" t="str">
        <x:v>版本锁定</x:v>
      </x:c>
      <x:c r="G862" s="28" t="str">
        <x:v>围绕“版本锁定”建立从设备健康到结果复现的证据体系，使系统可诊断、可恢复、可审计、可重复。</x:v>
      </x:c>
      <x:c r="H862" s="28" t="str">
        <x:v>同一输入能否确定性回放；跨批次/设备/实验室能否复现？</x:v>
      </x:c>
      <x:c r="I862" s="28" t="str">
        <x:v>设备可用率；故障检出/隔离率；重复性/再现性；审计覆盖率；回归测试通过率</x:v>
      </x:c>
      <x:c r="J862" s="64" t="str">
        <x:v>工程化关键</x:v>
      </x:c>
      <x:c r="K862" s="64" t="str">
        <x:v>P1</x:v>
      </x:c>
      <x:c r="L862" s="28" t="str">
        <x:v>S01; S03; S23; S51</x:v>
      </x:c>
      <x:c r="M862" s="28" t="str">
        <x:v>https://pubs.acs.org/doi/10.1021/acs.chemrev.4c00055</x:v>
      </x:c>
    </x:row>
    <x:row r="863" ht="48" customHeight="1">
      <x:c r="A863" s="64" t="str">
        <x:v>T0862</x:v>
      </x:c>
      <x:c r="B863" s="28" t="str">
        <x:v>可信、安全、运营与思维模型</x:v>
      </x:c>
      <x:c r="C863" s="28" t="str">
        <x:v>可靠性、验证、复现与质量体系</x:v>
      </x:c>
      <x:c r="D863" s="28" t="str">
        <x:v>数字复现与数据完整性</x:v>
      </x:c>
      <x:c r="E863" s="28" t="str">
        <x:v>质量与可靠性</x:v>
      </x:c>
      <x:c r="F863" s="28" t="str">
        <x:v>运行环境捕获</x:v>
      </x:c>
      <x:c r="G863" s="28" t="str">
        <x:v>围绕“运行环境捕获”建立从设备健康到结果复现的证据体系，使系统可诊断、可恢复、可审计、可重复。</x:v>
      </x:c>
      <x:c r="H863" s="28" t="str">
        <x:v>同一输入能否确定性回放；跨批次/设备/实验室能否复现？</x:v>
      </x:c>
      <x:c r="I863" s="28" t="str">
        <x:v>设备可用率；故障检出/隔离率；重复性/再现性；审计覆盖率；回归测试通过率</x:v>
      </x:c>
      <x:c r="J863" s="64" t="str">
        <x:v>工程化关键</x:v>
      </x:c>
      <x:c r="K863" s="64" t="str">
        <x:v>P1</x:v>
      </x:c>
      <x:c r="L863" s="28" t="str">
        <x:v>S01; S03; S23; S51</x:v>
      </x:c>
      <x:c r="M863" s="28" t="str">
        <x:v>https://www.nature.com/articles/s41467-024-45569-5</x:v>
      </x:c>
    </x:row>
    <x:row r="864" ht="48" customHeight="1">
      <x:c r="A864" s="64" t="str">
        <x:v>T0863</x:v>
      </x:c>
      <x:c r="B864" s="28" t="str">
        <x:v>可信、安全、运营与思维模型</x:v>
      </x:c>
      <x:c r="C864" s="28" t="str">
        <x:v>可靠性、验证、复现与质量体系</x:v>
      </x:c>
      <x:c r="D864" s="28" t="str">
        <x:v>数字复现与数据完整性</x:v>
      </x:c>
      <x:c r="E864" s="28" t="str">
        <x:v>质量与可靠性</x:v>
      </x:c>
      <x:c r="F864" s="28" t="str">
        <x:v>容器化复现</x:v>
      </x:c>
      <x:c r="G864" s="28" t="str">
        <x:v>围绕“容器化复现”建立从设备健康到结果复现的证据体系，使系统可诊断、可恢复、可审计、可重复。</x:v>
      </x:c>
      <x:c r="H864" s="28" t="str">
        <x:v>同一输入能否确定性回放；跨批次/设备/实验室能否复现？</x:v>
      </x:c>
      <x:c r="I864" s="28" t="str">
        <x:v>设备可用率；故障检出/隔离率；重复性/再现性；审计覆盖率；回归测试通过率</x:v>
      </x:c>
      <x:c r="J864" s="64" t="str">
        <x:v>工程化关键</x:v>
      </x:c>
      <x:c r="K864" s="64" t="str">
        <x:v>P1</x:v>
      </x:c>
      <x:c r="L864" s="28" t="str">
        <x:v>S01; S03; S23; S51</x:v>
      </x:c>
      <x:c r="M864" s="28" t="str">
        <x:v>https://www.nature.com/articles/sdata201618</x:v>
      </x:c>
    </x:row>
    <x:row r="865" ht="48" customHeight="1">
      <x:c r="A865" s="64" t="str">
        <x:v>T0864</x:v>
      </x:c>
      <x:c r="B865" s="28" t="str">
        <x:v>可信、安全、运营与思维模型</x:v>
      </x:c>
      <x:c r="C865" s="28" t="str">
        <x:v>可靠性、验证、复现与质量体系</x:v>
      </x:c>
      <x:c r="D865" s="28" t="str">
        <x:v>数字复现与数据完整性</x:v>
      </x:c>
      <x:c r="E865" s="28" t="str">
        <x:v>质量与可靠性</x:v>
      </x:c>
      <x:c r="F865" s="28" t="str">
        <x:v>数据校验和</x:v>
      </x:c>
      <x:c r="G865" s="28" t="str">
        <x:v>围绕“数据校验和”建立从设备健康到结果复现的证据体系，使系统可诊断、可恢复、可审计、可重复。</x:v>
      </x:c>
      <x:c r="H865" s="28" t="str">
        <x:v>同一输入能否确定性回放；跨批次/设备/实验室能否复现？</x:v>
      </x:c>
      <x:c r="I865" s="28" t="str">
        <x:v>设备可用率；故障检出/隔离率；重复性/再现性；审计覆盖率；回归测试通过率</x:v>
      </x:c>
      <x:c r="J865" s="64" t="str">
        <x:v>工程化关键</x:v>
      </x:c>
      <x:c r="K865" s="64" t="str">
        <x:v>P1</x:v>
      </x:c>
      <x:c r="L865" s="28" t="str">
        <x:v>S01; S03; S23; S51</x:v>
      </x:c>
      <x:c r="M865" s="28" t="str">
        <x:v>https://www.fda.gov/regulatory-information/search-fda-guidance-documents/part-11-electronic-records-electronic-signatures-scope-and-application</x:v>
      </x:c>
    </x:row>
    <x:row r="866" ht="48" customHeight="1">
      <x:c r="A866" s="64" t="str">
        <x:v>T0865</x:v>
      </x:c>
      <x:c r="B866" s="28" t="str">
        <x:v>可信、安全、运营与思维模型</x:v>
      </x:c>
      <x:c r="C866" s="28" t="str">
        <x:v>可靠性、验证、复现与质量体系</x:v>
      </x:c>
      <x:c r="D866" s="28" t="str">
        <x:v>数字复现与数据完整性</x:v>
      </x:c>
      <x:c r="E866" s="28" t="str">
        <x:v>质量与可靠性</x:v>
      </x:c>
      <x:c r="F866" s="28" t="str">
        <x:v>参考标准物质</x:v>
      </x:c>
      <x:c r="G866" s="28" t="str">
        <x:v>围绕“参考标准物质”建立从设备健康到结果复现的证据体系，使系统可诊断、可恢复、可审计、可重复。</x:v>
      </x:c>
      <x:c r="H866" s="28" t="str">
        <x:v>同一输入能否确定性回放；跨批次/设备/实验室能否复现？</x:v>
      </x:c>
      <x:c r="I866" s="28" t="str">
        <x:v>设备可用率；故障检出/隔离率；重复性/再现性；审计覆盖率；回归测试通过率</x:v>
      </x:c>
      <x:c r="J866" s="64" t="str">
        <x:v>工程化关键</x:v>
      </x:c>
      <x:c r="K866" s="64" t="str">
        <x:v>P1</x:v>
      </x:c>
      <x:c r="L866" s="28" t="str">
        <x:v>S01; S03; S23; S51</x:v>
      </x:c>
      <x:c r="M866" s="28" t="str">
        <x:v>https://pubs.acs.org/doi/10.1021/acs.chemrev.4c00055</x:v>
      </x:c>
    </x:row>
    <x:row r="867" ht="48" customHeight="1">
      <x:c r="A867" s="64" t="str">
        <x:v>T0866</x:v>
      </x:c>
      <x:c r="B867" s="28" t="str">
        <x:v>可信、安全、运营与思维模型</x:v>
      </x:c>
      <x:c r="C867" s="28" t="str">
        <x:v>可靠性、验证、复现与质量体系</x:v>
      </x:c>
      <x:c r="D867" s="28" t="str">
        <x:v>数字复现与数据完整性</x:v>
      </x:c>
      <x:c r="E867" s="28" t="str">
        <x:v>质量与可靠性</x:v>
      </x:c>
      <x:c r="F867" s="28" t="str">
        <x:v>QC样</x:v>
      </x:c>
      <x:c r="G867" s="28" t="str">
        <x:v>围绕“QC样”建立从设备健康到结果复现的证据体系，使系统可诊断、可恢复、可审计、可重复。</x:v>
      </x:c>
      <x:c r="H867" s="28" t="str">
        <x:v>同一输入能否确定性回放；跨批次/设备/实验室能否复现？</x:v>
      </x:c>
      <x:c r="I867" s="28" t="str">
        <x:v>设备可用率；故障检出/隔离率；重复性/再现性；审计覆盖率；回归测试通过率</x:v>
      </x:c>
      <x:c r="J867" s="64" t="str">
        <x:v>工程化关键</x:v>
      </x:c>
      <x:c r="K867" s="64" t="str">
        <x:v>P1</x:v>
      </x:c>
      <x:c r="L867" s="28" t="str">
        <x:v>S01; S03; S23; S51</x:v>
      </x:c>
      <x:c r="M867" s="28" t="str">
        <x:v>https://www.nature.com/articles/s41467-024-45569-5</x:v>
      </x:c>
    </x:row>
    <x:row r="868" ht="48" customHeight="1">
      <x:c r="A868" s="64" t="str">
        <x:v>T0867</x:v>
      </x:c>
      <x:c r="B868" s="28" t="str">
        <x:v>可信、安全、运营与思维模型</x:v>
      </x:c>
      <x:c r="C868" s="28" t="str">
        <x:v>可靠性、验证、复现与质量体系</x:v>
      </x:c>
      <x:c r="D868" s="28" t="str">
        <x:v>数字复现与数据完整性</x:v>
      </x:c>
      <x:c r="E868" s="28" t="str">
        <x:v>质量与可靠性</x:v>
      </x:c>
      <x:c r="F868" s="28" t="str">
        <x:v>控制图</x:v>
      </x:c>
      <x:c r="G868" s="28" t="str">
        <x:v>围绕“控制图”建立从设备健康到结果复现的证据体系，使系统可诊断、可恢复、可审计、可重复。</x:v>
      </x:c>
      <x:c r="H868" s="28" t="str">
        <x:v>同一输入能否确定性回放；跨批次/设备/实验室能否复现？</x:v>
      </x:c>
      <x:c r="I868" s="28" t="str">
        <x:v>设备可用率；故障检出/隔离率；重复性/再现性；审计覆盖率；回归测试通过率</x:v>
      </x:c>
      <x:c r="J868" s="64" t="str">
        <x:v>工程化关键</x:v>
      </x:c>
      <x:c r="K868" s="64" t="str">
        <x:v>P1</x:v>
      </x:c>
      <x:c r="L868" s="28" t="str">
        <x:v>S01; S03; S23; S51</x:v>
      </x:c>
      <x:c r="M868" s="28" t="str">
        <x:v>https://www.nature.com/articles/sdata201618</x:v>
      </x:c>
    </x:row>
    <x:row r="869" ht="48" customHeight="1">
      <x:c r="A869" s="64" t="str">
        <x:v>T0868</x:v>
      </x:c>
      <x:c r="B869" s="28" t="str">
        <x:v>可信、安全、运营与思维模型</x:v>
      </x:c>
      <x:c r="C869" s="28" t="str">
        <x:v>可靠性、验证、复现与质量体系</x:v>
      </x:c>
      <x:c r="D869" s="28" t="str">
        <x:v>数字复现与数据完整性</x:v>
      </x:c>
      <x:c r="E869" s="28" t="str">
        <x:v>质量与可靠性</x:v>
      </x:c>
      <x:c r="F869" s="28" t="str">
        <x:v>统计过程控制SPC</x:v>
      </x:c>
      <x:c r="G869" s="28" t="str">
        <x:v>围绕“统计过程控制SPC”建立从设备健康到结果复现的证据体系，使系统可诊断、可恢复、可审计、可重复。</x:v>
      </x:c>
      <x:c r="H869" s="28" t="str">
        <x:v>同一输入能否确定性回放；跨批次/设备/实验室能否复现？</x:v>
      </x:c>
      <x:c r="I869" s="28" t="str">
        <x:v>设备可用率；故障检出/隔离率；重复性/再现性；审计覆盖率；回归测试通过率</x:v>
      </x:c>
      <x:c r="J869" s="64" t="str">
        <x:v>工程化关键</x:v>
      </x:c>
      <x:c r="K869" s="64" t="str">
        <x:v>P1</x:v>
      </x:c>
      <x:c r="L869" s="28" t="str">
        <x:v>S01; S03; S23; S51</x:v>
      </x:c>
      <x:c r="M869" s="28" t="str">
        <x:v>https://www.fda.gov/regulatory-information/search-fda-guidance-documents/part-11-electronic-records-electronic-signatures-scope-and-application</x:v>
      </x:c>
    </x:row>
    <x:row r="870" ht="48" customHeight="1">
      <x:c r="A870" s="64" t="str">
        <x:v>T0869</x:v>
      </x:c>
      <x:c r="B870" s="28" t="str">
        <x:v>可信、安全、运营与思维模型</x:v>
      </x:c>
      <x:c r="C870" s="28" t="str">
        <x:v>可靠性、验证、复现与质量体系</x:v>
      </x:c>
      <x:c r="D870" s="28" t="str">
        <x:v>数字复现与数据完整性</x:v>
      </x:c>
      <x:c r="E870" s="28" t="str">
        <x:v>质量与可靠性</x:v>
      </x:c>
      <x:c r="F870" s="28" t="str">
        <x:v>Gage R&amp;R</x:v>
      </x:c>
      <x:c r="G870" s="28" t="str">
        <x:v>围绕“Gage R&amp;R”建立从设备健康到结果复现的证据体系，使系统可诊断、可恢复、可审计、可重复。</x:v>
      </x:c>
      <x:c r="H870" s="28" t="str">
        <x:v>同一输入能否确定性回放；跨批次/设备/实验室能否复现？</x:v>
      </x:c>
      <x:c r="I870" s="28" t="str">
        <x:v>设备可用率；故障检出/隔离率；重复性/再现性；审计覆盖率；回归测试通过率</x:v>
      </x:c>
      <x:c r="J870" s="64" t="str">
        <x:v>进阶能力</x:v>
      </x:c>
      <x:c r="K870" s="64" t="str">
        <x:v>P2</x:v>
      </x:c>
      <x:c r="L870" s="28" t="str">
        <x:v>S01; S03; S23; S51</x:v>
      </x:c>
      <x:c r="M870" s="28" t="str">
        <x:v>https://pubs.acs.org/doi/10.1021/acs.chemrev.4c00055</x:v>
      </x:c>
    </x:row>
    <x:row r="871" ht="48" customHeight="1">
      <x:c r="A871" s="64" t="str">
        <x:v>T0870</x:v>
      </x:c>
      <x:c r="B871" s="28" t="str">
        <x:v>可信、安全、运营与思维模型</x:v>
      </x:c>
      <x:c r="C871" s="28" t="str">
        <x:v>可靠性、验证、复现与质量体系</x:v>
      </x:c>
      <x:c r="D871" s="28" t="str">
        <x:v>数字复现与数据完整性</x:v>
      </x:c>
      <x:c r="E871" s="28" t="str">
        <x:v>质量与可靠性</x:v>
      </x:c>
      <x:c r="F871" s="28" t="str">
        <x:v>测量不确定度</x:v>
      </x:c>
      <x:c r="G871" s="28" t="str">
        <x:v>围绕“测量不确定度”建立从设备健康到结果复现的证据体系，使系统可诊断、可恢复、可审计、可重复。</x:v>
      </x:c>
      <x:c r="H871" s="28" t="str">
        <x:v>同一输入能否确定性回放；跨批次/设备/实验室能否复现？</x:v>
      </x:c>
      <x:c r="I871" s="28" t="str">
        <x:v>设备可用率；故障检出/隔离率；重复性/再现性；审计覆盖率；回归测试通过率</x:v>
      </x:c>
      <x:c r="J871" s="64" t="str">
        <x:v>进阶能力</x:v>
      </x:c>
      <x:c r="K871" s="64" t="str">
        <x:v>P2</x:v>
      </x:c>
      <x:c r="L871" s="28" t="str">
        <x:v>S01; S03; S23; S51</x:v>
      </x:c>
      <x:c r="M871" s="28" t="str">
        <x:v>https://www.nature.com/articles/s41467-024-45569-5</x:v>
      </x:c>
    </x:row>
    <x:row r="872" ht="48" customHeight="1">
      <x:c r="A872" s="64" t="str">
        <x:v>T0871</x:v>
      </x:c>
      <x:c r="B872" s="28" t="str">
        <x:v>可信、安全、运营与思维模型</x:v>
      </x:c>
      <x:c r="C872" s="28" t="str">
        <x:v>可靠性、验证、复现与质量体系</x:v>
      </x:c>
      <x:c r="D872" s="28" t="str">
        <x:v>质量统计、方法验证与基准</x:v>
      </x:c>
      <x:c r="E872" s="28" t="str">
        <x:v>质量与可靠性</x:v>
      </x:c>
      <x:c r="F872" s="28" t="str">
        <x:v>方法验证</x:v>
      </x:c>
      <x:c r="G872" s="28" t="str">
        <x:v>围绕“方法验证”建立从设备健康到结果复现的证据体系，使系统可诊断、可恢复、可审计、可重复。</x:v>
      </x:c>
      <x:c r="H872" s="28" t="str">
        <x:v>同一输入能否确定性回放；跨批次/设备/实验室能否复现？</x:v>
      </x:c>
      <x:c r="I872" s="28" t="str">
        <x:v>设备可用率；故障检出/隔离率；重复性/再现性；审计覆盖率；回归测试通过率</x:v>
      </x:c>
      <x:c r="J872" s="64" t="str">
        <x:v>进阶能力</x:v>
      </x:c>
      <x:c r="K872" s="64" t="str">
        <x:v>P2</x:v>
      </x:c>
      <x:c r="L872" s="28" t="str">
        <x:v>S01; S03; S23; S51</x:v>
      </x:c>
      <x:c r="M872" s="28" t="str">
        <x:v>https://www.nature.com/articles/sdata201618</x:v>
      </x:c>
    </x:row>
    <x:row r="873" ht="48" customHeight="1">
      <x:c r="A873" s="64" t="str">
        <x:v>T0872</x:v>
      </x:c>
      <x:c r="B873" s="28" t="str">
        <x:v>可信、安全、运营与思维模型</x:v>
      </x:c>
      <x:c r="C873" s="28" t="str">
        <x:v>可靠性、验证、复现与质量体系</x:v>
      </x:c>
      <x:c r="D873" s="28" t="str">
        <x:v>质量统计、方法验证与基准</x:v>
      </x:c>
      <x:c r="E873" s="28" t="str">
        <x:v>质量与可靠性</x:v>
      </x:c>
      <x:c r="F873" s="28" t="str">
        <x:v>重复性</x:v>
      </x:c>
      <x:c r="G873" s="28" t="str">
        <x:v>围绕“重复性”建立从设备健康到结果复现的证据体系，使系统可诊断、可恢复、可审计、可重复。</x:v>
      </x:c>
      <x:c r="H873" s="28" t="str">
        <x:v>同一输入能否确定性回放；跨批次/设备/实验室能否复现？</x:v>
      </x:c>
      <x:c r="I873" s="28" t="str">
        <x:v>设备可用率；故障检出/隔离率；重复性/再现性；审计覆盖率；回归测试通过率</x:v>
      </x:c>
      <x:c r="J873" s="64" t="str">
        <x:v>进阶能力</x:v>
      </x:c>
      <x:c r="K873" s="64" t="str">
        <x:v>P2</x:v>
      </x:c>
      <x:c r="L873" s="28" t="str">
        <x:v>S01; S03; S23; S51</x:v>
      </x:c>
      <x:c r="M873" s="28" t="str">
        <x:v>https://www.fda.gov/regulatory-information/search-fda-guidance-documents/part-11-electronic-records-electronic-signatures-scope-and-application</x:v>
      </x:c>
    </x:row>
    <x:row r="874" ht="48" customHeight="1">
      <x:c r="A874" s="64" t="str">
        <x:v>T0873</x:v>
      </x:c>
      <x:c r="B874" s="28" t="str">
        <x:v>可信、安全、运营与思维模型</x:v>
      </x:c>
      <x:c r="C874" s="28" t="str">
        <x:v>可靠性、验证、复现与质量体系</x:v>
      </x:c>
      <x:c r="D874" s="28" t="str">
        <x:v>质量统计、方法验证与基准</x:v>
      </x:c>
      <x:c r="E874" s="28" t="str">
        <x:v>质量与可靠性</x:v>
      </x:c>
      <x:c r="F874" s="28" t="str">
        <x:v>再现性</x:v>
      </x:c>
      <x:c r="G874" s="28" t="str">
        <x:v>围绕“再现性”建立从设备健康到结果复现的证据体系，使系统可诊断、可恢复、可审计、可重复。</x:v>
      </x:c>
      <x:c r="H874" s="28" t="str">
        <x:v>同一输入能否确定性回放；跨批次/设备/实验室能否复现？</x:v>
      </x:c>
      <x:c r="I874" s="28" t="str">
        <x:v>设备可用率；故障检出/隔离率；重复性/再现性；审计覆盖率；回归测试通过率</x:v>
      </x:c>
      <x:c r="J874" s="64" t="str">
        <x:v>进阶能力</x:v>
      </x:c>
      <x:c r="K874" s="64" t="str">
        <x:v>P2</x:v>
      </x:c>
      <x:c r="L874" s="28" t="str">
        <x:v>S01; S03; S23; S51</x:v>
      </x:c>
      <x:c r="M874" s="28" t="str">
        <x:v>https://pubs.acs.org/doi/10.1021/acs.chemrev.4c00055</x:v>
      </x:c>
    </x:row>
    <x:row r="875" ht="48" customHeight="1">
      <x:c r="A875" s="64" t="str">
        <x:v>T0874</x:v>
      </x:c>
      <x:c r="B875" s="28" t="str">
        <x:v>可信、安全、运营与思维模型</x:v>
      </x:c>
      <x:c r="C875" s="28" t="str">
        <x:v>可靠性、验证、复现与质量体系</x:v>
      </x:c>
      <x:c r="D875" s="28" t="str">
        <x:v>质量统计、方法验证与基准</x:v>
      </x:c>
      <x:c r="E875" s="28" t="str">
        <x:v>质量与可靠性</x:v>
      </x:c>
      <x:c r="F875" s="28" t="str">
        <x:v>鲁棒性</x:v>
      </x:c>
      <x:c r="G875" s="28" t="str">
        <x:v>围绕“鲁棒性”建立从设备健康到结果复现的证据体系，使系统可诊断、可恢复、可审计、可重复。</x:v>
      </x:c>
      <x:c r="H875" s="28" t="str">
        <x:v>同一输入能否确定性回放；跨批次/设备/实验室能否复现？</x:v>
      </x:c>
      <x:c r="I875" s="28" t="str">
        <x:v>设备可用率；故障检出/隔离率；重复性/再现性；审计覆盖率；回归测试通过率</x:v>
      </x:c>
      <x:c r="J875" s="64" t="str">
        <x:v>进阶能力</x:v>
      </x:c>
      <x:c r="K875" s="64" t="str">
        <x:v>P2</x:v>
      </x:c>
      <x:c r="L875" s="28" t="str">
        <x:v>S01; S03; S23; S51</x:v>
      </x:c>
      <x:c r="M875" s="28" t="str">
        <x:v>https://www.nature.com/articles/s41467-024-45569-5</x:v>
      </x:c>
    </x:row>
    <x:row r="876" ht="48" customHeight="1">
      <x:c r="A876" s="64" t="str">
        <x:v>T0875</x:v>
      </x:c>
      <x:c r="B876" s="28" t="str">
        <x:v>可信、安全、运营与思维模型</x:v>
      </x:c>
      <x:c r="C876" s="28" t="str">
        <x:v>可靠性、验证、复现与质量体系</x:v>
      </x:c>
      <x:c r="D876" s="28" t="str">
        <x:v>质量统计、方法验证与基准</x:v>
      </x:c>
      <x:c r="E876" s="28" t="str">
        <x:v>质量与可靠性</x:v>
      </x:c>
      <x:c r="F876" s="28" t="str">
        <x:v>Ruggedness</x:v>
      </x:c>
      <x:c r="G876" s="28" t="str">
        <x:v>围绕“Ruggedness”建立从设备健康到结果复现的证据体系，使系统可诊断、可恢复、可审计、可重复。</x:v>
      </x:c>
      <x:c r="H876" s="28" t="str">
        <x:v>同一输入能否确定性回放；跨批次/设备/实验室能否复现？</x:v>
      </x:c>
      <x:c r="I876" s="28" t="str">
        <x:v>设备可用率；故障检出/隔离率；重复性/再现性；审计覆盖率；回归测试通过率</x:v>
      </x:c>
      <x:c r="J876" s="64" t="str">
        <x:v>进阶能力</x:v>
      </x:c>
      <x:c r="K876" s="64" t="str">
        <x:v>P2</x:v>
      </x:c>
      <x:c r="L876" s="28" t="str">
        <x:v>S01; S03; S23; S51</x:v>
      </x:c>
      <x:c r="M876" s="28" t="str">
        <x:v>https://www.nature.com/articles/sdata201618</x:v>
      </x:c>
    </x:row>
    <x:row r="877" ht="48" customHeight="1">
      <x:c r="A877" s="64" t="str">
        <x:v>T0876</x:v>
      </x:c>
      <x:c r="B877" s="28" t="str">
        <x:v>可信、安全、运营与思维模型</x:v>
      </x:c>
      <x:c r="C877" s="28" t="str">
        <x:v>可靠性、验证、复现与质量体系</x:v>
      </x:c>
      <x:c r="D877" s="28" t="str">
        <x:v>质量统计、方法验证与基准</x:v>
      </x:c>
      <x:c r="E877" s="28" t="str">
        <x:v>质量与可靠性</x:v>
      </x:c>
      <x:c r="F877" s="28" t="str">
        <x:v>跨实验室验证</x:v>
      </x:c>
      <x:c r="G877" s="28" t="str">
        <x:v>围绕“跨实验室验证”建立从设备健康到结果复现的证据体系，使系统可诊断、可恢复、可审计、可重复。</x:v>
      </x:c>
      <x:c r="H877" s="28" t="str">
        <x:v>同一输入能否确定性回放；跨批次/设备/实验室能否复现？</x:v>
      </x:c>
      <x:c r="I877" s="28" t="str">
        <x:v>设备可用率；故障检出/隔离率；重复性/再现性；审计覆盖率；回归测试通过率</x:v>
      </x:c>
      <x:c r="J877" s="64" t="str">
        <x:v>进阶能力</x:v>
      </x:c>
      <x:c r="K877" s="64" t="str">
        <x:v>P2</x:v>
      </x:c>
      <x:c r="L877" s="28" t="str">
        <x:v>S01; S03; S23; S51</x:v>
      </x:c>
      <x:c r="M877" s="28" t="str">
        <x:v>https://www.fda.gov/regulatory-information/search-fda-guidance-documents/part-11-electronic-records-electronic-signatures-scope-and-application</x:v>
      </x:c>
    </x:row>
    <x:row r="878" ht="48" customHeight="1">
      <x:c r="A878" s="64" t="str">
        <x:v>T0877</x:v>
      </x:c>
      <x:c r="B878" s="28" t="str">
        <x:v>可信、安全、运营与思维模型</x:v>
      </x:c>
      <x:c r="C878" s="28" t="str">
        <x:v>可靠性、验证、复现与质量体系</x:v>
      </x:c>
      <x:c r="D878" s="28" t="str">
        <x:v>质量统计、方法验证与基准</x:v>
      </x:c>
      <x:c r="E878" s="28" t="str">
        <x:v>质量与可靠性</x:v>
      </x:c>
      <x:c r="F878" s="28" t="str">
        <x:v>基准测试</x:v>
      </x:c>
      <x:c r="G878" s="28" t="str">
        <x:v>围绕“基准测试”建立从设备健康到结果复现的证据体系，使系统可诊断、可恢复、可审计、可重复。</x:v>
      </x:c>
      <x:c r="H878" s="28" t="str">
        <x:v>同一输入能否确定性回放；跨批次/设备/实验室能否复现？</x:v>
      </x:c>
      <x:c r="I878" s="28" t="str">
        <x:v>设备可用率；故障检出/隔离率；重复性/再现性；审计覆盖率；回归测试通过率</x:v>
      </x:c>
      <x:c r="J878" s="64" t="str">
        <x:v>前沿能力</x:v>
      </x:c>
      <x:c r="K878" s="64" t="str">
        <x:v>P2</x:v>
      </x:c>
      <x:c r="L878" s="28" t="str">
        <x:v>S01; S03; S23; S51</x:v>
      </x:c>
      <x:c r="M878" s="28" t="str">
        <x:v>https://pubs.acs.org/doi/10.1021/acs.chemrev.4c00055</x:v>
      </x:c>
    </x:row>
    <x:row r="879" ht="48" customHeight="1">
      <x:c r="A879" s="64" t="str">
        <x:v>T0878</x:v>
      </x:c>
      <x:c r="B879" s="28" t="str">
        <x:v>可信、安全、运营与思维模型</x:v>
      </x:c>
      <x:c r="C879" s="28" t="str">
        <x:v>可靠性、验证、复现与质量体系</x:v>
      </x:c>
      <x:c r="D879" s="28" t="str">
        <x:v>质量统计、方法验证与基准</x:v>
      </x:c>
      <x:c r="E879" s="28" t="str">
        <x:v>质量与可靠性</x:v>
      </x:c>
      <x:c r="F879" s="28" t="str">
        <x:v>验收测试</x:v>
      </x:c>
      <x:c r="G879" s="28" t="str">
        <x:v>围绕“验收测试”建立从设备健康到结果复现的证据体系，使系统可诊断、可恢复、可审计、可重复。</x:v>
      </x:c>
      <x:c r="H879" s="28" t="str">
        <x:v>同一输入能否确定性回放；跨批次/设备/实验室能否复现？</x:v>
      </x:c>
      <x:c r="I879" s="28" t="str">
        <x:v>设备可用率；故障检出/隔离率；重复性/再现性；审计覆盖率；回归测试通过率</x:v>
      </x:c>
      <x:c r="J879" s="64" t="str">
        <x:v>前沿能力</x:v>
      </x:c>
      <x:c r="K879" s="64" t="str">
        <x:v>P2</x:v>
      </x:c>
      <x:c r="L879" s="28" t="str">
        <x:v>S01; S03; S23; S51</x:v>
      </x:c>
      <x:c r="M879" s="28" t="str">
        <x:v>https://www.nature.com/articles/s41467-024-45569-5</x:v>
      </x:c>
    </x:row>
    <x:row r="880" ht="48" customHeight="1">
      <x:c r="A880" s="64" t="str">
        <x:v>T0879</x:v>
      </x:c>
      <x:c r="B880" s="28" t="str">
        <x:v>可信、安全、运营与思维模型</x:v>
      </x:c>
      <x:c r="C880" s="28" t="str">
        <x:v>可靠性、验证、复现与质量体系</x:v>
      </x:c>
      <x:c r="D880" s="28" t="str">
        <x:v>质量统计、方法验证与基准</x:v>
      </x:c>
      <x:c r="E880" s="28" t="str">
        <x:v>质量与可靠性</x:v>
      </x:c>
      <x:c r="F880" s="28" t="str">
        <x:v>回归测试</x:v>
      </x:c>
      <x:c r="G880" s="28" t="str">
        <x:v>围绕“回归测试”建立从设备健康到结果复现的证据体系，使系统可诊断、可恢复、可审计、可重复。</x:v>
      </x:c>
      <x:c r="H880" s="28" t="str">
        <x:v>同一输入能否确定性回放；跨批次/设备/实验室能否复现？</x:v>
      </x:c>
      <x:c r="I880" s="28" t="str">
        <x:v>设备可用率；故障检出/隔离率；重复性/再现性；审计覆盖率；回归测试通过率</x:v>
      </x:c>
      <x:c r="J880" s="64" t="str">
        <x:v>前沿能力</x:v>
      </x:c>
      <x:c r="K880" s="64" t="str">
        <x:v>P2</x:v>
      </x:c>
      <x:c r="L880" s="28" t="str">
        <x:v>S01; S03; S23; S51</x:v>
      </x:c>
      <x:c r="M880" s="28" t="str">
        <x:v>https://www.nature.com/articles/sdata201618</x:v>
      </x:c>
    </x:row>
    <x:row r="881" ht="48" customHeight="1">
      <x:c r="A881" s="64" t="str">
        <x:v>T0880</x:v>
      </x:c>
      <x:c r="B881" s="28" t="str">
        <x:v>可信、安全、运营与思维模型</x:v>
      </x:c>
      <x:c r="C881" s="28" t="str">
        <x:v>可靠性、验证、复现与质量体系</x:v>
      </x:c>
      <x:c r="D881" s="28" t="str">
        <x:v>质量统计、方法验证与基准</x:v>
      </x:c>
      <x:c r="E881" s="28" t="str">
        <x:v>质量与可靠性</x:v>
      </x:c>
      <x:c r="F881" s="28" t="str">
        <x:v>复现包</x:v>
      </x:c>
      <x:c r="G881" s="28" t="str">
        <x:v>围绕“复现包”建立从设备健康到结果复现的证据体系，使系统可诊断、可恢复、可审计、可重复。</x:v>
      </x:c>
      <x:c r="H881" s="28" t="str">
        <x:v>同一输入能否确定性回放；跨批次/设备/实验室能否复现？</x:v>
      </x:c>
      <x:c r="I881" s="28" t="str">
        <x:v>设备可用率；故障检出/隔离率；重复性/再现性；审计覆盖率；回归测试通过率</x:v>
      </x:c>
      <x:c r="J881" s="64" t="str">
        <x:v>前沿能力</x:v>
      </x:c>
      <x:c r="K881" s="64" t="str">
        <x:v>P2</x:v>
      </x:c>
      <x:c r="L881" s="28" t="str">
        <x:v>S01; S03; S23; S51</x:v>
      </x:c>
      <x:c r="M881" s="28" t="str">
        <x:v>https://www.fda.gov/regulatory-information/search-fda-guidance-documents/part-11-electronic-records-electronic-signatures-scope-and-application</x:v>
      </x:c>
    </x:row>
    <x:row r="882" ht="48" customHeight="1">
      <x:c r="A882" s="64" t="str">
        <x:v>T0881</x:v>
      </x:c>
      <x:c r="B882" s="28" t="str">
        <x:v>可信、安全、运营与思维模型</x:v>
      </x:c>
      <x:c r="C882" s="28" t="str">
        <x:v>实验安全、网络安全、合规与负责任AI</x:v>
      </x:c>
      <x:c r="D882" s="28" t="str">
        <x:v>实验过程安全</x:v>
      </x:c>
      <x:c r="E882" s="28" t="str">
        <x:v>安全、合规与治理</x:v>
      </x:c>
      <x:c r="F882" s="28" t="str">
        <x:v>化学卫生计划</x:v>
      </x:c>
      <x:c r="G882" s="28" t="str">
        <x:v>把“化学卫生计划”转化为可执行的预防、检测、联锁、授权和应急控制，覆盖物理实验、OT网络与AI工具链。</x:v>
      </x:c>
      <x:c r="H882" s="28" t="str">
        <x:v>危害是否有多层防护；高风险动作能否在失效时自动进入安全态？</x:v>
      </x:c>
      <x:c r="I882" s="28" t="str">
        <x:v>事故/险情率；联锁覆盖率；高风险授权合规率；漏洞修复时间；应急演练通过率</x:v>
      </x:c>
      <x:c r="J882" s="64" t="str">
        <x:v>基础能力</x:v>
      </x:c>
      <x:c r="K882" s="64" t="str">
        <x:v>P0</x:v>
      </x:c>
      <x:c r="L882" s="28" t="str">
        <x:v>S46; S47; S48; S49; S50; S51</x:v>
      </x:c>
      <x:c r="M882" s="28" t="str">
        <x:v>https://www.nature.com/articles/s41467-025-63913-1</x:v>
      </x:c>
    </x:row>
    <x:row r="883" ht="48" customHeight="1">
      <x:c r="A883" s="64" t="str">
        <x:v>T0882</x:v>
      </x:c>
      <x:c r="B883" s="28" t="str">
        <x:v>可信、安全、运营与思维模型</x:v>
      </x:c>
      <x:c r="C883" s="28" t="str">
        <x:v>实验安全、网络安全、合规与负责任AI</x:v>
      </x:c>
      <x:c r="D883" s="28" t="str">
        <x:v>实验过程安全</x:v>
      </x:c>
      <x:c r="E883" s="28" t="str">
        <x:v>安全、合规与治理</x:v>
      </x:c>
      <x:c r="F883" s="28" t="str">
        <x:v>作业风险评估</x:v>
      </x:c>
      <x:c r="G883" s="28" t="str">
        <x:v>把“作业风险评估”转化为可执行的预防、检测、联锁、授权和应急控制，覆盖物理实验、OT网络与AI工具链。</x:v>
      </x:c>
      <x:c r="H883" s="28" t="str">
        <x:v>危害是否有多层防护；高风险动作能否在失效时自动进入安全态？</x:v>
      </x:c>
      <x:c r="I883" s="28" t="str">
        <x:v>事故/险情率；联锁覆盖率；高风险授权合规率；漏洞修复时间；应急演练通过率</x:v>
      </x:c>
      <x:c r="J883" s="64" t="str">
        <x:v>基础能力</x:v>
      </x:c>
      <x:c r="K883" s="64" t="str">
        <x:v>P0</x:v>
      </x:c>
      <x:c r="L883" s="28" t="str">
        <x:v>S46; S47; S48; S49; S50; S51</x:v>
      </x:c>
      <x:c r="M883" s="28" t="str">
        <x:v>https://www.nist.gov/itl/ai-risk-management-framework</x:v>
      </x:c>
    </x:row>
    <x:row r="884" ht="48" customHeight="1">
      <x:c r="A884" s="64" t="str">
        <x:v>T0883</x:v>
      </x:c>
      <x:c r="B884" s="28" t="str">
        <x:v>可信、安全、运营与思维模型</x:v>
      </x:c>
      <x:c r="C884" s="28" t="str">
        <x:v>实验安全、网络安全、合规与负责任AI</x:v>
      </x:c>
      <x:c r="D884" s="28" t="str">
        <x:v>实验过程安全</x:v>
      </x:c>
      <x:c r="E884" s="28" t="str">
        <x:v>安全、合规与治理</x:v>
      </x:c>
      <x:c r="F884" s="28" t="str">
        <x:v>HAZOP</x:v>
      </x:c>
      <x:c r="G884" s="28" t="str">
        <x:v>把“HAZOP”转化为可执行的预防、检测、联锁、授权和应急控制，覆盖物理实验、OT网络与AI工具链。</x:v>
      </x:c>
      <x:c r="H884" s="28" t="str">
        <x:v>危害是否有多层防护；高风险动作能否在失效时自动进入安全态？</x:v>
      </x:c>
      <x:c r="I884" s="28" t="str">
        <x:v>事故/险情率；联锁覆盖率；高风险授权合规率；漏洞修复时间；应急演练通过率</x:v>
      </x:c>
      <x:c r="J884" s="64" t="str">
        <x:v>基础能力</x:v>
      </x:c>
      <x:c r="K884" s="64" t="str">
        <x:v>P0</x:v>
      </x:c>
      <x:c r="L884" s="28" t="str">
        <x:v>S46; S47; S48; S49; S50; S51</x:v>
      </x:c>
      <x:c r="M884" s="28" t="str">
        <x:v>https://www.nist.gov/cyberframework</x:v>
      </x:c>
    </x:row>
    <x:row r="885" ht="48" customHeight="1">
      <x:c r="A885" s="64" t="str">
        <x:v>T0884</x:v>
      </x:c>
      <x:c r="B885" s="28" t="str">
        <x:v>可信、安全、运营与思维模型</x:v>
      </x:c>
      <x:c r="C885" s="28" t="str">
        <x:v>实验安全、网络安全、合规与负责任AI</x:v>
      </x:c>
      <x:c r="D885" s="28" t="str">
        <x:v>实验过程安全</x:v>
      </x:c>
      <x:c r="E885" s="28" t="str">
        <x:v>安全、合规与治理</x:v>
      </x:c>
      <x:c r="F885" s="28" t="str">
        <x:v>FMEA</x:v>
      </x:c>
      <x:c r="G885" s="28" t="str">
        <x:v>把“FMEA”转化为可执行的预防、检测、联锁、授权和应急控制，覆盖物理实验、OT网络与AI工具链。</x:v>
      </x:c>
      <x:c r="H885" s="28" t="str">
        <x:v>危害是否有多层防护；高风险动作能否在失效时自动进入安全态？</x:v>
      </x:c>
      <x:c r="I885" s="28" t="str">
        <x:v>事故/险情率；联锁覆盖率；高风险授权合规率；漏洞修复时间；应急演练通过率</x:v>
      </x:c>
      <x:c r="J885" s="64" t="str">
        <x:v>基础能力</x:v>
      </x:c>
      <x:c r="K885" s="64" t="str">
        <x:v>P0</x:v>
      </x:c>
      <x:c r="L885" s="28" t="str">
        <x:v>S46; S47; S48; S49; S50; S51</x:v>
      </x:c>
      <x:c r="M885" s="28" t="str">
        <x:v>https://csrc.nist.gov/pubs/sp/800/82/r3/final</x:v>
      </x:c>
    </x:row>
    <x:row r="886" ht="48" customHeight="1">
      <x:c r="A886" s="64" t="str">
        <x:v>T0885</x:v>
      </x:c>
      <x:c r="B886" s="28" t="str">
        <x:v>可信、安全、运营与思维模型</x:v>
      </x:c>
      <x:c r="C886" s="28" t="str">
        <x:v>实验安全、网络安全、合规与负责任AI</x:v>
      </x:c>
      <x:c r="D886" s="28" t="str">
        <x:v>实验过程安全</x:v>
      </x:c>
      <x:c r="E886" s="28" t="str">
        <x:v>安全、合规与治理</x:v>
      </x:c>
      <x:c r="F886" s="28" t="str">
        <x:v>LOPA</x:v>
      </x:c>
      <x:c r="G886" s="28" t="str">
        <x:v>把“LOPA”转化为可执行的预防、检测、联锁、授权和应急控制，覆盖物理实验、OT网络与AI工具链。</x:v>
      </x:c>
      <x:c r="H886" s="28" t="str">
        <x:v>危害是否有多层防护；高风险动作能否在失效时自动进入安全态？</x:v>
      </x:c>
      <x:c r="I886" s="28" t="str">
        <x:v>事故/险情率；联锁覆盖率；高风险授权合规率；漏洞修复时间；应急演练通过率</x:v>
      </x:c>
      <x:c r="J886" s="64" t="str">
        <x:v>基础能力</x:v>
      </x:c>
      <x:c r="K886" s="64" t="str">
        <x:v>P0</x:v>
      </x:c>
      <x:c r="L886" s="28" t="str">
        <x:v>S46; S47; S48; S49; S50; S51</x:v>
      </x:c>
      <x:c r="M886" s="28" t="str">
        <x:v>https://www.osha.gov/laws-regs/regulations/standardnumber/1910/1910.1450</x:v>
      </x:c>
    </x:row>
    <x:row r="887" ht="48" customHeight="1">
      <x:c r="A887" s="64" t="str">
        <x:v>T0886</x:v>
      </x:c>
      <x:c r="B887" s="28" t="str">
        <x:v>可信、安全、运营与思维模型</x:v>
      </x:c>
      <x:c r="C887" s="28" t="str">
        <x:v>实验安全、网络安全、合规与负责任AI</x:v>
      </x:c>
      <x:c r="D887" s="28" t="str">
        <x:v>实验过程安全</x:v>
      </x:c>
      <x:c r="E887" s="28" t="str">
        <x:v>安全、合规与治理</x:v>
      </x:c>
      <x:c r="F887" s="28" t="str">
        <x:v>Bow-tie分析</x:v>
      </x:c>
      <x:c r="G887" s="28" t="str">
        <x:v>把“Bow-tie分析”转化为可执行的预防、检测、联锁、授权和应急控制，覆盖物理实验、OT网络与AI工具链。</x:v>
      </x:c>
      <x:c r="H887" s="28" t="str">
        <x:v>危害是否有多层防护；高风险动作能否在失效时自动进入安全态？</x:v>
      </x:c>
      <x:c r="I887" s="28" t="str">
        <x:v>事故/险情率；联锁覆盖率；高风险授权合规率；漏洞修复时间；应急演练通过率</x:v>
      </x:c>
      <x:c r="J887" s="64" t="str">
        <x:v>基础能力</x:v>
      </x:c>
      <x:c r="K887" s="64" t="str">
        <x:v>P0</x:v>
      </x:c>
      <x:c r="L887" s="28" t="str">
        <x:v>S46; S47; S48; S49; S50; S51</x:v>
      </x:c>
      <x:c r="M887" s="28" t="str">
        <x:v>https://www.fda.gov/regulatory-information/search-fda-guidance-documents/part-11-electronic-records-electronic-signatures-scope-and-application</x:v>
      </x:c>
    </x:row>
    <x:row r="888" ht="48" customHeight="1">
      <x:c r="A888" s="64" t="str">
        <x:v>T0887</x:v>
      </x:c>
      <x:c r="B888" s="28" t="str">
        <x:v>可信、安全、运营与思维模型</x:v>
      </x:c>
      <x:c r="C888" s="28" t="str">
        <x:v>实验安全、网络安全、合规与负责任AI</x:v>
      </x:c>
      <x:c r="D888" s="28" t="str">
        <x:v>实验过程安全</x:v>
      </x:c>
      <x:c r="E888" s="28" t="str">
        <x:v>安全、合规与治理</x:v>
      </x:c>
      <x:c r="F888" s="28" t="str">
        <x:v>SDS联动</x:v>
      </x:c>
      <x:c r="G888" s="28" t="str">
        <x:v>把“SDS联动”转化为可执行的预防、检测、联锁、授权和应急控制，覆盖物理实验、OT网络与AI工具链。</x:v>
      </x:c>
      <x:c r="H888" s="28" t="str">
        <x:v>危害是否有多层防护；高风险动作能否在失效时自动进入安全态？</x:v>
      </x:c>
      <x:c r="I888" s="28" t="str">
        <x:v>事故/险情率；联锁覆盖率；高风险授权合规率；漏洞修复时间；应急演练通过率</x:v>
      </x:c>
      <x:c r="J888" s="64" t="str">
        <x:v>基础能力</x:v>
      </x:c>
      <x:c r="K888" s="64" t="str">
        <x:v>P0</x:v>
      </x:c>
      <x:c r="L888" s="28" t="str">
        <x:v>S46; S47; S48; S49; S50; S51</x:v>
      </x:c>
      <x:c r="M888" s="28" t="str">
        <x:v>https://www.nature.com/articles/s41467-025-63913-1</x:v>
      </x:c>
    </x:row>
    <x:row r="889" ht="48" customHeight="1">
      <x:c r="A889" s="64" t="str">
        <x:v>T0888</x:v>
      </x:c>
      <x:c r="B889" s="28" t="str">
        <x:v>可信、安全、运营与思维模型</x:v>
      </x:c>
      <x:c r="C889" s="28" t="str">
        <x:v>实验安全、网络安全、合规与负责任AI</x:v>
      </x:c>
      <x:c r="D889" s="28" t="str">
        <x:v>实验过程安全</x:v>
      </x:c>
      <x:c r="E889" s="28" t="str">
        <x:v>安全、合规与治理</x:v>
      </x:c>
      <x:c r="F889" s="28" t="str">
        <x:v>化学相容性</x:v>
      </x:c>
      <x:c r="G889" s="28" t="str">
        <x:v>把“化学相容性”转化为可执行的预防、检测、联锁、授权和应急控制，覆盖物理实验、OT网络与AI工具链。</x:v>
      </x:c>
      <x:c r="H889" s="28" t="str">
        <x:v>危害是否有多层防护；高风险动作能否在失效时自动进入安全态？</x:v>
      </x:c>
      <x:c r="I889" s="28" t="str">
        <x:v>事故/险情率；联锁覆盖率；高风险授权合规率；漏洞修复时间；应急演练通过率</x:v>
      </x:c>
      <x:c r="J889" s="64" t="str">
        <x:v>基础能力</x:v>
      </x:c>
      <x:c r="K889" s="64" t="str">
        <x:v>P0</x:v>
      </x:c>
      <x:c r="L889" s="28" t="str">
        <x:v>S46; S47; S48; S49; S50; S51</x:v>
      </x:c>
      <x:c r="M889" s="28" t="str">
        <x:v>https://www.nist.gov/itl/ai-risk-management-framework</x:v>
      </x:c>
    </x:row>
    <x:row r="890" ht="48" customHeight="1">
      <x:c r="A890" s="64" t="str">
        <x:v>T0889</x:v>
      </x:c>
      <x:c r="B890" s="28" t="str">
        <x:v>可信、安全、运营与思维模型</x:v>
      </x:c>
      <x:c r="C890" s="28" t="str">
        <x:v>实验安全、网络安全、合规与负责任AI</x:v>
      </x:c>
      <x:c r="D890" s="28" t="str">
        <x:v>实验过程安全</x:v>
      </x:c>
      <x:c r="E890" s="28" t="str">
        <x:v>安全、合规与治理</x:v>
      </x:c>
      <x:c r="F890" s="28" t="str">
        <x:v>库存上限</x:v>
      </x:c>
      <x:c r="G890" s="28" t="str">
        <x:v>把“库存上限”转化为可执行的预防、检测、联锁、授权和应急控制，覆盖物理实验、OT网络与AI工具链。</x:v>
      </x:c>
      <x:c r="H890" s="28" t="str">
        <x:v>危害是否有多层防护；高风险动作能否在失效时自动进入安全态？</x:v>
      </x:c>
      <x:c r="I890" s="28" t="str">
        <x:v>事故/险情率；联锁覆盖率；高风险授权合规率；漏洞修复时间；应急演练通过率</x:v>
      </x:c>
      <x:c r="J890" s="64" t="str">
        <x:v>基础能力</x:v>
      </x:c>
      <x:c r="K890" s="64" t="str">
        <x:v>P0</x:v>
      </x:c>
      <x:c r="L890" s="28" t="str">
        <x:v>S46; S47; S48; S49; S50; S51</x:v>
      </x:c>
      <x:c r="M890" s="28" t="str">
        <x:v>https://www.nist.gov/cyberframework</x:v>
      </x:c>
    </x:row>
    <x:row r="891" ht="48" customHeight="1">
      <x:c r="A891" s="64" t="str">
        <x:v>T0890</x:v>
      </x:c>
      <x:c r="B891" s="28" t="str">
        <x:v>可信、安全、运营与思维模型</x:v>
      </x:c>
      <x:c r="C891" s="28" t="str">
        <x:v>实验安全、网络安全、合规与负责任AI</x:v>
      </x:c>
      <x:c r="D891" s="28" t="str">
        <x:v>实验过程安全</x:v>
      </x:c>
      <x:c r="E891" s="28" t="str">
        <x:v>安全、合规与治理</x:v>
      </x:c>
      <x:c r="F891" s="28" t="str">
        <x:v>暴露监测</x:v>
      </x:c>
      <x:c r="G891" s="28" t="str">
        <x:v>把“暴露监测”转化为可执行的预防、检测、联锁、授权和应急控制，覆盖物理实验、OT网络与AI工具链。</x:v>
      </x:c>
      <x:c r="H891" s="28" t="str">
        <x:v>危害是否有多层防护；高风险动作能否在失效时自动进入安全态？</x:v>
      </x:c>
      <x:c r="I891" s="28" t="str">
        <x:v>事故/险情率；联锁覆盖率；高风险授权合规率；漏洞修复时间；应急演练通过率</x:v>
      </x:c>
      <x:c r="J891" s="64" t="str">
        <x:v>基础能力</x:v>
      </x:c>
      <x:c r="K891" s="64" t="str">
        <x:v>P0</x:v>
      </x:c>
      <x:c r="L891" s="28" t="str">
        <x:v>S46; S47; S48; S49; S50; S51</x:v>
      </x:c>
      <x:c r="M891" s="28" t="str">
        <x:v>https://csrc.nist.gov/pubs/sp/800/82/r3/final</x:v>
      </x:c>
    </x:row>
    <x:row r="892" ht="48" customHeight="1">
      <x:c r="A892" s="64" t="str">
        <x:v>T0891</x:v>
      </x:c>
      <x:c r="B892" s="28" t="str">
        <x:v>可信、安全、运营与思维模型</x:v>
      </x:c>
      <x:c r="C892" s="28" t="str">
        <x:v>实验安全、网络安全、合规与负责任AI</x:v>
      </x:c>
      <x:c r="D892" s="28" t="str">
        <x:v>专项安全与应急</x:v>
      </x:c>
      <x:c r="E892" s="28" t="str">
        <x:v>安全、合规与治理</x:v>
      </x:c>
      <x:c r="F892" s="28" t="str">
        <x:v>通风橱/局部排风</x:v>
      </x:c>
      <x:c r="G892" s="28" t="str">
        <x:v>把“通风橱/局部排风”转化为可执行的预防、检测、联锁、授权和应急控制，覆盖物理实验、OT网络与AI工具链。</x:v>
      </x:c>
      <x:c r="H892" s="28" t="str">
        <x:v>危害是否有多层防护；高风险动作能否在失效时自动进入安全态？</x:v>
      </x:c>
      <x:c r="I892" s="28" t="str">
        <x:v>事故/险情率；联锁覆盖率；高风险授权合规率；漏洞修复时间；应急演练通过率</x:v>
      </x:c>
      <x:c r="J892" s="64" t="str">
        <x:v>基础能力</x:v>
      </x:c>
      <x:c r="K892" s="64" t="str">
        <x:v>P1</x:v>
      </x:c>
      <x:c r="L892" s="28" t="str">
        <x:v>S46; S47; S48; S49; S50; S51</x:v>
      </x:c>
      <x:c r="M892" s="28" t="str">
        <x:v>https://www.osha.gov/laws-regs/regulations/standardnumber/1910/1910.1450</x:v>
      </x:c>
    </x:row>
    <x:row r="893" ht="48" customHeight="1">
      <x:c r="A893" s="64" t="str">
        <x:v>T0892</x:v>
      </x:c>
      <x:c r="B893" s="28" t="str">
        <x:v>可信、安全、运营与思维模型</x:v>
      </x:c>
      <x:c r="C893" s="28" t="str">
        <x:v>实验安全、网络安全、合规与负责任AI</x:v>
      </x:c>
      <x:c r="D893" s="28" t="str">
        <x:v>专项安全与应急</x:v>
      </x:c>
      <x:c r="E893" s="28" t="str">
        <x:v>安全、合规与治理</x:v>
      </x:c>
      <x:c r="F893" s="28" t="str">
        <x:v>一次/二次围护</x:v>
      </x:c>
      <x:c r="G893" s="28" t="str">
        <x:v>把“一次/二次围护”转化为可执行的预防、检测、联锁、授权和应急控制，覆盖物理实验、OT网络与AI工具链。</x:v>
      </x:c>
      <x:c r="H893" s="28" t="str">
        <x:v>危害是否有多层防护；高风险动作能否在失效时自动进入安全态？</x:v>
      </x:c>
      <x:c r="I893" s="28" t="str">
        <x:v>事故/险情率；联锁覆盖率；高风险授权合规率；漏洞修复时间；应急演练通过率</x:v>
      </x:c>
      <x:c r="J893" s="64" t="str">
        <x:v>基础能力</x:v>
      </x:c>
      <x:c r="K893" s="64" t="str">
        <x:v>P1</x:v>
      </x:c>
      <x:c r="L893" s="28" t="str">
        <x:v>S46; S47; S48; S49; S50; S51</x:v>
      </x:c>
      <x:c r="M893" s="28" t="str">
        <x:v>https://www.fda.gov/regulatory-information/search-fda-guidance-documents/part-11-electronic-records-electronic-signatures-scope-and-application</x:v>
      </x:c>
    </x:row>
    <x:row r="894" ht="48" customHeight="1">
      <x:c r="A894" s="64" t="str">
        <x:v>T0893</x:v>
      </x:c>
      <x:c r="B894" s="28" t="str">
        <x:v>可信、安全、运营与思维模型</x:v>
      </x:c>
      <x:c r="C894" s="28" t="str">
        <x:v>实验安全、网络安全、合规与负责任AI</x:v>
      </x:c>
      <x:c r="D894" s="28" t="str">
        <x:v>专项安全与应急</x:v>
      </x:c>
      <x:c r="E894" s="28" t="str">
        <x:v>安全、合规与治理</x:v>
      </x:c>
      <x:c r="F894" s="28" t="str">
        <x:v>生物安全</x:v>
      </x:c>
      <x:c r="G894" s="28" t="str">
        <x:v>把“生物安全”转化为可执行的预防、检测、联锁、授权和应急控制，覆盖物理实验、OT网络与AI工具链。</x:v>
      </x:c>
      <x:c r="H894" s="28" t="str">
        <x:v>危害是否有多层防护；高风险动作能否在失效时自动进入安全态？</x:v>
      </x:c>
      <x:c r="I894" s="28" t="str">
        <x:v>事故/险情率；联锁覆盖率；高风险授权合规率；漏洞修复时间；应急演练通过率</x:v>
      </x:c>
      <x:c r="J894" s="64" t="str">
        <x:v>工程化关键</x:v>
      </x:c>
      <x:c r="K894" s="64" t="str">
        <x:v>P1</x:v>
      </x:c>
      <x:c r="L894" s="28" t="str">
        <x:v>S46; S47; S48; S49; S50; S51</x:v>
      </x:c>
      <x:c r="M894" s="28" t="str">
        <x:v>https://www.nature.com/articles/s41467-025-63913-1</x:v>
      </x:c>
    </x:row>
    <x:row r="895" ht="48" customHeight="1">
      <x:c r="A895" s="64" t="str">
        <x:v>T0894</x:v>
      </x:c>
      <x:c r="B895" s="28" t="str">
        <x:v>可信、安全、运营与思维模型</x:v>
      </x:c>
      <x:c r="C895" s="28" t="str">
        <x:v>实验安全、网络安全、合规与负责任AI</x:v>
      </x:c>
      <x:c r="D895" s="28" t="str">
        <x:v>专项安全与应急</x:v>
      </x:c>
      <x:c r="E895" s="28" t="str">
        <x:v>安全、合规与治理</x:v>
      </x:c>
      <x:c r="F895" s="28" t="str">
        <x:v>辐射安全</x:v>
      </x:c>
      <x:c r="G895" s="28" t="str">
        <x:v>把“辐射安全”转化为可执行的预防、检测、联锁、授权和应急控制，覆盖物理实验、OT网络与AI工具链。</x:v>
      </x:c>
      <x:c r="H895" s="28" t="str">
        <x:v>危害是否有多层防护；高风险动作能否在失效时自动进入安全态？</x:v>
      </x:c>
      <x:c r="I895" s="28" t="str">
        <x:v>事故/险情率；联锁覆盖率；高风险授权合规率；漏洞修复时间；应急演练通过率</x:v>
      </x:c>
      <x:c r="J895" s="64" t="str">
        <x:v>工程化关键</x:v>
      </x:c>
      <x:c r="K895" s="64" t="str">
        <x:v>P1</x:v>
      </x:c>
      <x:c r="L895" s="28" t="str">
        <x:v>S46; S47; S48; S49; S50; S51</x:v>
      </x:c>
      <x:c r="M895" s="28" t="str">
        <x:v>https://www.nist.gov/itl/ai-risk-management-framework</x:v>
      </x:c>
    </x:row>
    <x:row r="896" ht="48" customHeight="1">
      <x:c r="A896" s="64" t="str">
        <x:v>T0895</x:v>
      </x:c>
      <x:c r="B896" s="28" t="str">
        <x:v>可信、安全、运营与思维模型</x:v>
      </x:c>
      <x:c r="C896" s="28" t="str">
        <x:v>实验安全、网络安全、合规与负责任AI</x:v>
      </x:c>
      <x:c r="D896" s="28" t="str">
        <x:v>专项安全与应急</x:v>
      </x:c>
      <x:c r="E896" s="28" t="str">
        <x:v>安全、合规与治理</x:v>
      </x:c>
      <x:c r="F896" s="28" t="str">
        <x:v>压力安全</x:v>
      </x:c>
      <x:c r="G896" s="28" t="str">
        <x:v>把“压力安全”转化为可执行的预防、检测、联锁、授权和应急控制，覆盖物理实验、OT网络与AI工具链。</x:v>
      </x:c>
      <x:c r="H896" s="28" t="str">
        <x:v>危害是否有多层防护；高风险动作能否在失效时自动进入安全态？</x:v>
      </x:c>
      <x:c r="I896" s="28" t="str">
        <x:v>事故/险情率；联锁覆盖率；高风险授权合规率；漏洞修复时间；应急演练通过率</x:v>
      </x:c>
      <x:c r="J896" s="64" t="str">
        <x:v>工程化关键</x:v>
      </x:c>
      <x:c r="K896" s="64" t="str">
        <x:v>P1</x:v>
      </x:c>
      <x:c r="L896" s="28" t="str">
        <x:v>S46; S47; S48; S49; S50; S51</x:v>
      </x:c>
      <x:c r="M896" s="28" t="str">
        <x:v>https://www.nist.gov/cyberframework</x:v>
      </x:c>
    </x:row>
    <x:row r="897" ht="48" customHeight="1">
      <x:c r="A897" s="64" t="str">
        <x:v>T0896</x:v>
      </x:c>
      <x:c r="B897" s="28" t="str">
        <x:v>可信、安全、运营与思维模型</x:v>
      </x:c>
      <x:c r="C897" s="28" t="str">
        <x:v>实验安全、网络安全、合规与负责任AI</x:v>
      </x:c>
      <x:c r="D897" s="28" t="str">
        <x:v>专项安全与应急</x:v>
      </x:c>
      <x:c r="E897" s="28" t="str">
        <x:v>安全、合规与治理</x:v>
      </x:c>
      <x:c r="F897" s="28" t="str">
        <x:v>热安全</x:v>
      </x:c>
      <x:c r="G897" s="28" t="str">
        <x:v>把“热安全”转化为可执行的预防、检测、联锁、授权和应急控制，覆盖物理实验、OT网络与AI工具链。</x:v>
      </x:c>
      <x:c r="H897" s="28" t="str">
        <x:v>危害是否有多层防护；高风险动作能否在失效时自动进入安全态？</x:v>
      </x:c>
      <x:c r="I897" s="28" t="str">
        <x:v>事故/险情率；联锁覆盖率；高风险授权合规率；漏洞修复时间；应急演练通过率</x:v>
      </x:c>
      <x:c r="J897" s="64" t="str">
        <x:v>工程化关键</x:v>
      </x:c>
      <x:c r="K897" s="64" t="str">
        <x:v>P1</x:v>
      </x:c>
      <x:c r="L897" s="28" t="str">
        <x:v>S46; S47; S48; S49; S50; S51</x:v>
      </x:c>
      <x:c r="M897" s="28" t="str">
        <x:v>https://csrc.nist.gov/pubs/sp/800/82/r3/final</x:v>
      </x:c>
    </x:row>
    <x:row r="898" ht="48" customHeight="1">
      <x:c r="A898" s="64" t="str">
        <x:v>T0897</x:v>
      </x:c>
      <x:c r="B898" s="28" t="str">
        <x:v>可信、安全、运营与思维模型</x:v>
      </x:c>
      <x:c r="C898" s="28" t="str">
        <x:v>实验安全、网络安全、合规与负责任AI</x:v>
      </x:c>
      <x:c r="D898" s="28" t="str">
        <x:v>专项安全与应急</x:v>
      </x:c>
      <x:c r="E898" s="28" t="str">
        <x:v>安全、合规与治理</x:v>
      </x:c>
      <x:c r="F898" s="28" t="str">
        <x:v>电气安全</x:v>
      </x:c>
      <x:c r="G898" s="28" t="str">
        <x:v>把“电气安全”转化为可执行的预防、检测、联锁、授权和应急控制，覆盖物理实验、OT网络与AI工具链。</x:v>
      </x:c>
      <x:c r="H898" s="28" t="str">
        <x:v>危害是否有多层防护；高风险动作能否在失效时自动进入安全态？</x:v>
      </x:c>
      <x:c r="I898" s="28" t="str">
        <x:v>事故/险情率；联锁覆盖率；高风险授权合规率；漏洞修复时间；应急演练通过率</x:v>
      </x:c>
      <x:c r="J898" s="64" t="str">
        <x:v>工程化关键</x:v>
      </x:c>
      <x:c r="K898" s="64" t="str">
        <x:v>P1</x:v>
      </x:c>
      <x:c r="L898" s="28" t="str">
        <x:v>S46; S47; S48; S49; S50; S51</x:v>
      </x:c>
      <x:c r="M898" s="28" t="str">
        <x:v>https://www.osha.gov/laws-regs/regulations/standardnumber/1910/1910.1450</x:v>
      </x:c>
    </x:row>
    <x:row r="899" ht="48" customHeight="1">
      <x:c r="A899" s="64" t="str">
        <x:v>T0898</x:v>
      </x:c>
      <x:c r="B899" s="28" t="str">
        <x:v>可信、安全、运营与思维模型</x:v>
      </x:c>
      <x:c r="C899" s="28" t="str">
        <x:v>实验安全、网络安全、合规与负责任AI</x:v>
      </x:c>
      <x:c r="D899" s="28" t="str">
        <x:v>专项安全与应急</x:v>
      </x:c>
      <x:c r="E899" s="28" t="str">
        <x:v>安全、合规与治理</x:v>
      </x:c>
      <x:c r="F899" s="28" t="str">
        <x:v>消防安全</x:v>
      </x:c>
      <x:c r="G899" s="28" t="str">
        <x:v>把“消防安全”转化为可执行的预防、检测、联锁、授权和应急控制，覆盖物理实验、OT网络与AI工具链。</x:v>
      </x:c>
      <x:c r="H899" s="28" t="str">
        <x:v>危害是否有多层防护；高风险动作能否在失效时自动进入安全态？</x:v>
      </x:c>
      <x:c r="I899" s="28" t="str">
        <x:v>事故/险情率；联锁覆盖率；高风险授权合规率；漏洞修复时间；应急演练通过率</x:v>
      </x:c>
      <x:c r="J899" s="64" t="str">
        <x:v>工程化关键</x:v>
      </x:c>
      <x:c r="K899" s="64" t="str">
        <x:v>P1</x:v>
      </x:c>
      <x:c r="L899" s="28" t="str">
        <x:v>S46; S47; S48; S49; S50; S51</x:v>
      </x:c>
      <x:c r="M899" s="28" t="str">
        <x:v>https://www.fda.gov/regulatory-information/search-fda-guidance-documents/part-11-electronic-records-electronic-signatures-scope-and-application</x:v>
      </x:c>
    </x:row>
    <x:row r="900" ht="48" customHeight="1">
      <x:c r="A900" s="64" t="str">
        <x:v>T0899</x:v>
      </x:c>
      <x:c r="B900" s="28" t="str">
        <x:v>可信、安全、运营与思维模型</x:v>
      </x:c>
      <x:c r="C900" s="28" t="str">
        <x:v>实验安全、网络安全、合规与负责任AI</x:v>
      </x:c>
      <x:c r="D900" s="28" t="str">
        <x:v>专项安全与应急</x:v>
      </x:c>
      <x:c r="E900" s="28" t="str">
        <x:v>安全、合规与治理</x:v>
      </x:c>
      <x:c r="F900" s="28" t="str">
        <x:v>泄漏应急</x:v>
      </x:c>
      <x:c r="G900" s="28" t="str">
        <x:v>把“泄漏应急”转化为可执行的预防、检测、联锁、授权和应急控制，覆盖物理实验、OT网络与AI工具链。</x:v>
      </x:c>
      <x:c r="H900" s="28" t="str">
        <x:v>危害是否有多层防护；高风险动作能否在失效时自动进入安全态？</x:v>
      </x:c>
      <x:c r="I900" s="28" t="str">
        <x:v>事故/险情率；联锁覆盖率；高风险授权合规率；漏洞修复时间；应急演练通过率</x:v>
      </x:c>
      <x:c r="J900" s="64" t="str">
        <x:v>工程化关键</x:v>
      </x:c>
      <x:c r="K900" s="64" t="str">
        <x:v>P1</x:v>
      </x:c>
      <x:c r="L900" s="28" t="str">
        <x:v>S46; S47; S48; S49; S50; S51</x:v>
      </x:c>
      <x:c r="M900" s="28" t="str">
        <x:v>https://www.nature.com/articles/s41467-025-63913-1</x:v>
      </x:c>
    </x:row>
    <x:row r="901" ht="48" customHeight="1">
      <x:c r="A901" s="64" t="str">
        <x:v>T0900</x:v>
      </x:c>
      <x:c r="B901" s="28" t="str">
        <x:v>可信、安全、运营与思维模型</x:v>
      </x:c>
      <x:c r="C901" s="28" t="str">
        <x:v>实验安全、网络安全、合规与负责任AI</x:v>
      </x:c>
      <x:c r="D901" s="28" t="str">
        <x:v>专项安全与应急</x:v>
      </x:c>
      <x:c r="E901" s="28" t="str">
        <x:v>安全、合规与治理</x:v>
      </x:c>
      <x:c r="F901" s="28" t="str">
        <x:v>废物分类</x:v>
      </x:c>
      <x:c r="G901" s="28" t="str">
        <x:v>把“废物分类”转化为可执行的预防、检测、联锁、授权和应急控制，覆盖物理实验、OT网络与AI工具链。</x:v>
      </x:c>
      <x:c r="H901" s="28" t="str">
        <x:v>危害是否有多层防护；高风险动作能否在失效时自动进入安全态？</x:v>
      </x:c>
      <x:c r="I901" s="28" t="str">
        <x:v>事故/险情率；联锁覆盖率；高风险授权合规率；漏洞修复时间；应急演练通过率</x:v>
      </x:c>
      <x:c r="J901" s="64" t="str">
        <x:v>工程化关键</x:v>
      </x:c>
      <x:c r="K901" s="64" t="str">
        <x:v>P1</x:v>
      </x:c>
      <x:c r="L901" s="28" t="str">
        <x:v>S46; S47; S48; S49; S50; S51</x:v>
      </x:c>
      <x:c r="M901" s="28" t="str">
        <x:v>https://www.nist.gov/itl/ai-risk-management-framework</x:v>
      </x:c>
    </x:row>
    <x:row r="902" ht="48" customHeight="1">
      <x:c r="A902" s="64" t="str">
        <x:v>T0901</x:v>
      </x:c>
      <x:c r="B902" s="28" t="str">
        <x:v>可信、安全、运营与思维模型</x:v>
      </x:c>
      <x:c r="C902" s="28" t="str">
        <x:v>实验安全、网络安全、合规与负责任AI</x:v>
      </x:c>
      <x:c r="D902" s="28" t="str">
        <x:v>身份、网络与OT安全</x:v>
      </x:c>
      <x:c r="E902" s="28" t="str">
        <x:v>安全、合规与治理</x:v>
      </x:c>
      <x:c r="F902" s="28" t="str">
        <x:v>身份认证</x:v>
      </x:c>
      <x:c r="G902" s="28" t="str">
        <x:v>把“身份认证”转化为可执行的预防、检测、联锁、授权和应急控制，覆盖物理实验、OT网络与AI工具链。</x:v>
      </x:c>
      <x:c r="H902" s="28" t="str">
        <x:v>危害是否有多层防护；高风险动作能否在失效时自动进入安全态？</x:v>
      </x:c>
      <x:c r="I902" s="28" t="str">
        <x:v>事故/险情率；联锁覆盖率；高风险授权合规率；漏洞修复时间；应急演练通过率</x:v>
      </x:c>
      <x:c r="J902" s="64" t="str">
        <x:v>工程化关键</x:v>
      </x:c>
      <x:c r="K902" s="64" t="str">
        <x:v>P1</x:v>
      </x:c>
      <x:c r="L902" s="28" t="str">
        <x:v>S46; S47; S48; S49; S50; S51</x:v>
      </x:c>
      <x:c r="M902" s="28" t="str">
        <x:v>https://www.nist.gov/cyberframework</x:v>
      </x:c>
    </x:row>
    <x:row r="903" ht="48" customHeight="1">
      <x:c r="A903" s="64" t="str">
        <x:v>T0902</x:v>
      </x:c>
      <x:c r="B903" s="28" t="str">
        <x:v>可信、安全、运营与思维模型</x:v>
      </x:c>
      <x:c r="C903" s="28" t="str">
        <x:v>实验安全、网络安全、合规与负责任AI</x:v>
      </x:c>
      <x:c r="D903" s="28" t="str">
        <x:v>身份、网络与OT安全</x:v>
      </x:c>
      <x:c r="E903" s="28" t="str">
        <x:v>安全、合规与治理</x:v>
      </x:c>
      <x:c r="F903" s="28" t="str">
        <x:v>最小权限</x:v>
      </x:c>
      <x:c r="G903" s="28" t="str">
        <x:v>把“最小权限”转化为可执行的预防、检测、联锁、授权和应急控制，覆盖物理实验、OT网络与AI工具链。</x:v>
      </x:c>
      <x:c r="H903" s="28" t="str">
        <x:v>危害是否有多层防护；高风险动作能否在失效时自动进入安全态？</x:v>
      </x:c>
      <x:c r="I903" s="28" t="str">
        <x:v>事故/险情率；联锁覆盖率；高风险授权合规率；漏洞修复时间；应急演练通过率</x:v>
      </x:c>
      <x:c r="J903" s="64" t="str">
        <x:v>工程化关键</x:v>
      </x:c>
      <x:c r="K903" s="64" t="str">
        <x:v>P1</x:v>
      </x:c>
      <x:c r="L903" s="28" t="str">
        <x:v>S46; S47; S48; S49; S50; S51</x:v>
      </x:c>
      <x:c r="M903" s="28" t="str">
        <x:v>https://csrc.nist.gov/pubs/sp/800/82/r3/final</x:v>
      </x:c>
    </x:row>
    <x:row r="904" ht="48" customHeight="1">
      <x:c r="A904" s="64" t="str">
        <x:v>T0903</x:v>
      </x:c>
      <x:c r="B904" s="28" t="str">
        <x:v>可信、安全、运营与思维模型</x:v>
      </x:c>
      <x:c r="C904" s="28" t="str">
        <x:v>实验安全、网络安全、合规与负责任AI</x:v>
      </x:c>
      <x:c r="D904" s="28" t="str">
        <x:v>身份、网络与OT安全</x:v>
      </x:c>
      <x:c r="E904" s="28" t="str">
        <x:v>安全、合规与治理</x:v>
      </x:c>
      <x:c r="F904" s="28" t="str">
        <x:v>网络分区</x:v>
      </x:c>
      <x:c r="G904" s="28" t="str">
        <x:v>把“网络分区”转化为可执行的预防、检测、联锁、授权和应急控制，覆盖物理实验、OT网络与AI工具链。</x:v>
      </x:c>
      <x:c r="H904" s="28" t="str">
        <x:v>危害是否有多层防护；高风险动作能否在失效时自动进入安全态？</x:v>
      </x:c>
      <x:c r="I904" s="28" t="str">
        <x:v>事故/险情率；联锁覆盖率；高风险授权合规率；漏洞修复时间；应急演练通过率</x:v>
      </x:c>
      <x:c r="J904" s="64" t="str">
        <x:v>工程化关键</x:v>
      </x:c>
      <x:c r="K904" s="64" t="str">
        <x:v>P1</x:v>
      </x:c>
      <x:c r="L904" s="28" t="str">
        <x:v>S46; S47; S48; S49; S50; S51</x:v>
      </x:c>
      <x:c r="M904" s="28" t="str">
        <x:v>https://www.osha.gov/laws-regs/regulations/standardnumber/1910/1910.1450</x:v>
      </x:c>
    </x:row>
    <x:row r="905" ht="48" customHeight="1">
      <x:c r="A905" s="64" t="str">
        <x:v>T0904</x:v>
      </x:c>
      <x:c r="B905" s="28" t="str">
        <x:v>可信、安全、运营与思维模型</x:v>
      </x:c>
      <x:c r="C905" s="28" t="str">
        <x:v>实验安全、网络安全、合规与负责任AI</x:v>
      </x:c>
      <x:c r="D905" s="28" t="str">
        <x:v>身份、网络与OT安全</x:v>
      </x:c>
      <x:c r="E905" s="28" t="str">
        <x:v>安全、合规与治理</x:v>
      </x:c>
      <x:c r="F905" s="28" t="str">
        <x:v>零信任</x:v>
      </x:c>
      <x:c r="G905" s="28" t="str">
        <x:v>把“零信任”转化为可执行的预防、检测、联锁、授权和应急控制，覆盖物理实验、OT网络与AI工具链。</x:v>
      </x:c>
      <x:c r="H905" s="28" t="str">
        <x:v>危害是否有多层防护；高风险动作能否在失效时自动进入安全态？</x:v>
      </x:c>
      <x:c r="I905" s="28" t="str">
        <x:v>事故/险情率；联锁覆盖率；高风险授权合规率；漏洞修复时间；应急演练通过率</x:v>
      </x:c>
      <x:c r="J905" s="64" t="str">
        <x:v>工程化关键</x:v>
      </x:c>
      <x:c r="K905" s="64" t="str">
        <x:v>P1</x:v>
      </x:c>
      <x:c r="L905" s="28" t="str">
        <x:v>S46; S47; S48; S49; S50; S51</x:v>
      </x:c>
      <x:c r="M905" s="28" t="str">
        <x:v>https://www.fda.gov/regulatory-information/search-fda-guidance-documents/part-11-electronic-records-electronic-signatures-scope-and-application</x:v>
      </x:c>
    </x:row>
    <x:row r="906" ht="48" customHeight="1">
      <x:c r="A906" s="64" t="str">
        <x:v>T0905</x:v>
      </x:c>
      <x:c r="B906" s="28" t="str">
        <x:v>可信、安全、运营与思维模型</x:v>
      </x:c>
      <x:c r="C906" s="28" t="str">
        <x:v>实验安全、网络安全、合规与负责任AI</x:v>
      </x:c>
      <x:c r="D906" s="28" t="str">
        <x:v>身份、网络与OT安全</x:v>
      </x:c>
      <x:c r="E906" s="28" t="str">
        <x:v>安全、合规与治理</x:v>
      </x:c>
      <x:c r="F906" s="28" t="str">
        <x:v>OT安全</x:v>
      </x:c>
      <x:c r="G906" s="28" t="str">
        <x:v>把“OT安全”转化为可执行的预防、检测、联锁、授权和应急控制，覆盖物理实验、OT网络与AI工具链。</x:v>
      </x:c>
      <x:c r="H906" s="28" t="str">
        <x:v>危害是否有多层防护；高风险动作能否在失效时自动进入安全态？</x:v>
      </x:c>
      <x:c r="I906" s="28" t="str">
        <x:v>事故/险情率；联锁覆盖率；高风险授权合规率；漏洞修复时间；应急演练通过率</x:v>
      </x:c>
      <x:c r="J906" s="64" t="str">
        <x:v>工程化关键</x:v>
      </x:c>
      <x:c r="K906" s="64" t="str">
        <x:v>P1</x:v>
      </x:c>
      <x:c r="L906" s="28" t="str">
        <x:v>S46; S47; S48; S49; S50; S51</x:v>
      </x:c>
      <x:c r="M906" s="28" t="str">
        <x:v>https://www.nature.com/articles/s41467-025-63913-1</x:v>
      </x:c>
    </x:row>
    <x:row r="907" ht="48" customHeight="1">
      <x:c r="A907" s="64" t="str">
        <x:v>T0906</x:v>
      </x:c>
      <x:c r="B907" s="28" t="str">
        <x:v>可信、安全、运营与思维模型</x:v>
      </x:c>
      <x:c r="C907" s="28" t="str">
        <x:v>实验安全、网络安全、合规与负责任AI</x:v>
      </x:c>
      <x:c r="D907" s="28" t="str">
        <x:v>身份、网络与OT安全</x:v>
      </x:c>
      <x:c r="E907" s="28" t="str">
        <x:v>安全、合规与治理</x:v>
      </x:c>
      <x:c r="F907" s="28" t="str">
        <x:v>安全启动</x:v>
      </x:c>
      <x:c r="G907" s="28" t="str">
        <x:v>把“安全启动”转化为可执行的预防、检测、联锁、授权和应急控制，覆盖物理实验、OT网络与AI工具链。</x:v>
      </x:c>
      <x:c r="H907" s="28" t="str">
        <x:v>危害是否有多层防护；高风险动作能否在失效时自动进入安全态？</x:v>
      </x:c>
      <x:c r="I907" s="28" t="str">
        <x:v>事故/险情率；联锁覆盖率；高风险授权合规率；漏洞修复时间；应急演练通过率</x:v>
      </x:c>
      <x:c r="J907" s="64" t="str">
        <x:v>工程化关键</x:v>
      </x:c>
      <x:c r="K907" s="64" t="str">
        <x:v>P1</x:v>
      </x:c>
      <x:c r="L907" s="28" t="str">
        <x:v>S46; S47; S48; S49; S50; S51</x:v>
      </x:c>
      <x:c r="M907" s="28" t="str">
        <x:v>https://www.nist.gov/itl/ai-risk-management-framework</x:v>
      </x:c>
    </x:row>
    <x:row r="908" ht="48" customHeight="1">
      <x:c r="A908" s="64" t="str">
        <x:v>T0907</x:v>
      </x:c>
      <x:c r="B908" s="28" t="str">
        <x:v>可信、安全、运营与思维模型</x:v>
      </x:c>
      <x:c r="C908" s="28" t="str">
        <x:v>实验安全、网络安全、合规与负责任AI</x:v>
      </x:c>
      <x:c r="D908" s="28" t="str">
        <x:v>身份、网络与OT安全</x:v>
      </x:c>
      <x:c r="E908" s="28" t="str">
        <x:v>安全、合规与治理</x:v>
      </x:c>
      <x:c r="F908" s="28" t="str">
        <x:v>固件签名</x:v>
      </x:c>
      <x:c r="G908" s="28" t="str">
        <x:v>把“固件签名”转化为可执行的预防、检测、联锁、授权和应急控制，覆盖物理实验、OT网络与AI工具链。</x:v>
      </x:c>
      <x:c r="H908" s="28" t="str">
        <x:v>危害是否有多层防护；高风险动作能否在失效时自动进入安全态？</x:v>
      </x:c>
      <x:c r="I908" s="28" t="str">
        <x:v>事故/险情率；联锁覆盖率；高风险授权合规率；漏洞修复时间；应急演练通过率</x:v>
      </x:c>
      <x:c r="J908" s="64" t="str">
        <x:v>工程化关键</x:v>
      </x:c>
      <x:c r="K908" s="64" t="str">
        <x:v>P1</x:v>
      </x:c>
      <x:c r="L908" s="28" t="str">
        <x:v>S46; S47; S48; S49; S50; S51</x:v>
      </x:c>
      <x:c r="M908" s="28" t="str">
        <x:v>https://www.nist.gov/cyberframework</x:v>
      </x:c>
    </x:row>
    <x:row r="909" ht="48" customHeight="1">
      <x:c r="A909" s="64" t="str">
        <x:v>T0908</x:v>
      </x:c>
      <x:c r="B909" s="28" t="str">
        <x:v>可信、安全、运营与思维模型</x:v>
      </x:c>
      <x:c r="C909" s="28" t="str">
        <x:v>实验安全、网络安全、合规与负责任AI</x:v>
      </x:c>
      <x:c r="D909" s="28" t="str">
        <x:v>身份、网络与OT安全</x:v>
      </x:c>
      <x:c r="E909" s="28" t="str">
        <x:v>安全、合规与治理</x:v>
      </x:c>
      <x:c r="F909" s="28" t="str">
        <x:v>补丁管理</x:v>
      </x:c>
      <x:c r="G909" s="28" t="str">
        <x:v>把“补丁管理”转化为可执行的预防、检测、联锁、授权和应急控制，覆盖物理实验、OT网络与AI工具链。</x:v>
      </x:c>
      <x:c r="H909" s="28" t="str">
        <x:v>危害是否有多层防护；高风险动作能否在失效时自动进入安全态？</x:v>
      </x:c>
      <x:c r="I909" s="28" t="str">
        <x:v>事故/险情率；联锁覆盖率；高风险授权合规率；漏洞修复时间；应急演练通过率</x:v>
      </x:c>
      <x:c r="J909" s="64" t="str">
        <x:v>工程化关键</x:v>
      </x:c>
      <x:c r="K909" s="64" t="str">
        <x:v>P1</x:v>
      </x:c>
      <x:c r="L909" s="28" t="str">
        <x:v>S46; S47; S48; S49; S50; S51</x:v>
      </x:c>
      <x:c r="M909" s="28" t="str">
        <x:v>https://csrc.nist.gov/pubs/sp/800/82/r3/final</x:v>
      </x:c>
    </x:row>
    <x:row r="910" ht="48" customHeight="1">
      <x:c r="A910" s="64" t="str">
        <x:v>T0909</x:v>
      </x:c>
      <x:c r="B910" s="28" t="str">
        <x:v>可信、安全、运营与思维模型</x:v>
      </x:c>
      <x:c r="C910" s="28" t="str">
        <x:v>实验安全、网络安全、合规与负责任AI</x:v>
      </x:c>
      <x:c r="D910" s="28" t="str">
        <x:v>身份、网络与OT安全</x:v>
      </x:c>
      <x:c r="E910" s="28" t="str">
        <x:v>安全、合规与治理</x:v>
      </x:c>
      <x:c r="F910" s="28" t="str">
        <x:v>漏洞管理</x:v>
      </x:c>
      <x:c r="G910" s="28" t="str">
        <x:v>把“漏洞管理”转化为可执行的预防、检测、联锁、授权和应急控制，覆盖物理实验、OT网络与AI工具链。</x:v>
      </x:c>
      <x:c r="H910" s="28" t="str">
        <x:v>危害是否有多层防护；高风险动作能否在失效时自动进入安全态？</x:v>
      </x:c>
      <x:c r="I910" s="28" t="str">
        <x:v>事故/险情率；联锁覆盖率；高风险授权合规率；漏洞修复时间；应急演练通过率</x:v>
      </x:c>
      <x:c r="J910" s="64" t="str">
        <x:v>进阶能力</x:v>
      </x:c>
      <x:c r="K910" s="64" t="str">
        <x:v>P2</x:v>
      </x:c>
      <x:c r="L910" s="28" t="str">
        <x:v>S46; S47; S48; S49; S50; S51</x:v>
      </x:c>
      <x:c r="M910" s="28" t="str">
        <x:v>https://www.osha.gov/laws-regs/regulations/standardnumber/1910/1910.1450</x:v>
      </x:c>
    </x:row>
    <x:row r="911" ht="48" customHeight="1">
      <x:c r="A911" s="64" t="str">
        <x:v>T0910</x:v>
      </x:c>
      <x:c r="B911" s="28" t="str">
        <x:v>可信、安全、运营与思维模型</x:v>
      </x:c>
      <x:c r="C911" s="28" t="str">
        <x:v>实验安全、网络安全、合规与负责任AI</x:v>
      </x:c>
      <x:c r="D911" s="28" t="str">
        <x:v>身份、网络与OT安全</x:v>
      </x:c>
      <x:c r="E911" s="28" t="str">
        <x:v>安全、合规与治理</x:v>
      </x:c>
      <x:c r="F911" s="28" t="str">
        <x:v>密钥与秘密管理</x:v>
      </x:c>
      <x:c r="G911" s="28" t="str">
        <x:v>把“密钥与秘密管理”转化为可执行的预防、检测、联锁、授权和应急控制，覆盖物理实验、OT网络与AI工具链。</x:v>
      </x:c>
      <x:c r="H911" s="28" t="str">
        <x:v>危害是否有多层防护；高风险动作能否在失效时自动进入安全态？</x:v>
      </x:c>
      <x:c r="I911" s="28" t="str">
        <x:v>事故/险情率；联锁覆盖率；高风险授权合规率；漏洞修复时间；应急演练通过率</x:v>
      </x:c>
      <x:c r="J911" s="64" t="str">
        <x:v>进阶能力</x:v>
      </x:c>
      <x:c r="K911" s="64" t="str">
        <x:v>P2</x:v>
      </x:c>
      <x:c r="L911" s="28" t="str">
        <x:v>S46; S47; S48; S49; S50; S51</x:v>
      </x:c>
      <x:c r="M911" s="28" t="str">
        <x:v>https://www.fda.gov/regulatory-information/search-fda-guidance-documents/part-11-electronic-records-electronic-signatures-scope-and-application</x:v>
      </x:c>
    </x:row>
    <x:row r="912" ht="48" customHeight="1">
      <x:c r="A912" s="64" t="str">
        <x:v>T0911</x:v>
      </x:c>
      <x:c r="B912" s="28" t="str">
        <x:v>可信、安全、运营与思维模型</x:v>
      </x:c>
      <x:c r="C912" s="28" t="str">
        <x:v>实验安全、网络安全、合规与负责任AI</x:v>
      </x:c>
      <x:c r="D912" s="28" t="str">
        <x:v>AI、供应链与高风险治理</x:v>
      </x:c>
      <x:c r="E912" s="28" t="str">
        <x:v>安全、合规与治理</x:v>
      </x:c>
      <x:c r="F912" s="28" t="str">
        <x:v>传输/静态加密</x:v>
      </x:c>
      <x:c r="G912" s="28" t="str">
        <x:v>把“传输/静态加密”转化为可执行的预防、检测、联锁、授权和应急控制，覆盖物理实验、OT网络与AI工具链。</x:v>
      </x:c>
      <x:c r="H912" s="28" t="str">
        <x:v>危害是否有多层防护；高风险动作能否在失效时自动进入安全态？</x:v>
      </x:c>
      <x:c r="I912" s="28" t="str">
        <x:v>事故/险情率；联锁覆盖率；高风险授权合规率；漏洞修复时间；应急演练通过率</x:v>
      </x:c>
      <x:c r="J912" s="64" t="str">
        <x:v>进阶能力</x:v>
      </x:c>
      <x:c r="K912" s="64" t="str">
        <x:v>P2</x:v>
      </x:c>
      <x:c r="L912" s="28" t="str">
        <x:v>S46; S47; S48; S49; S50; S51</x:v>
      </x:c>
      <x:c r="M912" s="28" t="str">
        <x:v>https://www.nature.com/articles/s41467-025-63913-1</x:v>
      </x:c>
    </x:row>
    <x:row r="913" ht="48" customHeight="1">
      <x:c r="A913" s="64" t="str">
        <x:v>T0912</x:v>
      </x:c>
      <x:c r="B913" s="28" t="str">
        <x:v>可信、安全、运营与思维模型</x:v>
      </x:c>
      <x:c r="C913" s="28" t="str">
        <x:v>实验安全、网络安全、合规与负责任AI</x:v>
      </x:c>
      <x:c r="D913" s="28" t="str">
        <x:v>AI、供应链与高风险治理</x:v>
      </x:c>
      <x:c r="E913" s="28" t="str">
        <x:v>安全、合规与治理</x:v>
      </x:c>
      <x:c r="F913" s="28" t="str">
        <x:v>防篡改审计日志</x:v>
      </x:c>
      <x:c r="G913" s="28" t="str">
        <x:v>把“防篡改审计日志”转化为可执行的预防、检测、联锁、授权和应急控制，覆盖物理实验、OT网络与AI工具链。</x:v>
      </x:c>
      <x:c r="H913" s="28" t="str">
        <x:v>危害是否有多层防护；高风险动作能否在失效时自动进入安全态？</x:v>
      </x:c>
      <x:c r="I913" s="28" t="str">
        <x:v>事故/险情率；联锁覆盖率；高风险授权合规率；漏洞修复时间；应急演练通过率</x:v>
      </x:c>
      <x:c r="J913" s="64" t="str">
        <x:v>进阶能力</x:v>
      </x:c>
      <x:c r="K913" s="64" t="str">
        <x:v>P2</x:v>
      </x:c>
      <x:c r="L913" s="28" t="str">
        <x:v>S46; S47; S48; S49; S50; S51</x:v>
      </x:c>
      <x:c r="M913" s="28" t="str">
        <x:v>https://www.nist.gov/itl/ai-risk-management-framework</x:v>
      </x:c>
    </x:row>
    <x:row r="914" ht="48" customHeight="1">
      <x:c r="A914" s="64" t="str">
        <x:v>T0913</x:v>
      </x:c>
      <x:c r="B914" s="28" t="str">
        <x:v>可信、安全、运营与思维模型</x:v>
      </x:c>
      <x:c r="C914" s="28" t="str">
        <x:v>实验安全、网络安全、合规与负责任AI</x:v>
      </x:c>
      <x:c r="D914" s="28" t="str">
        <x:v>AI、供应链与高风险治理</x:v>
      </x:c>
      <x:c r="E914" s="28" t="str">
        <x:v>安全、合规与治理</x:v>
      </x:c>
      <x:c r="F914" s="28" t="str">
        <x:v>软件供应链安全</x:v>
      </x:c>
      <x:c r="G914" s="28" t="str">
        <x:v>把“软件供应链安全”转化为可执行的预防、检测、联锁、授权和应急控制，覆盖物理实验、OT网络与AI工具链。</x:v>
      </x:c>
      <x:c r="H914" s="28" t="str">
        <x:v>危害是否有多层防护；高风险动作能否在失效时自动进入安全态？</x:v>
      </x:c>
      <x:c r="I914" s="28" t="str">
        <x:v>事故/险情率；联锁覆盖率；高风险授权合规率；漏洞修复时间；应急演练通过率</x:v>
      </x:c>
      <x:c r="J914" s="64" t="str">
        <x:v>进阶能力</x:v>
      </x:c>
      <x:c r="K914" s="64" t="str">
        <x:v>P2</x:v>
      </x:c>
      <x:c r="L914" s="28" t="str">
        <x:v>S46; S47; S48; S49; S50; S51</x:v>
      </x:c>
      <x:c r="M914" s="28" t="str">
        <x:v>https://www.nist.gov/cyberframework</x:v>
      </x:c>
    </x:row>
    <x:row r="915" ht="48" customHeight="1">
      <x:c r="A915" s="64" t="str">
        <x:v>T0914</x:v>
      </x:c>
      <x:c r="B915" s="28" t="str">
        <x:v>可信、安全、运营与思维模型</x:v>
      </x:c>
      <x:c r="C915" s="28" t="str">
        <x:v>实验安全、网络安全、合规与负责任AI</x:v>
      </x:c>
      <x:c r="D915" s="28" t="str">
        <x:v>AI、供应链与高风险治理</x:v>
      </x:c>
      <x:c r="E915" s="28" t="str">
        <x:v>安全、合规与治理</x:v>
      </x:c>
      <x:c r="F915" s="28" t="str">
        <x:v>提示注入</x:v>
      </x:c>
      <x:c r="G915" s="28" t="str">
        <x:v>把“提示注入”转化为可执行的预防、检测、联锁、授权和应急控制，覆盖物理实验、OT网络与AI工具链。</x:v>
      </x:c>
      <x:c r="H915" s="28" t="str">
        <x:v>危害是否有多层防护；高风险动作能否在失效时自动进入安全态？</x:v>
      </x:c>
      <x:c r="I915" s="28" t="str">
        <x:v>事故/险情率；联锁覆盖率；高风险授权合规率；漏洞修复时间；应急演练通过率</x:v>
      </x:c>
      <x:c r="J915" s="64" t="str">
        <x:v>进阶能力</x:v>
      </x:c>
      <x:c r="K915" s="64" t="str">
        <x:v>P2</x:v>
      </x:c>
      <x:c r="L915" s="28" t="str">
        <x:v>S46; S47; S48; S49; S50; S51</x:v>
      </x:c>
      <x:c r="M915" s="28" t="str">
        <x:v>https://csrc.nist.gov/pubs/sp/800/82/r3/final</x:v>
      </x:c>
    </x:row>
    <x:row r="916" ht="48" customHeight="1">
      <x:c r="A916" s="64" t="str">
        <x:v>T0915</x:v>
      </x:c>
      <x:c r="B916" s="28" t="str">
        <x:v>可信、安全、运营与思维模型</x:v>
      </x:c>
      <x:c r="C916" s="28" t="str">
        <x:v>实验安全、网络安全、合规与负责任AI</x:v>
      </x:c>
      <x:c r="D916" s="28" t="str">
        <x:v>AI、供应链与高风险治理</x:v>
      </x:c>
      <x:c r="E916" s="28" t="str">
        <x:v>安全、合规与治理</x:v>
      </x:c>
      <x:c r="F916" s="28" t="str">
        <x:v>工具投毒</x:v>
      </x:c>
      <x:c r="G916" s="28" t="str">
        <x:v>把“工具投毒”转化为可执行的预防、检测、联锁、授权和应急控制，覆盖物理实验、OT网络与AI工具链。</x:v>
      </x:c>
      <x:c r="H916" s="28" t="str">
        <x:v>危害是否有多层防护；高风险动作能否在失效时自动进入安全态？</x:v>
      </x:c>
      <x:c r="I916" s="28" t="str">
        <x:v>事故/险情率；联锁覆盖率；高风险授权合规率；漏洞修复时间；应急演练通过率</x:v>
      </x:c>
      <x:c r="J916" s="64" t="str">
        <x:v>进阶能力</x:v>
      </x:c>
      <x:c r="K916" s="64" t="str">
        <x:v>P2</x:v>
      </x:c>
      <x:c r="L916" s="28" t="str">
        <x:v>S46; S47; S48; S49; S50; S51</x:v>
      </x:c>
      <x:c r="M916" s="28" t="str">
        <x:v>https://www.osha.gov/laws-regs/regulations/standardnumber/1910/1910.1450</x:v>
      </x:c>
    </x:row>
    <x:row r="917" ht="48" customHeight="1">
      <x:c r="A917" s="64" t="str">
        <x:v>T0916</x:v>
      </x:c>
      <x:c r="B917" s="28" t="str">
        <x:v>可信、安全、运营与思维模型</x:v>
      </x:c>
      <x:c r="C917" s="28" t="str">
        <x:v>实验安全、网络安全、合规与负责任AI</x:v>
      </x:c>
      <x:c r="D917" s="28" t="str">
        <x:v>AI、供应链与高风险治理</x:v>
      </x:c>
      <x:c r="E917" s="28" t="str">
        <x:v>安全、合规与治理</x:v>
      </x:c>
      <x:c r="F917" s="28" t="str">
        <x:v>数据外泄防护</x:v>
      </x:c>
      <x:c r="G917" s="28" t="str">
        <x:v>把“数据外泄防护”转化为可执行的预防、检测、联锁、授权和应急控制，覆盖物理实验、OT网络与AI工具链。</x:v>
      </x:c>
      <x:c r="H917" s="28" t="str">
        <x:v>危害是否有多层防护；高风险动作能否在失效时自动进入安全态？</x:v>
      </x:c>
      <x:c r="I917" s="28" t="str">
        <x:v>事故/险情率；联锁覆盖率；高风险授权合规率；漏洞修复时间；应急演练通过率</x:v>
      </x:c>
      <x:c r="J917" s="64" t="str">
        <x:v>进阶能力</x:v>
      </x:c>
      <x:c r="K917" s="64" t="str">
        <x:v>P2</x:v>
      </x:c>
      <x:c r="L917" s="28" t="str">
        <x:v>S46; S47; S48; S49; S50; S51</x:v>
      </x:c>
      <x:c r="M917" s="28" t="str">
        <x:v>https://www.fda.gov/regulatory-information/search-fda-guidance-documents/part-11-electronic-records-electronic-signatures-scope-and-application</x:v>
      </x:c>
    </x:row>
    <x:row r="918" ht="48" customHeight="1">
      <x:c r="A918" s="64" t="str">
        <x:v>T0917</x:v>
      </x:c>
      <x:c r="B918" s="28" t="str">
        <x:v>可信、安全、运营与思维模型</x:v>
      </x:c>
      <x:c r="C918" s="28" t="str">
        <x:v>实验安全、网络安全、合规与负责任AI</x:v>
      </x:c>
      <x:c r="D918" s="28" t="str">
        <x:v>AI、供应链与高风险治理</x:v>
      </x:c>
      <x:c r="E918" s="28" t="str">
        <x:v>安全、合规与治理</x:v>
      </x:c>
      <x:c r="F918" s="28" t="str">
        <x:v>双重用途筛查</x:v>
      </x:c>
      <x:c r="G918" s="28" t="str">
        <x:v>把“双重用途筛查”转化为可执行的预防、检测、联锁、授权和应急控制，覆盖物理实验、OT网络与AI工具链。</x:v>
      </x:c>
      <x:c r="H918" s="28" t="str">
        <x:v>危害是否有多层防护；高风险动作能否在失效时自动进入安全态？</x:v>
      </x:c>
      <x:c r="I918" s="28" t="str">
        <x:v>事故/险情率；联锁覆盖率；高风险授权合规率；漏洞修复时间；应急演练通过率</x:v>
      </x:c>
      <x:c r="J918" s="64" t="str">
        <x:v>前沿能力</x:v>
      </x:c>
      <x:c r="K918" s="64" t="str">
        <x:v>P2</x:v>
      </x:c>
      <x:c r="L918" s="28" t="str">
        <x:v>S46; S47; S48; S49; S50; S51</x:v>
      </x:c>
      <x:c r="M918" s="28" t="str">
        <x:v>https://www.nature.com/articles/s41467-025-63913-1</x:v>
      </x:c>
    </x:row>
    <x:row r="919" ht="48" customHeight="1">
      <x:c r="A919" s="64" t="str">
        <x:v>T0918</x:v>
      </x:c>
      <x:c r="B919" s="28" t="str">
        <x:v>可信、安全、运营与思维模型</x:v>
      </x:c>
      <x:c r="C919" s="28" t="str">
        <x:v>实验安全、网络安全、合规与负责任AI</x:v>
      </x:c>
      <x:c r="D919" s="28" t="str">
        <x:v>AI、供应链与高风险治理</x:v>
      </x:c>
      <x:c r="E919" s="28" t="str">
        <x:v>安全、合规与治理</x:v>
      </x:c>
      <x:c r="F919" s="28" t="str">
        <x:v>策略引擎</x:v>
      </x:c>
      <x:c r="G919" s="28" t="str">
        <x:v>把“策略引擎”转化为可执行的预防、检测、联锁、授权和应急控制，覆盖物理实验、OT网络与AI工具链。</x:v>
      </x:c>
      <x:c r="H919" s="28" t="str">
        <x:v>危害是否有多层防护；高风险动作能否在失效时自动进入安全态？</x:v>
      </x:c>
      <x:c r="I919" s="28" t="str">
        <x:v>事故/险情率；联锁覆盖率；高风险授权合规率；漏洞修复时间；应急演练通过率</x:v>
      </x:c>
      <x:c r="J919" s="64" t="str">
        <x:v>前沿能力</x:v>
      </x:c>
      <x:c r="K919" s="64" t="str">
        <x:v>P2</x:v>
      </x:c>
      <x:c r="L919" s="28" t="str">
        <x:v>S46; S47; S48; S49; S50; S51</x:v>
      </x:c>
      <x:c r="M919" s="28" t="str">
        <x:v>https://www.nist.gov/itl/ai-risk-management-framework</x:v>
      </x:c>
    </x:row>
    <x:row r="920" ht="48" customHeight="1">
      <x:c r="A920" s="64" t="str">
        <x:v>T0919</x:v>
      </x:c>
      <x:c r="B920" s="28" t="str">
        <x:v>可信、安全、运营与思维模型</x:v>
      </x:c>
      <x:c r="C920" s="28" t="str">
        <x:v>实验安全、网络安全、合规与负责任AI</x:v>
      </x:c>
      <x:c r="D920" s="28" t="str">
        <x:v>AI、供应链与高风险治理</x:v>
      </x:c>
      <x:c r="E920" s="28" t="str">
        <x:v>安全、合规与治理</x:v>
      </x:c>
      <x:c r="F920" s="28" t="str">
        <x:v>高风险人工授权</x:v>
      </x:c>
      <x:c r="G920" s="28" t="str">
        <x:v>把“高风险人工授权”转化为可执行的预防、检测、联锁、授权和应急控制，覆盖物理实验、OT网络与AI工具链。</x:v>
      </x:c>
      <x:c r="H920" s="28" t="str">
        <x:v>危害是否有多层防护；高风险动作能否在失效时自动进入安全态？</x:v>
      </x:c>
      <x:c r="I920" s="28" t="str">
        <x:v>事故/险情率；联锁覆盖率；高风险授权合规率；漏洞修复时间；应急演练通过率</x:v>
      </x:c>
      <x:c r="J920" s="64" t="str">
        <x:v>前沿能力</x:v>
      </x:c>
      <x:c r="K920" s="64" t="str">
        <x:v>P2</x:v>
      </x:c>
      <x:c r="L920" s="28" t="str">
        <x:v>S46; S47; S48; S49; S50; S51</x:v>
      </x:c>
      <x:c r="M920" s="28" t="str">
        <x:v>https://www.nist.gov/cyberframework</x:v>
      </x:c>
    </x:row>
    <x:row r="921" ht="48" customHeight="1">
      <x:c r="A921" s="64" t="str">
        <x:v>T0920</x:v>
      </x:c>
      <x:c r="B921" s="28" t="str">
        <x:v>可信、安全、运营与思维模型</x:v>
      </x:c>
      <x:c r="C921" s="28" t="str">
        <x:v>实验安全、网络安全、合规与负责任AI</x:v>
      </x:c>
      <x:c r="D921" s="28" t="str">
        <x:v>AI、供应链与高风险治理</x:v>
      </x:c>
      <x:c r="E921" s="28" t="str">
        <x:v>安全、合规与治理</x:v>
      </x:c>
      <x:c r="F921" s="28" t="str">
        <x:v>紧急停机</x:v>
      </x:c>
      <x:c r="G921" s="28" t="str">
        <x:v>把“紧急停机”转化为可执行的预防、检测、联锁、授权和应急控制，覆盖物理实验、OT网络与AI工具链。</x:v>
      </x:c>
      <x:c r="H921" s="28" t="str">
        <x:v>危害是否有多层防护；高风险动作能否在失效时自动进入安全态？</x:v>
      </x:c>
      <x:c r="I921" s="28" t="str">
        <x:v>事故/险情率；联锁覆盖率；高风险授权合规率；漏洞修复时间；应急演练通过率</x:v>
      </x:c>
      <x:c r="J921" s="64" t="str">
        <x:v>前沿能力</x:v>
      </x:c>
      <x:c r="K921" s="64" t="str">
        <x:v>P2</x:v>
      </x:c>
      <x:c r="L921" s="28" t="str">
        <x:v>S46; S47; S48; S49; S50; S51</x:v>
      </x:c>
      <x:c r="M921" s="28" t="str">
        <x:v>https://csrc.nist.gov/pubs/sp/800/82/r3/final</x:v>
      </x:c>
    </x:row>
    <x:row r="922" ht="48" customHeight="1">
      <x:c r="A922" s="64" t="str">
        <x:v>T0921</x:v>
      </x:c>
      <x:c r="B922" s="28" t="str">
        <x:v>可信、安全、运营与思维模型</x:v>
      </x:c>
      <x:c r="C922" s="28" t="str">
        <x:v>运营、经济性、扩展与绩效指标</x:v>
      </x:c>
      <x:c r="D922" s="28" t="str">
        <x:v>吞吐、质量与自主性</x:v>
      </x:c>
      <x:c r="E922" s="28" t="str">
        <x:v>运营与经济性</x:v>
      </x:c>
      <x:c r="F922" s="28" t="str">
        <x:v>实验吞吐量</x:v>
      </x:c>
      <x:c r="G922" s="28" t="str">
        <x:v>用“实验吞吐量”量化系统是否真正加速科学、降低人工和成本，而非仅增加自动化设备或局部吞吐。</x:v>
      </x:c>
      <x:c r="H922" s="28" t="str">
        <x:v>该指标是否关联科学产出、质量、安全与全生命周期成本？</x:v>
      </x:c>
      <x:c r="I922" s="28" t="str">
        <x:v>吞吐；周期；OEE；人工分钟；单位成功成本；发现率；TCO/ROI；碳/能耗强度</x:v>
      </x:c>
      <x:c r="J922" s="64" t="str">
        <x:v>基础能力</x:v>
      </x:c>
      <x:c r="K922" s="64" t="str">
        <x:v>P0</x:v>
      </x:c>
      <x:c r="L922" s="28" t="str">
        <x:v>S03; S04; S58; S60</x:v>
      </x:c>
      <x:c r="M922" s="28" t="str">
        <x:v>https://www.nature.com/articles/s41467-024-45569-5</x:v>
      </x:c>
    </x:row>
    <x:row r="923" ht="48" customHeight="1">
      <x:c r="A923" s="64" t="str">
        <x:v>T0922</x:v>
      </x:c>
      <x:c r="B923" s="28" t="str">
        <x:v>可信、安全、运营与思维模型</x:v>
      </x:c>
      <x:c r="C923" s="28" t="str">
        <x:v>运营、经济性、扩展与绩效指标</x:v>
      </x:c>
      <x:c r="D923" s="28" t="str">
        <x:v>吞吐、质量与自主性</x:v>
      </x:c>
      <x:c r="E923" s="28" t="str">
        <x:v>运营与经济性</x:v>
      </x:c>
      <x:c r="F923" s="28" t="str">
        <x:v>周期时间</x:v>
      </x:c>
      <x:c r="G923" s="28" t="str">
        <x:v>用“周期时间”量化系统是否真正加速科学、降低人工和成本，而非仅增加自动化设备或局部吞吐。</x:v>
      </x:c>
      <x:c r="H923" s="28" t="str">
        <x:v>该指标是否关联科学产出、质量、安全与全生命周期成本？</x:v>
      </x:c>
      <x:c r="I923" s="28" t="str">
        <x:v>吞吐；周期；OEE；人工分钟；单位成功成本；发现率；TCO/ROI；碳/能耗强度</x:v>
      </x:c>
      <x:c r="J923" s="64" t="str">
        <x:v>基础能力</x:v>
      </x:c>
      <x:c r="K923" s="64" t="str">
        <x:v>P0</x:v>
      </x:c>
      <x:c r="L923" s="28" t="str">
        <x:v>S03; S04; S58; S60</x:v>
      </x:c>
      <x:c r="M923" s="28" t="str">
        <x:v>https://www.nature.com/articles/s42004-026-01932-9</x:v>
      </x:c>
    </x:row>
    <x:row r="924" ht="48" customHeight="1">
      <x:c r="A924" s="64" t="str">
        <x:v>T0923</x:v>
      </x:c>
      <x:c r="B924" s="28" t="str">
        <x:v>可信、安全、运营与思维模型</x:v>
      </x:c>
      <x:c r="C924" s="28" t="str">
        <x:v>运营、经济性、扩展与绩效指标</x:v>
      </x:c>
      <x:c r="D924" s="28" t="str">
        <x:v>吞吐、质量与自主性</x:v>
      </x:c>
      <x:c r="E924" s="28" t="str">
        <x:v>运营与经济性</x:v>
      </x:c>
      <x:c r="F924" s="28" t="str">
        <x:v>设备可用率</x:v>
      </x:c>
      <x:c r="G924" s="28" t="str">
        <x:v>用“设备可用率”量化系统是否真正加速科学、降低人工和成本，而非仅增加自动化设备或局部吞吐。</x:v>
      </x:c>
      <x:c r="H924" s="28" t="str">
        <x:v>该指标是否关联科学产出、质量、安全与全生命周期成本？</x:v>
      </x:c>
      <x:c r="I924" s="28" t="str">
        <x:v>吞吐；周期；OEE；人工分钟；单位成功成本；发现率；TCO/ROI；碳/能耗强度</x:v>
      </x:c>
      <x:c r="J924" s="64" t="str">
        <x:v>基础能力</x:v>
      </x:c>
      <x:c r="K924" s="64" t="str">
        <x:v>P0</x:v>
      </x:c>
      <x:c r="L924" s="28" t="str">
        <x:v>S03; S04; S58; S60</x:v>
      </x:c>
      <x:c r="M924" s="28" t="str">
        <x:v>https://www.science.org/doi/10.1126/scirobotics.adm6991</x:v>
      </x:c>
    </x:row>
    <x:row r="925" ht="48" customHeight="1">
      <x:c r="A925" s="64" t="str">
        <x:v>T0924</x:v>
      </x:c>
      <x:c r="B925" s="28" t="str">
        <x:v>可信、安全、运营与思维模型</x:v>
      </x:c>
      <x:c r="C925" s="28" t="str">
        <x:v>运营、经济性、扩展与绩效指标</x:v>
      </x:c>
      <x:c r="D925" s="28" t="str">
        <x:v>吞吐、质量与自主性</x:v>
      </x:c>
      <x:c r="E925" s="28" t="str">
        <x:v>运营与经济性</x:v>
      </x:c>
      <x:c r="F925" s="28" t="str">
        <x:v>OEE</x:v>
      </x:c>
      <x:c r="G925" s="28" t="str">
        <x:v>用“OEE”量化系统是否真正加速科学、降低人工和成本，而非仅增加自动化设备或局部吞吐。</x:v>
      </x:c>
      <x:c r="H925" s="28" t="str">
        <x:v>该指标是否关联科学产出、质量、安全与全生命周期成本？</x:v>
      </x:c>
      <x:c r="I925" s="28" t="str">
        <x:v>吞吐；周期；OEE；人工分钟；单位成功成本；发现率；TCO/ROI；碳/能耗强度</x:v>
      </x:c>
      <x:c r="J925" s="64" t="str">
        <x:v>基础能力</x:v>
      </x:c>
      <x:c r="K925" s="64" t="str">
        <x:v>P0</x:v>
      </x:c>
      <x:c r="L925" s="28" t="str">
        <x:v>S03; S04; S58; S60</x:v>
      </x:c>
      <x:c r="M925" s="28" t="str">
        <x:v>https://www.nature.com/articles/s41467-025-59231-1</x:v>
      </x:c>
    </x:row>
    <x:row r="926" ht="48" customHeight="1">
      <x:c r="A926" s="64" t="str">
        <x:v>T0925</x:v>
      </x:c>
      <x:c r="B926" s="28" t="str">
        <x:v>可信、安全、运营与思维模型</x:v>
      </x:c>
      <x:c r="C926" s="28" t="str">
        <x:v>运营、经济性、扩展与绩效指标</x:v>
      </x:c>
      <x:c r="D926" s="28" t="str">
        <x:v>吞吐、质量与自主性</x:v>
      </x:c>
      <x:c r="E926" s="28" t="str">
        <x:v>运营与经济性</x:v>
      </x:c>
      <x:c r="F926" s="28" t="str">
        <x:v>设备利用率</x:v>
      </x:c>
      <x:c r="G926" s="28" t="str">
        <x:v>用“设备利用率”量化系统是否真正加速科学、降低人工和成本，而非仅增加自动化设备或局部吞吐。</x:v>
      </x:c>
      <x:c r="H926" s="28" t="str">
        <x:v>该指标是否关联科学产出、质量、安全与全生命周期成本？</x:v>
      </x:c>
      <x:c r="I926" s="28" t="str">
        <x:v>吞吐；周期；OEE；人工分钟；单位成功成本；发现率；TCO/ROI；碳/能耗强度</x:v>
      </x:c>
      <x:c r="J926" s="64" t="str">
        <x:v>基础能力</x:v>
      </x:c>
      <x:c r="K926" s="64" t="str">
        <x:v>P0</x:v>
      </x:c>
      <x:c r="L926" s="28" t="str">
        <x:v>S03; S04; S58; S60</x:v>
      </x:c>
      <x:c r="M926" s="28" t="str">
        <x:v>https://www.nature.com/articles/s41467-024-45569-5</x:v>
      </x:c>
    </x:row>
    <x:row r="927" ht="48" customHeight="1">
      <x:c r="A927" s="64" t="str">
        <x:v>T0926</x:v>
      </x:c>
      <x:c r="B927" s="28" t="str">
        <x:v>可信、安全、运营与思维模型</x:v>
      </x:c>
      <x:c r="C927" s="28" t="str">
        <x:v>运营、经济性、扩展与绩效指标</x:v>
      </x:c>
      <x:c r="D927" s="28" t="str">
        <x:v>吞吐、质量与自主性</x:v>
      </x:c>
      <x:c r="E927" s="28" t="str">
        <x:v>运营与经济性</x:v>
      </x:c>
      <x:c r="F927" s="28" t="str">
        <x:v>产率</x:v>
      </x:c>
      <x:c r="G927" s="28" t="str">
        <x:v>用“产率”量化系统是否真正加速科学、降低人工和成本，而非仅增加自动化设备或局部吞吐。</x:v>
      </x:c>
      <x:c r="H927" s="28" t="str">
        <x:v>该指标是否关联科学产出、质量、安全与全生命周期成本？</x:v>
      </x:c>
      <x:c r="I927" s="28" t="str">
        <x:v>吞吐；周期；OEE；人工分钟；单位成功成本；发现率；TCO/ROI；碳/能耗强度</x:v>
      </x:c>
      <x:c r="J927" s="64" t="str">
        <x:v>基础能力</x:v>
      </x:c>
      <x:c r="K927" s="64" t="str">
        <x:v>P0</x:v>
      </x:c>
      <x:c r="L927" s="28" t="str">
        <x:v>S03; S04; S58; S60</x:v>
      </x:c>
      <x:c r="M927" s="28" t="str">
        <x:v>https://www.nature.com/articles/s42004-026-01932-9</x:v>
      </x:c>
    </x:row>
    <x:row r="928" ht="48" customHeight="1">
      <x:c r="A928" s="64" t="str">
        <x:v>T0927</x:v>
      </x:c>
      <x:c r="B928" s="28" t="str">
        <x:v>可信、安全、运营与思维模型</x:v>
      </x:c>
      <x:c r="C928" s="28" t="str">
        <x:v>运营、经济性、扩展与绩效指标</x:v>
      </x:c>
      <x:c r="D928" s="28" t="str">
        <x:v>吞吐、质量与自主性</x:v>
      </x:c>
      <x:c r="E928" s="28" t="str">
        <x:v>运营与经济性</x:v>
      </x:c>
      <x:c r="F928" s="28" t="str">
        <x:v>一次成功率</x:v>
      </x:c>
      <x:c r="G928" s="28" t="str">
        <x:v>用“一次成功率”量化系统是否真正加速科学、降低人工和成本，而非仅增加自动化设备或局部吞吐。</x:v>
      </x:c>
      <x:c r="H928" s="28" t="str">
        <x:v>该指标是否关联科学产出、质量、安全与全生命周期成本？</x:v>
      </x:c>
      <x:c r="I928" s="28" t="str">
        <x:v>吞吐；周期；OEE；人工分钟；单位成功成本；发现率；TCO/ROI；碳/能耗强度</x:v>
      </x:c>
      <x:c r="J928" s="64" t="str">
        <x:v>基础能力</x:v>
      </x:c>
      <x:c r="K928" s="64" t="str">
        <x:v>P0</x:v>
      </x:c>
      <x:c r="L928" s="28" t="str">
        <x:v>S03; S04; S58; S60</x:v>
      </x:c>
      <x:c r="M928" s="28" t="str">
        <x:v>https://www.science.org/doi/10.1126/scirobotics.adm6991</x:v>
      </x:c>
    </x:row>
    <x:row r="929" ht="48" customHeight="1">
      <x:c r="A929" s="64" t="str">
        <x:v>T0928</x:v>
      </x:c>
      <x:c r="B929" s="28" t="str">
        <x:v>可信、安全、运营与思维模型</x:v>
      </x:c>
      <x:c r="C929" s="28" t="str">
        <x:v>运营、经济性、扩展与绩效指标</x:v>
      </x:c>
      <x:c r="D929" s="28" t="str">
        <x:v>吞吐、质量与自主性</x:v>
      </x:c>
      <x:c r="E929" s="28" t="str">
        <x:v>运营与经济性</x:v>
      </x:c>
      <x:c r="F929" s="28" t="str">
        <x:v>重复实验率</x:v>
      </x:c>
      <x:c r="G929" s="28" t="str">
        <x:v>用“重复实验率”量化系统是否真正加速科学、降低人工和成本，而非仅增加自动化设备或局部吞吐。</x:v>
      </x:c>
      <x:c r="H929" s="28" t="str">
        <x:v>该指标是否关联科学产出、质量、安全与全生命周期成本？</x:v>
      </x:c>
      <x:c r="I929" s="28" t="str">
        <x:v>吞吐；周期；OEE；人工分钟；单位成功成本；发现率；TCO/ROI；碳/能耗强度</x:v>
      </x:c>
      <x:c r="J929" s="64" t="str">
        <x:v>基础能力</x:v>
      </x:c>
      <x:c r="K929" s="64" t="str">
        <x:v>P0</x:v>
      </x:c>
      <x:c r="L929" s="28" t="str">
        <x:v>S03; S04; S58; S60</x:v>
      </x:c>
      <x:c r="M929" s="28" t="str">
        <x:v>https://www.nature.com/articles/s41467-025-59231-1</x:v>
      </x:c>
    </x:row>
    <x:row r="930" ht="48" customHeight="1">
      <x:c r="A930" s="64" t="str">
        <x:v>T0929</x:v>
      </x:c>
      <x:c r="B930" s="28" t="str">
        <x:v>可信、安全、运营与思维模型</x:v>
      </x:c>
      <x:c r="C930" s="28" t="str">
        <x:v>运营、经济性、扩展与绩效指标</x:v>
      </x:c>
      <x:c r="D930" s="28" t="str">
        <x:v>吞吐、质量与自主性</x:v>
      </x:c>
      <x:c r="E930" s="28" t="str">
        <x:v>运营与经济性</x:v>
      </x:c>
      <x:c r="F930" s="28" t="str">
        <x:v>人工干预率</x:v>
      </x:c>
      <x:c r="G930" s="28" t="str">
        <x:v>用“人工干预率”量化系统是否真正加速科学、降低人工和成本，而非仅增加自动化设备或局部吞吐。</x:v>
      </x:c>
      <x:c r="H930" s="28" t="str">
        <x:v>该指标是否关联科学产出、质量、安全与全生命周期成本？</x:v>
      </x:c>
      <x:c r="I930" s="28" t="str">
        <x:v>吞吐；周期；OEE；人工分钟；单位成功成本；发现率；TCO/ROI；碳/能耗强度</x:v>
      </x:c>
      <x:c r="J930" s="64" t="str">
        <x:v>基础能力</x:v>
      </x:c>
      <x:c r="K930" s="64" t="str">
        <x:v>P0</x:v>
      </x:c>
      <x:c r="L930" s="28" t="str">
        <x:v>S03; S04; S58; S60</x:v>
      </x:c>
      <x:c r="M930" s="28" t="str">
        <x:v>https://www.nature.com/articles/s41467-024-45569-5</x:v>
      </x:c>
    </x:row>
    <x:row r="931" ht="48" customHeight="1">
      <x:c r="A931" s="64" t="str">
        <x:v>T0930</x:v>
      </x:c>
      <x:c r="B931" s="28" t="str">
        <x:v>可信、安全、运营与思维模型</x:v>
      </x:c>
      <x:c r="C931" s="28" t="str">
        <x:v>运营、经济性、扩展与绩效指标</x:v>
      </x:c>
      <x:c r="D931" s="28" t="str">
        <x:v>吞吐、质量与自主性</x:v>
      </x:c>
      <x:c r="E931" s="28" t="str">
        <x:v>运营与经济性</x:v>
      </x:c>
      <x:c r="F931" s="28" t="str">
        <x:v>连续自主运行时长</x:v>
      </x:c>
      <x:c r="G931" s="28" t="str">
        <x:v>用“连续自主运行时长”量化系统是否真正加速科学、降低人工和成本，而非仅增加自动化设备或局部吞吐。</x:v>
      </x:c>
      <x:c r="H931" s="28" t="str">
        <x:v>该指标是否关联科学产出、质量、安全与全生命周期成本？</x:v>
      </x:c>
      <x:c r="I931" s="28" t="str">
        <x:v>吞吐；周期；OEE；人工分钟；单位成功成本；发现率；TCO/ROI；碳/能耗强度</x:v>
      </x:c>
      <x:c r="J931" s="64" t="str">
        <x:v>基础能力</x:v>
      </x:c>
      <x:c r="K931" s="64" t="str">
        <x:v>P0</x:v>
      </x:c>
      <x:c r="L931" s="28" t="str">
        <x:v>S03; S04; S58; S60</x:v>
      </x:c>
      <x:c r="M931" s="28" t="str">
        <x:v>https://www.nature.com/articles/s42004-026-01932-9</x:v>
      </x:c>
    </x:row>
    <x:row r="932" ht="48" customHeight="1">
      <x:c r="A932" s="64" t="str">
        <x:v>T0931</x:v>
      </x:c>
      <x:c r="B932" s="28" t="str">
        <x:v>可信、安全、运营与思维模型</x:v>
      </x:c>
      <x:c r="C932" s="28" t="str">
        <x:v>运营、经济性、扩展与绩效指标</x:v>
      </x:c>
      <x:c r="D932" s="28" t="str">
        <x:v>成本、材料与环境效率</x:v>
      </x:c>
      <x:c r="E932" s="28" t="str">
        <x:v>运营与经济性</x:v>
      </x:c>
      <x:c r="F932" s="28" t="str">
        <x:v>单实验人工分钟</x:v>
      </x:c>
      <x:c r="G932" s="28" t="str">
        <x:v>用“单实验人工分钟”量化系统是否真正加速科学、降低人工和成本，而非仅增加自动化设备或局部吞吐。</x:v>
      </x:c>
      <x:c r="H932" s="28" t="str">
        <x:v>该指标是否关联科学产出、质量、安全与全生命周期成本？</x:v>
      </x:c>
      <x:c r="I932" s="28" t="str">
        <x:v>吞吐；周期；OEE；人工分钟；单位成功成本；发现率；TCO/ROI；碳/能耗强度</x:v>
      </x:c>
      <x:c r="J932" s="64" t="str">
        <x:v>基础能力</x:v>
      </x:c>
      <x:c r="K932" s="64" t="str">
        <x:v>P1</x:v>
      </x:c>
      <x:c r="L932" s="28" t="str">
        <x:v>S03; S04; S58; S60</x:v>
      </x:c>
      <x:c r="M932" s="28" t="str">
        <x:v>https://www.science.org/doi/10.1126/scirobotics.adm6991</x:v>
      </x:c>
    </x:row>
    <x:row r="933" ht="48" customHeight="1">
      <x:c r="A933" s="64" t="str">
        <x:v>T0932</x:v>
      </x:c>
      <x:c r="B933" s="28" t="str">
        <x:v>可信、安全、运营与思维模型</x:v>
      </x:c>
      <x:c r="C933" s="28" t="str">
        <x:v>运营、经济性、扩展与绩效指标</x:v>
      </x:c>
      <x:c r="D933" s="28" t="str">
        <x:v>成本、材料与环境效率</x:v>
      </x:c>
      <x:c r="E933" s="28" t="str">
        <x:v>运营与经济性</x:v>
      </x:c>
      <x:c r="F933" s="28" t="str">
        <x:v>每次发现所需实验数</x:v>
      </x:c>
      <x:c r="G933" s="28" t="str">
        <x:v>用“每次发现所需实验数”量化系统是否真正加速科学、降低人工和成本，而非仅增加自动化设备或局部吞吐。</x:v>
      </x:c>
      <x:c r="H933" s="28" t="str">
        <x:v>该指标是否关联科学产出、质量、安全与全生命周期成本？</x:v>
      </x:c>
      <x:c r="I933" s="28" t="str">
        <x:v>吞吐；周期；OEE；人工分钟；单位成功成本；发现率；TCO/ROI；碳/能耗强度</x:v>
      </x:c>
      <x:c r="J933" s="64" t="str">
        <x:v>基础能力</x:v>
      </x:c>
      <x:c r="K933" s="64" t="str">
        <x:v>P1</x:v>
      </x:c>
      <x:c r="L933" s="28" t="str">
        <x:v>S03; S04; S58; S60</x:v>
      </x:c>
      <x:c r="M933" s="28" t="str">
        <x:v>https://www.nature.com/articles/s41467-025-59231-1</x:v>
      </x:c>
    </x:row>
    <x:row r="934" ht="48" customHeight="1">
      <x:c r="A934" s="64" t="str">
        <x:v>T0933</x:v>
      </x:c>
      <x:c r="B934" s="28" t="str">
        <x:v>可信、安全、运营与思维模型</x:v>
      </x:c>
      <x:c r="C934" s="28" t="str">
        <x:v>运营、经济性、扩展与绩效指标</x:v>
      </x:c>
      <x:c r="D934" s="28" t="str">
        <x:v>成本、材料与环境效率</x:v>
      </x:c>
      <x:c r="E934" s="28" t="str">
        <x:v>运营与经济性</x:v>
      </x:c>
      <x:c r="F934" s="28" t="str">
        <x:v>加速因子</x:v>
      </x:c>
      <x:c r="G934" s="28" t="str">
        <x:v>用“加速因子”量化系统是否真正加速科学、降低人工和成本，而非仅增加自动化设备或局部吞吐。</x:v>
      </x:c>
      <x:c r="H934" s="28" t="str">
        <x:v>该指标是否关联科学产出、质量、安全与全生命周期成本？</x:v>
      </x:c>
      <x:c r="I934" s="28" t="str">
        <x:v>吞吐；周期；OEE；人工分钟；单位成功成本；发现率；TCO/ROI；碳/能耗强度</x:v>
      </x:c>
      <x:c r="J934" s="64" t="str">
        <x:v>工程化关键</x:v>
      </x:c>
      <x:c r="K934" s="64" t="str">
        <x:v>P1</x:v>
      </x:c>
      <x:c r="L934" s="28" t="str">
        <x:v>S03; S04; S58; S60</x:v>
      </x:c>
      <x:c r="M934" s="28" t="str">
        <x:v>https://www.nature.com/articles/s41467-024-45569-5</x:v>
      </x:c>
    </x:row>
    <x:row r="935" ht="48" customHeight="1">
      <x:c r="A935" s="64" t="str">
        <x:v>T0934</x:v>
      </x:c>
      <x:c r="B935" s="28" t="str">
        <x:v>可信、安全、运营与思维模型</x:v>
      </x:c>
      <x:c r="C935" s="28" t="str">
        <x:v>运营、经济性、扩展与绩效指标</x:v>
      </x:c>
      <x:c r="D935" s="28" t="str">
        <x:v>成本、材料与环境效率</x:v>
      </x:c>
      <x:c r="E935" s="28" t="str">
        <x:v>运营与经济性</x:v>
      </x:c>
      <x:c r="F935" s="28" t="str">
        <x:v>增强因子</x:v>
      </x:c>
      <x:c r="G935" s="28" t="str">
        <x:v>用“增强因子”量化系统是否真正加速科学、降低人工和成本，而非仅增加自动化设备或局部吞吐。</x:v>
      </x:c>
      <x:c r="H935" s="28" t="str">
        <x:v>该指标是否关联科学产出、质量、安全与全生命周期成本？</x:v>
      </x:c>
      <x:c r="I935" s="28" t="str">
        <x:v>吞吐；周期；OEE；人工分钟；单位成功成本；发现率；TCO/ROI；碳/能耗强度</x:v>
      </x:c>
      <x:c r="J935" s="64" t="str">
        <x:v>工程化关键</x:v>
      </x:c>
      <x:c r="K935" s="64" t="str">
        <x:v>P1</x:v>
      </x:c>
      <x:c r="L935" s="28" t="str">
        <x:v>S03; S04; S58; S60</x:v>
      </x:c>
      <x:c r="M935" s="28" t="str">
        <x:v>https://www.nature.com/articles/s42004-026-01932-9</x:v>
      </x:c>
    </x:row>
    <x:row r="936" ht="48" customHeight="1">
      <x:c r="A936" s="64" t="str">
        <x:v>T0935</x:v>
      </x:c>
      <x:c r="B936" s="28" t="str">
        <x:v>可信、安全、运营与思维模型</x:v>
      </x:c>
      <x:c r="C936" s="28" t="str">
        <x:v>运营、经济性、扩展与绩效指标</x:v>
      </x:c>
      <x:c r="D936" s="28" t="str">
        <x:v>成本、材料与环境效率</x:v>
      </x:c>
      <x:c r="E936" s="28" t="str">
        <x:v>运营与经济性</x:v>
      </x:c>
      <x:c r="F936" s="28" t="str">
        <x:v>发现率</x:v>
      </x:c>
      <x:c r="G936" s="28" t="str">
        <x:v>用“发现率”量化系统是否真正加速科学、降低人工和成本，而非仅增加自动化设备或局部吞吐。</x:v>
      </x:c>
      <x:c r="H936" s="28" t="str">
        <x:v>该指标是否关联科学产出、质量、安全与全生命周期成本？</x:v>
      </x:c>
      <x:c r="I936" s="28" t="str">
        <x:v>吞吐；周期；OEE；人工分钟；单位成功成本；发现率；TCO/ROI；碳/能耗强度</x:v>
      </x:c>
      <x:c r="J936" s="64" t="str">
        <x:v>工程化关键</x:v>
      </x:c>
      <x:c r="K936" s="64" t="str">
        <x:v>P1</x:v>
      </x:c>
      <x:c r="L936" s="28" t="str">
        <x:v>S03; S04; S58; S60</x:v>
      </x:c>
      <x:c r="M936" s="28" t="str">
        <x:v>https://www.science.org/doi/10.1126/scirobotics.adm6991</x:v>
      </x:c>
    </x:row>
    <x:row r="937" ht="48" customHeight="1">
      <x:c r="A937" s="64" t="str">
        <x:v>T0936</x:v>
      </x:c>
      <x:c r="B937" s="28" t="str">
        <x:v>可信、安全、运营与思维模型</x:v>
      </x:c>
      <x:c r="C937" s="28" t="str">
        <x:v>运营、经济性、扩展与绩效指标</x:v>
      </x:c>
      <x:c r="D937" s="28" t="str">
        <x:v>成本、材料与环境效率</x:v>
      </x:c>
      <x:c r="E937" s="28" t="str">
        <x:v>运营与经济性</x:v>
      </x:c>
      <x:c r="F937" s="28" t="str">
        <x:v>单实验成本</x:v>
      </x:c>
      <x:c r="G937" s="28" t="str">
        <x:v>用“单实验成本”量化系统是否真正加速科学、降低人工和成本，而非仅增加自动化设备或局部吞吐。</x:v>
      </x:c>
      <x:c r="H937" s="28" t="str">
        <x:v>该指标是否关联科学产出、质量、安全与全生命周期成本？</x:v>
      </x:c>
      <x:c r="I937" s="28" t="str">
        <x:v>吞吐；周期；OEE；人工分钟；单位成功成本；发现率；TCO/ROI；碳/能耗强度</x:v>
      </x:c>
      <x:c r="J937" s="64" t="str">
        <x:v>工程化关键</x:v>
      </x:c>
      <x:c r="K937" s="64" t="str">
        <x:v>P1</x:v>
      </x:c>
      <x:c r="L937" s="28" t="str">
        <x:v>S03; S04; S58; S60</x:v>
      </x:c>
      <x:c r="M937" s="28" t="str">
        <x:v>https://www.nature.com/articles/s41467-025-59231-1</x:v>
      </x:c>
    </x:row>
    <x:row r="938" ht="48" customHeight="1">
      <x:c r="A938" s="64" t="str">
        <x:v>T0937</x:v>
      </x:c>
      <x:c r="B938" s="28" t="str">
        <x:v>可信、安全、运营与思维模型</x:v>
      </x:c>
      <x:c r="C938" s="28" t="str">
        <x:v>运营、经济性、扩展与绩效指标</x:v>
      </x:c>
      <x:c r="D938" s="28" t="str">
        <x:v>成本、材料与环境效率</x:v>
      </x:c>
      <x:c r="E938" s="28" t="str">
        <x:v>运营与经济性</x:v>
      </x:c>
      <x:c r="F938" s="28" t="str">
        <x:v>单成功候选成本</x:v>
      </x:c>
      <x:c r="G938" s="28" t="str">
        <x:v>用“单成功候选成本”量化系统是否真正加速科学、降低人工和成本，而非仅增加自动化设备或局部吞吐。</x:v>
      </x:c>
      <x:c r="H938" s="28" t="str">
        <x:v>该指标是否关联科学产出、质量、安全与全生命周期成本？</x:v>
      </x:c>
      <x:c r="I938" s="28" t="str">
        <x:v>吞吐；周期；OEE；人工分钟；单位成功成本；发现率；TCO/ROI；碳/能耗强度</x:v>
      </x:c>
      <x:c r="J938" s="64" t="str">
        <x:v>工程化关键</x:v>
      </x:c>
      <x:c r="K938" s="64" t="str">
        <x:v>P1</x:v>
      </x:c>
      <x:c r="L938" s="28" t="str">
        <x:v>S03; S04; S58; S60</x:v>
      </x:c>
      <x:c r="M938" s="28" t="str">
        <x:v>https://www.nature.com/articles/s41467-024-45569-5</x:v>
      </x:c>
    </x:row>
    <x:row r="939" ht="48" customHeight="1">
      <x:c r="A939" s="64" t="str">
        <x:v>T0938</x:v>
      </x:c>
      <x:c r="B939" s="28" t="str">
        <x:v>可信、安全、运营与思维模型</x:v>
      </x:c>
      <x:c r="C939" s="28" t="str">
        <x:v>运营、经济性、扩展与绩效指标</x:v>
      </x:c>
      <x:c r="D939" s="28" t="str">
        <x:v>成本、材料与环境效率</x:v>
      </x:c>
      <x:c r="E939" s="28" t="str">
        <x:v>运营与经济性</x:v>
      </x:c>
      <x:c r="F939" s="28" t="str">
        <x:v>材料利用率</x:v>
      </x:c>
      <x:c r="G939" s="28" t="str">
        <x:v>用“材料利用率”量化系统是否真正加速科学、降低人工和成本，而非仅增加自动化设备或局部吞吐。</x:v>
      </x:c>
      <x:c r="H939" s="28" t="str">
        <x:v>该指标是否关联科学产出、质量、安全与全生命周期成本？</x:v>
      </x:c>
      <x:c r="I939" s="28" t="str">
        <x:v>吞吐；周期；OEE；人工分钟；单位成功成本；发现率；TCO/ROI；碳/能耗强度</x:v>
      </x:c>
      <x:c r="J939" s="64" t="str">
        <x:v>工程化关键</x:v>
      </x:c>
      <x:c r="K939" s="64" t="str">
        <x:v>P1</x:v>
      </x:c>
      <x:c r="L939" s="28" t="str">
        <x:v>S03; S04; S58; S60</x:v>
      </x:c>
      <x:c r="M939" s="28" t="str">
        <x:v>https://www.nature.com/articles/s42004-026-01932-9</x:v>
      </x:c>
    </x:row>
    <x:row r="940" ht="48" customHeight="1">
      <x:c r="A940" s="64" t="str">
        <x:v>T0939</x:v>
      </x:c>
      <x:c r="B940" s="28" t="str">
        <x:v>可信、安全、运营与思维模型</x:v>
      </x:c>
      <x:c r="C940" s="28" t="str">
        <x:v>运营、经济性、扩展与绩效指标</x:v>
      </x:c>
      <x:c r="D940" s="28" t="str">
        <x:v>成本、材料与环境效率</x:v>
      </x:c>
      <x:c r="E940" s="28" t="str">
        <x:v>运营与经济性</x:v>
      </x:c>
      <x:c r="F940" s="28" t="str">
        <x:v>能耗强度</x:v>
      </x:c>
      <x:c r="G940" s="28" t="str">
        <x:v>用“能耗强度”量化系统是否真正加速科学、降低人工和成本，而非仅增加自动化设备或局部吞吐。</x:v>
      </x:c>
      <x:c r="H940" s="28" t="str">
        <x:v>该指标是否关联科学产出、质量、安全与全生命周期成本？</x:v>
      </x:c>
      <x:c r="I940" s="28" t="str">
        <x:v>吞吐；周期；OEE；人工分钟；单位成功成本；发现率；TCO/ROI；碳/能耗强度</x:v>
      </x:c>
      <x:c r="J940" s="64" t="str">
        <x:v>工程化关键</x:v>
      </x:c>
      <x:c r="K940" s="64" t="str">
        <x:v>P1</x:v>
      </x:c>
      <x:c r="L940" s="28" t="str">
        <x:v>S03; S04; S58; S60</x:v>
      </x:c>
      <x:c r="M940" s="28" t="str">
        <x:v>https://www.science.org/doi/10.1126/scirobotics.adm6991</x:v>
      </x:c>
    </x:row>
    <x:row r="941" ht="48" customHeight="1">
      <x:c r="A941" s="64" t="str">
        <x:v>T0940</x:v>
      </x:c>
      <x:c r="B941" s="28" t="str">
        <x:v>可信、安全、运营与思维模型</x:v>
      </x:c>
      <x:c r="C941" s="28" t="str">
        <x:v>运营、经济性、扩展与绩效指标</x:v>
      </x:c>
      <x:c r="D941" s="28" t="str">
        <x:v>成本、材料与环境效率</x:v>
      </x:c>
      <x:c r="E941" s="28" t="str">
        <x:v>运营与经济性</x:v>
      </x:c>
      <x:c r="F941" s="28" t="str">
        <x:v>E-factor</x:v>
      </x:c>
      <x:c r="G941" s="28" t="str">
        <x:v>用“E-factor”量化系统是否真正加速科学、降低人工和成本，而非仅增加自动化设备或局部吞吐。</x:v>
      </x:c>
      <x:c r="H941" s="28" t="str">
        <x:v>该指标是否关联科学产出、质量、安全与全生命周期成本？</x:v>
      </x:c>
      <x:c r="I941" s="28" t="str">
        <x:v>吞吐；周期；OEE；人工分钟；单位成功成本；发现率；TCO/ROI；碳/能耗强度</x:v>
      </x:c>
      <x:c r="J941" s="64" t="str">
        <x:v>工程化关键</x:v>
      </x:c>
      <x:c r="K941" s="64" t="str">
        <x:v>P1</x:v>
      </x:c>
      <x:c r="L941" s="28" t="str">
        <x:v>S03; S04; S58; S60</x:v>
      </x:c>
      <x:c r="M941" s="28" t="str">
        <x:v>https://www.nature.com/articles/s41467-025-59231-1</x:v>
      </x:c>
    </x:row>
    <x:row r="942" ht="48" customHeight="1">
      <x:c r="A942" s="64" t="str">
        <x:v>T0941</x:v>
      </x:c>
      <x:c r="B942" s="28" t="str">
        <x:v>可信、安全、运营与思维模型</x:v>
      </x:c>
      <x:c r="C942" s="28" t="str">
        <x:v>运营、经济性、扩展与绩效指标</x:v>
      </x:c>
      <x:c r="D942" s="28" t="str">
        <x:v>排队、瓶颈与产能</x:v>
      </x:c>
      <x:c r="E942" s="28" t="str">
        <x:v>运营与经济性</x:v>
      </x:c>
      <x:c r="F942" s="28" t="str">
        <x:v>碳足迹</x:v>
      </x:c>
      <x:c r="G942" s="28" t="str">
        <x:v>用“碳足迹”量化系统是否真正加速科学、降低人工和成本，而非仅增加自动化设备或局部吞吐。</x:v>
      </x:c>
      <x:c r="H942" s="28" t="str">
        <x:v>该指标是否关联科学产出、质量、安全与全生命周期成本？</x:v>
      </x:c>
      <x:c r="I942" s="28" t="str">
        <x:v>吞吐；周期；OEE；人工分钟；单位成功成本；发现率；TCO/ROI；碳/能耗强度</x:v>
      </x:c>
      <x:c r="J942" s="64" t="str">
        <x:v>工程化关键</x:v>
      </x:c>
      <x:c r="K942" s="64" t="str">
        <x:v>P1</x:v>
      </x:c>
      <x:c r="L942" s="28" t="str">
        <x:v>S03; S04; S58; S60</x:v>
      </x:c>
      <x:c r="M942" s="28" t="str">
        <x:v>https://www.nature.com/articles/s41467-024-45569-5</x:v>
      </x:c>
    </x:row>
    <x:row r="943" ht="48" customHeight="1">
      <x:c r="A943" s="64" t="str">
        <x:v>T0942</x:v>
      </x:c>
      <x:c r="B943" s="28" t="str">
        <x:v>可信、安全、运营与思维模型</x:v>
      </x:c>
      <x:c r="C943" s="28" t="str">
        <x:v>运营、经济性、扩展与绩效指标</x:v>
      </x:c>
      <x:c r="D943" s="28" t="str">
        <x:v>排队、瓶颈与产能</x:v>
      </x:c>
      <x:c r="E943" s="28" t="str">
        <x:v>运营与经济性</x:v>
      </x:c>
      <x:c r="F943" s="28" t="str">
        <x:v>排队时间</x:v>
      </x:c>
      <x:c r="G943" s="28" t="str">
        <x:v>用“排队时间”量化系统是否真正加速科学、降低人工和成本，而非仅增加自动化设备或局部吞吐。</x:v>
      </x:c>
      <x:c r="H943" s="28" t="str">
        <x:v>该指标是否关联科学产出、质量、安全与全生命周期成本？</x:v>
      </x:c>
      <x:c r="I943" s="28" t="str">
        <x:v>吞吐；周期；OEE；人工分钟；单位成功成本；发现率；TCO/ROI；碳/能耗强度</x:v>
      </x:c>
      <x:c r="J943" s="64" t="str">
        <x:v>工程化关键</x:v>
      </x:c>
      <x:c r="K943" s="64" t="str">
        <x:v>P1</x:v>
      </x:c>
      <x:c r="L943" s="28" t="str">
        <x:v>S03; S04; S58; S60</x:v>
      </x:c>
      <x:c r="M943" s="28" t="str">
        <x:v>https://www.nature.com/articles/s42004-026-01932-9</x:v>
      </x:c>
    </x:row>
    <x:row r="944" ht="48" customHeight="1">
      <x:c r="A944" s="64" t="str">
        <x:v>T0943</x:v>
      </x:c>
      <x:c r="B944" s="28" t="str">
        <x:v>可信、安全、运营与思维模型</x:v>
      </x:c>
      <x:c r="C944" s="28" t="str">
        <x:v>运营、经济性、扩展与绩效指标</x:v>
      </x:c>
      <x:c r="D944" s="28" t="str">
        <x:v>排队、瓶颈与产能</x:v>
      </x:c>
      <x:c r="E944" s="28" t="str">
        <x:v>运营与经济性</x:v>
      </x:c>
      <x:c r="F944" s="28" t="str">
        <x:v>瓶颈分析</x:v>
      </x:c>
      <x:c r="G944" s="28" t="str">
        <x:v>用“瓶颈分析”量化系统是否真正加速科学、降低人工和成本，而非仅增加自动化设备或局部吞吐。</x:v>
      </x:c>
      <x:c r="H944" s="28" t="str">
        <x:v>该指标是否关联科学产出、质量、安全与全生命周期成本？</x:v>
      </x:c>
      <x:c r="I944" s="28" t="str">
        <x:v>吞吐；周期；OEE；人工分钟；单位成功成本；发现率；TCO/ROI；碳/能耗强度</x:v>
      </x:c>
      <x:c r="J944" s="64" t="str">
        <x:v>工程化关键</x:v>
      </x:c>
      <x:c r="K944" s="64" t="str">
        <x:v>P1</x:v>
      </x:c>
      <x:c r="L944" s="28" t="str">
        <x:v>S03; S04; S58; S60</x:v>
      </x:c>
      <x:c r="M944" s="28" t="str">
        <x:v>https://www.science.org/doi/10.1126/scirobotics.adm6991</x:v>
      </x:c>
    </x:row>
    <x:row r="945" ht="48" customHeight="1">
      <x:c r="A945" s="64" t="str">
        <x:v>T0944</x:v>
      </x:c>
      <x:c r="B945" s="28" t="str">
        <x:v>可信、安全、运营与思维模型</x:v>
      </x:c>
      <x:c r="C945" s="28" t="str">
        <x:v>运营、经济性、扩展与绩效指标</x:v>
      </x:c>
      <x:c r="D945" s="28" t="str">
        <x:v>排队、瓶颈与产能</x:v>
      </x:c>
      <x:c r="E945" s="28" t="str">
        <x:v>运营与经济性</x:v>
      </x:c>
      <x:c r="F945" s="28" t="str">
        <x:v>节拍时间</x:v>
      </x:c>
      <x:c r="G945" s="28" t="str">
        <x:v>用“节拍时间”量化系统是否真正加速科学、降低人工和成本，而非仅增加自动化设备或局部吞吐。</x:v>
      </x:c>
      <x:c r="H945" s="28" t="str">
        <x:v>该指标是否关联科学产出、质量、安全与全生命周期成本？</x:v>
      </x:c>
      <x:c r="I945" s="28" t="str">
        <x:v>吞吐；周期；OEE；人工分钟；单位成功成本；发现率；TCO/ROI；碳/能耗强度</x:v>
      </x:c>
      <x:c r="J945" s="64" t="str">
        <x:v>工程化关键</x:v>
      </x:c>
      <x:c r="K945" s="64" t="str">
        <x:v>P1</x:v>
      </x:c>
      <x:c r="L945" s="28" t="str">
        <x:v>S03; S04; S58; S60</x:v>
      </x:c>
      <x:c r="M945" s="28" t="str">
        <x:v>https://www.nature.com/articles/s41467-025-59231-1</x:v>
      </x:c>
    </x:row>
    <x:row r="946" ht="48" customHeight="1">
      <x:c r="A946" s="64" t="str">
        <x:v>T0945</x:v>
      </x:c>
      <x:c r="B946" s="28" t="str">
        <x:v>可信、安全、运营与思维模型</x:v>
      </x:c>
      <x:c r="C946" s="28" t="str">
        <x:v>运营、经济性、扩展与绩效指标</x:v>
      </x:c>
      <x:c r="D946" s="28" t="str">
        <x:v>排队、瓶颈与产能</x:v>
      </x:c>
      <x:c r="E946" s="28" t="str">
        <x:v>运营与经济性</x:v>
      </x:c>
      <x:c r="F946" s="28" t="str">
        <x:v>在制品WIP</x:v>
      </x:c>
      <x:c r="G946" s="28" t="str">
        <x:v>用“在制品WIP”量化系统是否真正加速科学、降低人工和成本，而非仅增加自动化设备或局部吞吐。</x:v>
      </x:c>
      <x:c r="H946" s="28" t="str">
        <x:v>该指标是否关联科学产出、质量、安全与全生命周期成本？</x:v>
      </x:c>
      <x:c r="I946" s="28" t="str">
        <x:v>吞吐；周期；OEE；人工分钟；单位成功成本；发现率；TCO/ROI；碳/能耗强度</x:v>
      </x:c>
      <x:c r="J946" s="64" t="str">
        <x:v>工程化关键</x:v>
      </x:c>
      <x:c r="K946" s="64" t="str">
        <x:v>P1</x:v>
      </x:c>
      <x:c r="L946" s="28" t="str">
        <x:v>S03; S04; S58; S60</x:v>
      </x:c>
      <x:c r="M946" s="28" t="str">
        <x:v>https://www.nature.com/articles/s41467-024-45569-5</x:v>
      </x:c>
    </x:row>
    <x:row r="947" ht="48" customHeight="1">
      <x:c r="A947" s="64" t="str">
        <x:v>T0946</x:v>
      </x:c>
      <x:c r="B947" s="28" t="str">
        <x:v>可信、安全、运营与思维模型</x:v>
      </x:c>
      <x:c r="C947" s="28" t="str">
        <x:v>运营、经济性、扩展与绩效指标</x:v>
      </x:c>
      <x:c r="D947" s="28" t="str">
        <x:v>排队、瓶颈与产能</x:v>
      </x:c>
      <x:c r="E947" s="28" t="str">
        <x:v>运营与经济性</x:v>
      </x:c>
      <x:c r="F947" s="28" t="str">
        <x:v>Little定律</x:v>
      </x:c>
      <x:c r="G947" s="28" t="str">
        <x:v>用“Little定律”量化系统是否真正加速科学、降低人工和成本，而非仅增加自动化设备或局部吞吐。</x:v>
      </x:c>
      <x:c r="H947" s="28" t="str">
        <x:v>该指标是否关联科学产出、质量、安全与全生命周期成本？</x:v>
      </x:c>
      <x:c r="I947" s="28" t="str">
        <x:v>吞吐；周期；OEE；人工分钟；单位成功成本；发现率；TCO/ROI；碳/能耗强度</x:v>
      </x:c>
      <x:c r="J947" s="64" t="str">
        <x:v>工程化关键</x:v>
      </x:c>
      <x:c r="K947" s="64" t="str">
        <x:v>P1</x:v>
      </x:c>
      <x:c r="L947" s="28" t="str">
        <x:v>S03; S04; S58; S60</x:v>
      </x:c>
      <x:c r="M947" s="28" t="str">
        <x:v>https://www.nature.com/articles/s42004-026-01932-9</x:v>
      </x:c>
    </x:row>
    <x:row r="948" ht="48" customHeight="1">
      <x:c r="A948" s="64" t="str">
        <x:v>T0947</x:v>
      </x:c>
      <x:c r="B948" s="28" t="str">
        <x:v>可信、安全、运营与思维模型</x:v>
      </x:c>
      <x:c r="C948" s="28" t="str">
        <x:v>运营、经济性、扩展与绩效指标</x:v>
      </x:c>
      <x:c r="D948" s="28" t="str">
        <x:v>排队、瓶颈与产能</x:v>
      </x:c>
      <x:c r="E948" s="28" t="str">
        <x:v>运营与经济性</x:v>
      </x:c>
      <x:c r="F948" s="28" t="str">
        <x:v>产能规划</x:v>
      </x:c>
      <x:c r="G948" s="28" t="str">
        <x:v>用“产能规划”量化系统是否真正加速科学、降低人工和成本，而非仅增加自动化设备或局部吞吐。</x:v>
      </x:c>
      <x:c r="H948" s="28" t="str">
        <x:v>该指标是否关联科学产出、质量、安全与全生命周期成本？</x:v>
      </x:c>
      <x:c r="I948" s="28" t="str">
        <x:v>吞吐；周期；OEE；人工分钟；单位成功成本；发现率；TCO/ROI；碳/能耗强度</x:v>
      </x:c>
      <x:c r="J948" s="64" t="str">
        <x:v>工程化关键</x:v>
      </x:c>
      <x:c r="K948" s="64" t="str">
        <x:v>P1</x:v>
      </x:c>
      <x:c r="L948" s="28" t="str">
        <x:v>S03; S04; S58; S60</x:v>
      </x:c>
      <x:c r="M948" s="28" t="str">
        <x:v>https://www.science.org/doi/10.1126/scirobotics.adm6991</x:v>
      </x:c>
    </x:row>
    <x:row r="949" ht="48" customHeight="1">
      <x:c r="A949" s="64" t="str">
        <x:v>T0948</x:v>
      </x:c>
      <x:c r="B949" s="28" t="str">
        <x:v>可信、安全、运营与思维模型</x:v>
      </x:c>
      <x:c r="C949" s="28" t="str">
        <x:v>运营、经济性、扩展与绩效指标</x:v>
      </x:c>
      <x:c r="D949" s="28" t="str">
        <x:v>排队、瓶颈与产能</x:v>
      </x:c>
      <x:c r="E949" s="28" t="str">
        <x:v>运营与经济性</x:v>
      </x:c>
      <x:c r="F949" s="28" t="str">
        <x:v>产线平衡</x:v>
      </x:c>
      <x:c r="G949" s="28" t="str">
        <x:v>用“产线平衡”量化系统是否真正加速科学、降低人工和成本，而非仅增加自动化设备或局部吞吐。</x:v>
      </x:c>
      <x:c r="H949" s="28" t="str">
        <x:v>该指标是否关联科学产出、质量、安全与全生命周期成本？</x:v>
      </x:c>
      <x:c r="I949" s="28" t="str">
        <x:v>吞吐；周期；OEE；人工分钟；单位成功成本；发现率；TCO/ROI；碳/能耗强度</x:v>
      </x:c>
      <x:c r="J949" s="64" t="str">
        <x:v>工程化关键</x:v>
      </x:c>
      <x:c r="K949" s="64" t="str">
        <x:v>P1</x:v>
      </x:c>
      <x:c r="L949" s="28" t="str">
        <x:v>S03; S04; S58; S60</x:v>
      </x:c>
      <x:c r="M949" s="28" t="str">
        <x:v>https://www.nature.com/articles/s41467-025-59231-1</x:v>
      </x:c>
    </x:row>
    <x:row r="950" ht="48" customHeight="1">
      <x:c r="A950" s="64" t="str">
        <x:v>T0949</x:v>
      </x:c>
      <x:c r="B950" s="28" t="str">
        <x:v>可信、安全、运营与思维模型</x:v>
      </x:c>
      <x:c r="C950" s="28" t="str">
        <x:v>运营、经济性、扩展与绩效指标</x:v>
      </x:c>
      <x:c r="D950" s="28" t="str">
        <x:v>排队、瓶颈与产能</x:v>
      </x:c>
      <x:c r="E950" s="28" t="str">
        <x:v>运营与经济性</x:v>
      </x:c>
      <x:c r="F950" s="28" t="str">
        <x:v>调度性能</x:v>
      </x:c>
      <x:c r="G950" s="28" t="str">
        <x:v>用“调度性能”量化系统是否真正加速科学、降低人工和成本，而非仅增加自动化设备或局部吞吐。</x:v>
      </x:c>
      <x:c r="H950" s="28" t="str">
        <x:v>该指标是否关联科学产出、质量、安全与全生命周期成本？</x:v>
      </x:c>
      <x:c r="I950" s="28" t="str">
        <x:v>吞吐；周期；OEE；人工分钟；单位成功成本；发现率；TCO/ROI；碳/能耗强度</x:v>
      </x:c>
      <x:c r="J950" s="64" t="str">
        <x:v>进阶能力</x:v>
      </x:c>
      <x:c r="K950" s="64" t="str">
        <x:v>P2</x:v>
      </x:c>
      <x:c r="L950" s="28" t="str">
        <x:v>S03; S04; S58; S60</x:v>
      </x:c>
      <x:c r="M950" s="28" t="str">
        <x:v>https://www.nature.com/articles/s41467-024-45569-5</x:v>
      </x:c>
    </x:row>
    <x:row r="951" ht="48" customHeight="1">
      <x:c r="A951" s="64" t="str">
        <x:v>T0950</x:v>
      </x:c>
      <x:c r="B951" s="28" t="str">
        <x:v>可信、安全、运营与思维模型</x:v>
      </x:c>
      <x:c r="C951" s="28" t="str">
        <x:v>运营、经济性、扩展与绩效指标</x:v>
      </x:c>
      <x:c r="D951" s="28" t="str">
        <x:v>排队、瓶颈与产能</x:v>
      </x:c>
      <x:c r="E951" s="28" t="str">
        <x:v>运营与经济性</x:v>
      </x:c>
      <x:c r="F951" s="28" t="str">
        <x:v>换型时间</x:v>
      </x:c>
      <x:c r="G951" s="28" t="str">
        <x:v>用“换型时间”量化系统是否真正加速科学、降低人工和成本，而非仅增加自动化设备或局部吞吐。</x:v>
      </x:c>
      <x:c r="H951" s="28" t="str">
        <x:v>该指标是否关联科学产出、质量、安全与全生命周期成本？</x:v>
      </x:c>
      <x:c r="I951" s="28" t="str">
        <x:v>吞吐；周期；OEE；人工分钟；单位成功成本；发现率；TCO/ROI；碳/能耗强度</x:v>
      </x:c>
      <x:c r="J951" s="64" t="str">
        <x:v>进阶能力</x:v>
      </x:c>
      <x:c r="K951" s="64" t="str">
        <x:v>P2</x:v>
      </x:c>
      <x:c r="L951" s="28" t="str">
        <x:v>S03; S04; S58; S60</x:v>
      </x:c>
      <x:c r="M951" s="28" t="str">
        <x:v>https://www.nature.com/articles/s42004-026-01932-9</x:v>
      </x:c>
    </x:row>
    <x:row r="952" ht="48" customHeight="1">
      <x:c r="A952" s="64" t="str">
        <x:v>T0951</x:v>
      </x:c>
      <x:c r="B952" s="28" t="str">
        <x:v>可信、安全、运营与思维模型</x:v>
      </x:c>
      <x:c r="C952" s="28" t="str">
        <x:v>运营、经济性、扩展与绩效指标</x:v>
      </x:c>
      <x:c r="D952" s="28" t="str">
        <x:v>供应、扩展与投资回报</x:v>
      </x:c>
      <x:c r="E952" s="28" t="str">
        <x:v>运营与经济性</x:v>
      </x:c>
      <x:c r="F952" s="28" t="str">
        <x:v>SMED</x:v>
      </x:c>
      <x:c r="G952" s="28" t="str">
        <x:v>用“SMED”量化系统是否真正加速科学、降低人工和成本，而非仅增加自动化设备或局部吞吐。</x:v>
      </x:c>
      <x:c r="H952" s="28" t="str">
        <x:v>该指标是否关联科学产出、质量、安全与全生命周期成本？</x:v>
      </x:c>
      <x:c r="I952" s="28" t="str">
        <x:v>吞吐；周期；OEE；人工分钟；单位成功成本；发现率；TCO/ROI；碳/能耗强度</x:v>
      </x:c>
      <x:c r="J952" s="64" t="str">
        <x:v>进阶能力</x:v>
      </x:c>
      <x:c r="K952" s="64" t="str">
        <x:v>P2</x:v>
      </x:c>
      <x:c r="L952" s="28" t="str">
        <x:v>S03; S04; S58; S60</x:v>
      </x:c>
      <x:c r="M952" s="28" t="str">
        <x:v>https://www.science.org/doi/10.1126/scirobotics.adm6991</x:v>
      </x:c>
    </x:row>
    <x:row r="953" ht="48" customHeight="1">
      <x:c r="A953" s="64" t="str">
        <x:v>T0952</x:v>
      </x:c>
      <x:c r="B953" s="28" t="str">
        <x:v>可信、安全、运营与思维模型</x:v>
      </x:c>
      <x:c r="C953" s="28" t="str">
        <x:v>运营、经济性、扩展与绩效指标</x:v>
      </x:c>
      <x:c r="D953" s="28" t="str">
        <x:v>供应、扩展与投资回报</x:v>
      </x:c>
      <x:c r="E953" s="28" t="str">
        <x:v>运营与经济性</x:v>
      </x:c>
      <x:c r="F953" s="28" t="str">
        <x:v>库存周转</x:v>
      </x:c>
      <x:c r="G953" s="28" t="str">
        <x:v>用“库存周转”量化系统是否真正加速科学、降低人工和成本，而非仅增加自动化设备或局部吞吐。</x:v>
      </x:c>
      <x:c r="H953" s="28" t="str">
        <x:v>该指标是否关联科学产出、质量、安全与全生命周期成本？</x:v>
      </x:c>
      <x:c r="I953" s="28" t="str">
        <x:v>吞吐；周期；OEE；人工分钟；单位成功成本；发现率；TCO/ROI；碳/能耗强度</x:v>
      </x:c>
      <x:c r="J953" s="64" t="str">
        <x:v>进阶能力</x:v>
      </x:c>
      <x:c r="K953" s="64" t="str">
        <x:v>P2</x:v>
      </x:c>
      <x:c r="L953" s="28" t="str">
        <x:v>S03; S04; S58; S60</x:v>
      </x:c>
      <x:c r="M953" s="28" t="str">
        <x:v>https://www.nature.com/articles/s41467-025-59231-1</x:v>
      </x:c>
    </x:row>
    <x:row r="954" ht="48" customHeight="1">
      <x:c r="A954" s="64" t="str">
        <x:v>T0953</x:v>
      </x:c>
      <x:c r="B954" s="28" t="str">
        <x:v>可信、安全、运营与思维模型</x:v>
      </x:c>
      <x:c r="C954" s="28" t="str">
        <x:v>运营、经济性、扩展与绩效指标</x:v>
      </x:c>
      <x:c r="D954" s="28" t="str">
        <x:v>供应、扩展与投资回报</x:v>
      </x:c>
      <x:c r="E954" s="28" t="str">
        <x:v>运营与经济性</x:v>
      </x:c>
      <x:c r="F954" s="28" t="str">
        <x:v>耗材需求预测</x:v>
      </x:c>
      <x:c r="G954" s="28" t="str">
        <x:v>用“耗材需求预测”量化系统是否真正加速科学、降低人工和成本，而非仅增加自动化设备或局部吞吐。</x:v>
      </x:c>
      <x:c r="H954" s="28" t="str">
        <x:v>该指标是否关联科学产出、质量、安全与全生命周期成本？</x:v>
      </x:c>
      <x:c r="I954" s="28" t="str">
        <x:v>吞吐；周期；OEE；人工分钟；单位成功成本；发现率；TCO/ROI；碳/能耗强度</x:v>
      </x:c>
      <x:c r="J954" s="64" t="str">
        <x:v>进阶能力</x:v>
      </x:c>
      <x:c r="K954" s="64" t="str">
        <x:v>P2</x:v>
      </x:c>
      <x:c r="L954" s="28" t="str">
        <x:v>S03; S04; S58; S60</x:v>
      </x:c>
      <x:c r="M954" s="28" t="str">
        <x:v>https://www.nature.com/articles/s41467-024-45569-5</x:v>
      </x:c>
    </x:row>
    <x:row r="955" ht="48" customHeight="1">
      <x:c r="A955" s="64" t="str">
        <x:v>T0954</x:v>
      </x:c>
      <x:c r="B955" s="28" t="str">
        <x:v>可信、安全、运营与思维模型</x:v>
      </x:c>
      <x:c r="C955" s="28" t="str">
        <x:v>运营、经济性、扩展与绩效指标</x:v>
      </x:c>
      <x:c r="D955" s="28" t="str">
        <x:v>供应、扩展与投资回报</x:v>
      </x:c>
      <x:c r="E955" s="28" t="str">
        <x:v>运营与经济性</x:v>
      </x:c>
      <x:c r="F955" s="28" t="str">
        <x:v>自动补货</x:v>
      </x:c>
      <x:c r="G955" s="28" t="str">
        <x:v>用“自动补货”量化系统是否真正加速科学、降低人工和成本，而非仅增加自动化设备或局部吞吐。</x:v>
      </x:c>
      <x:c r="H955" s="28" t="str">
        <x:v>该指标是否关联科学产出、质量、安全与全生命周期成本？</x:v>
      </x:c>
      <x:c r="I955" s="28" t="str">
        <x:v>吞吐；周期；OEE；人工分钟；单位成功成本；发现率；TCO/ROI；碳/能耗强度</x:v>
      </x:c>
      <x:c r="J955" s="64" t="str">
        <x:v>进阶能力</x:v>
      </x:c>
      <x:c r="K955" s="64" t="str">
        <x:v>P2</x:v>
      </x:c>
      <x:c r="L955" s="28" t="str">
        <x:v>S03; S04; S58; S60</x:v>
      </x:c>
      <x:c r="M955" s="28" t="str">
        <x:v>https://www.nature.com/articles/s42004-026-01932-9</x:v>
      </x:c>
    </x:row>
    <x:row r="956" ht="48" customHeight="1">
      <x:c r="A956" s="64" t="str">
        <x:v>T0955</x:v>
      </x:c>
      <x:c r="B956" s="28" t="str">
        <x:v>可信、安全、运营与思维模型</x:v>
      </x:c>
      <x:c r="C956" s="28" t="str">
        <x:v>运营、经济性、扩展与绩效指标</x:v>
      </x:c>
      <x:c r="D956" s="28" t="str">
        <x:v>供应、扩展与投资回报</x:v>
      </x:c>
      <x:c r="E956" s="28" t="str">
        <x:v>运营与经济性</x:v>
      </x:c>
      <x:c r="F956" s="28" t="str">
        <x:v>实验室布局</x:v>
      </x:c>
      <x:c r="G956" s="28" t="str">
        <x:v>用“实验室布局”量化系统是否真正加速科学、降低人工和成本，而非仅增加自动化设备或局部吞吐。</x:v>
      </x:c>
      <x:c r="H956" s="28" t="str">
        <x:v>该指标是否关联科学产出、质量、安全与全生命周期成本？</x:v>
      </x:c>
      <x:c r="I956" s="28" t="str">
        <x:v>吞吐；周期；OEE；人工分钟；单位成功成本；发现率；TCO/ROI；碳/能耗强度</x:v>
      </x:c>
      <x:c r="J956" s="64" t="str">
        <x:v>进阶能力</x:v>
      </x:c>
      <x:c r="K956" s="64" t="str">
        <x:v>P2</x:v>
      </x:c>
      <x:c r="L956" s="28" t="str">
        <x:v>S03; S04; S58; S60</x:v>
      </x:c>
      <x:c r="M956" s="28" t="str">
        <x:v>https://www.science.org/doi/10.1126/scirobotics.adm6991</x:v>
      </x:c>
    </x:row>
    <x:row r="957" ht="48" customHeight="1">
      <x:c r="A957" s="64" t="str">
        <x:v>T0956</x:v>
      </x:c>
      <x:c r="B957" s="28" t="str">
        <x:v>可信、安全、运营与思维模型</x:v>
      </x:c>
      <x:c r="C957" s="28" t="str">
        <x:v>运营、经济性、扩展与绩效指标</x:v>
      </x:c>
      <x:c r="D957" s="28" t="str">
        <x:v>供应、扩展与投资回报</x:v>
      </x:c>
      <x:c r="E957" s="28" t="str">
        <x:v>运营与经济性</x:v>
      </x:c>
      <x:c r="F957" s="28" t="str">
        <x:v>模块化扩容</x:v>
      </x:c>
      <x:c r="G957" s="28" t="str">
        <x:v>用“模块化扩容”量化系统是否真正加速科学、降低人工和成本，而非仅增加自动化设备或局部吞吐。</x:v>
      </x:c>
      <x:c r="H957" s="28" t="str">
        <x:v>该指标是否关联科学产出、质量、安全与全生命周期成本？</x:v>
      </x:c>
      <x:c r="I957" s="28" t="str">
        <x:v>吞吐；周期；OEE；人工分钟；单位成功成本；发现率；TCO/ROI；碳/能耗强度</x:v>
      </x:c>
      <x:c r="J957" s="64" t="str">
        <x:v>进阶能力</x:v>
      </x:c>
      <x:c r="K957" s="64" t="str">
        <x:v>P2</x:v>
      </x:c>
      <x:c r="L957" s="28" t="str">
        <x:v>S03; S04; S58; S60</x:v>
      </x:c>
      <x:c r="M957" s="28" t="str">
        <x:v>https://www.nature.com/articles/s41467-025-59231-1</x:v>
      </x:c>
    </x:row>
    <x:row r="958" ht="48" customHeight="1">
      <x:c r="A958" s="64" t="str">
        <x:v>T0957</x:v>
      </x:c>
      <x:c r="B958" s="28" t="str">
        <x:v>可信、安全、运营与思维模型</x:v>
      </x:c>
      <x:c r="C958" s="28" t="str">
        <x:v>运营、经济性、扩展与绩效指标</x:v>
      </x:c>
      <x:c r="D958" s="28" t="str">
        <x:v>供应、扩展与投资回报</x:v>
      </x:c>
      <x:c r="E958" s="28" t="str">
        <x:v>运营与经济性</x:v>
      </x:c>
      <x:c r="F958" s="28" t="str">
        <x:v>总拥有成本TCO</x:v>
      </x:c>
      <x:c r="G958" s="28" t="str">
        <x:v>用“总拥有成本TCO”量化系统是否真正加速科学、降低人工和成本，而非仅增加自动化设备或局部吞吐。</x:v>
      </x:c>
      <x:c r="H958" s="28" t="str">
        <x:v>该指标是否关联科学产出、质量、安全与全生命周期成本？</x:v>
      </x:c>
      <x:c r="I958" s="28" t="str">
        <x:v>吞吐；周期；OEE；人工分钟；单位成功成本；发现率；TCO/ROI；碳/能耗强度</x:v>
      </x:c>
      <x:c r="J958" s="64" t="str">
        <x:v>前沿能力</x:v>
      </x:c>
      <x:c r="K958" s="64" t="str">
        <x:v>P2</x:v>
      </x:c>
      <x:c r="L958" s="28" t="str">
        <x:v>S03; S04; S58; S60</x:v>
      </x:c>
      <x:c r="M958" s="28" t="str">
        <x:v>https://www.nature.com/articles/s41467-024-45569-5</x:v>
      </x:c>
    </x:row>
    <x:row r="959" ht="48" customHeight="1">
      <x:c r="A959" s="64" t="str">
        <x:v>T0958</x:v>
      </x:c>
      <x:c r="B959" s="28" t="str">
        <x:v>可信、安全、运营与思维模型</x:v>
      </x:c>
      <x:c r="C959" s="28" t="str">
        <x:v>运营、经济性、扩展与绩效指标</x:v>
      </x:c>
      <x:c r="D959" s="28" t="str">
        <x:v>供应、扩展与投资回报</x:v>
      </x:c>
      <x:c r="E959" s="28" t="str">
        <x:v>运营与经济性</x:v>
      </x:c>
      <x:c r="F959" s="28" t="str">
        <x:v>投资回报ROI</x:v>
      </x:c>
      <x:c r="G959" s="28" t="str">
        <x:v>用“投资回报ROI”量化系统是否真正加速科学、降低人工和成本，而非仅增加自动化设备或局部吞吐。</x:v>
      </x:c>
      <x:c r="H959" s="28" t="str">
        <x:v>该指标是否关联科学产出、质量、安全与全生命周期成本？</x:v>
      </x:c>
      <x:c r="I959" s="28" t="str">
        <x:v>吞吐；周期；OEE；人工分钟；单位成功成本；发现率；TCO/ROI；碳/能耗强度</x:v>
      </x:c>
      <x:c r="J959" s="64" t="str">
        <x:v>前沿能力</x:v>
      </x:c>
      <x:c r="K959" s="64" t="str">
        <x:v>P2</x:v>
      </x:c>
      <x:c r="L959" s="28" t="str">
        <x:v>S03; S04; S58; S60</x:v>
      </x:c>
      <x:c r="M959" s="28" t="str">
        <x:v>https://www.nature.com/articles/s42004-026-01932-9</x:v>
      </x:c>
    </x:row>
    <x:row r="960" ht="48" customHeight="1">
      <x:c r="A960" s="64" t="str">
        <x:v>T0959</x:v>
      </x:c>
      <x:c r="B960" s="28" t="str">
        <x:v>可信、安全、运营与思维模型</x:v>
      </x:c>
      <x:c r="C960" s="28" t="str">
        <x:v>运营、经济性、扩展与绩效指标</x:v>
      </x:c>
      <x:c r="D960" s="28" t="str">
        <x:v>供应、扩展与投资回报</x:v>
      </x:c>
      <x:c r="E960" s="28" t="str">
        <x:v>运营与经济性</x:v>
      </x:c>
      <x:c r="F960" s="28" t="str">
        <x:v>技术成熟度TRL</x:v>
      </x:c>
      <x:c r="G960" s="28" t="str">
        <x:v>用“技术成熟度TRL”量化系统是否真正加速科学、降低人工和成本，而非仅增加自动化设备或局部吞吐。</x:v>
      </x:c>
      <x:c r="H960" s="28" t="str">
        <x:v>该指标是否关联科学产出、质量、安全与全生命周期成本？</x:v>
      </x:c>
      <x:c r="I960" s="28" t="str">
        <x:v>吞吐；周期；OEE；人工分钟；单位成功成本；发现率；TCO/ROI；碳/能耗强度</x:v>
      </x:c>
      <x:c r="J960" s="64" t="str">
        <x:v>前沿能力</x:v>
      </x:c>
      <x:c r="K960" s="64" t="str">
        <x:v>P2</x:v>
      </x:c>
      <x:c r="L960" s="28" t="str">
        <x:v>S03; S04; S58; S60</x:v>
      </x:c>
      <x:c r="M960" s="28" t="str">
        <x:v>https://www.science.org/doi/10.1126/scirobotics.adm6991</x:v>
      </x:c>
    </x:row>
    <x:row r="961" ht="48" customHeight="1">
      <x:c r="A961" s="64" t="str">
        <x:v>T0960</x:v>
      </x:c>
      <x:c r="B961" s="28" t="str">
        <x:v>可信、安全、运营与思维模型</x:v>
      </x:c>
      <x:c r="C961" s="28" t="str">
        <x:v>运营、经济性、扩展与绩效指标</x:v>
      </x:c>
      <x:c r="D961" s="28" t="str">
        <x:v>供应、扩展与投资回报</x:v>
      </x:c>
      <x:c r="E961" s="28" t="str">
        <x:v>运营与经济性</x:v>
      </x:c>
      <x:c r="F961" s="28" t="str">
        <x:v>自主成熟度ARL</x:v>
      </x:c>
      <x:c r="G961" s="28" t="str">
        <x:v>用“自主成熟度ARL”量化系统是否真正加速科学、降低人工和成本，而非仅增加自动化设备或局部吞吐。</x:v>
      </x:c>
      <x:c r="H961" s="28" t="str">
        <x:v>该指标是否关联科学产出、质量、安全与全生命周期成本？</x:v>
      </x:c>
      <x:c r="I961" s="28" t="str">
        <x:v>吞吐；周期；OEE；人工分钟；单位成功成本；发现率；TCO/ROI；碳/能耗强度</x:v>
      </x:c>
      <x:c r="J961" s="64" t="str">
        <x:v>前沿能力</x:v>
      </x:c>
      <x:c r="K961" s="64" t="str">
        <x:v>P2</x:v>
      </x:c>
      <x:c r="L961" s="28" t="str">
        <x:v>S03; S04; S58; S60</x:v>
      </x:c>
      <x:c r="M961" s="28" t="str">
        <x:v>https://www.nature.com/articles/s41467-025-59231-1</x:v>
      </x:c>
    </x:row>
    <x:row r="962" ht="48" customHeight="1">
      <x:c r="A962" s="64" t="str">
        <x:v>T0961</x:v>
      </x:c>
      <x:c r="B962" s="28" t="str">
        <x:v>可信、安全、运营与思维模型</x:v>
      </x:c>
      <x:c r="C962" s="28" t="str">
        <x:v>关键思维模型</x:v>
      </x:c>
      <x:c r="D962" s="28" t="str">
        <x:v>科学与决策闭环</x:v>
      </x:c>
      <x:c r="E962" s="28" t="str">
        <x:v>思维模型</x:v>
      </x:c>
      <x:c r="F962" s="28" t="str">
        <x:v>闭环思维</x:v>
      </x:c>
      <x:c r="G962" s="28" t="str">
        <x:v>把“闭环思维”作为设计与决策的认知透镜，用于界定问题、管理不确定性、组织证据并避免局部最优。</x:v>
      </x:c>
      <x:c r="H962" s="28" t="str">
        <x:v>该模型在什么条件下有效，何时会误导，如何用证据校正？</x:v>
      </x:c>
      <x:c r="I962" s="28" t="str">
        <x:v>决策可解释性；反例覆盖；假设更新速度；错误发现提前量；跨场景迁移效果</x:v>
      </x:c>
      <x:c r="J962" s="64" t="str">
        <x:v>基础能力</x:v>
      </x:c>
      <x:c r="K962" s="64" t="str">
        <x:v>P0</x:v>
      </x:c>
      <x:c r="L962" s="28" t="str">
        <x:v>S01; S22; S23; S47</x:v>
      </x:c>
      <x:c r="M962" s="28" t="str">
        <x:v>https://pubs.acs.org/doi/10.1021/acs.chemrev.4c00055</x:v>
      </x:c>
    </x:row>
    <x:row r="963" ht="48" customHeight="1">
      <x:c r="A963" s="64" t="str">
        <x:v>T0962</x:v>
      </x:c>
      <x:c r="B963" s="28" t="str">
        <x:v>可信、安全、运营与思维模型</x:v>
      </x:c>
      <x:c r="C963" s="28" t="str">
        <x:v>关键思维模型</x:v>
      </x:c>
      <x:c r="D963" s="28" t="str">
        <x:v>科学与决策闭环</x:v>
      </x:c>
      <x:c r="E963" s="28" t="str">
        <x:v>思维模型</x:v>
      </x:c>
      <x:c r="F963" s="28" t="str">
        <x:v>科学方法</x:v>
      </x:c>
      <x:c r="G963" s="28" t="str">
        <x:v>把“科学方法”作为设计与决策的认知透镜，用于界定问题、管理不确定性、组织证据并避免局部最优。</x:v>
      </x:c>
      <x:c r="H963" s="28" t="str">
        <x:v>该模型在什么条件下有效，何时会误导，如何用证据校正？</x:v>
      </x:c>
      <x:c r="I963" s="28" t="str">
        <x:v>决策可解释性；反例覆盖；假设更新速度；错误发现提前量；跨场景迁移效果</x:v>
      </x:c>
      <x:c r="J963" s="64" t="str">
        <x:v>基础能力</x:v>
      </x:c>
      <x:c r="K963" s="64" t="str">
        <x:v>P0</x:v>
      </x:c>
      <x:c r="L963" s="28" t="str">
        <x:v>S01; S22; S23; S47</x:v>
      </x:c>
      <x:c r="M963" s="28" t="str">
        <x:v>https://www.itl.nist.gov/div898/handbook/</x:v>
      </x:c>
    </x:row>
    <x:row r="964" ht="48" customHeight="1">
      <x:c r="A964" s="64" t="str">
        <x:v>T0963</x:v>
      </x:c>
      <x:c r="B964" s="28" t="str">
        <x:v>可信、安全、运营与思维模型</x:v>
      </x:c>
      <x:c r="C964" s="28" t="str">
        <x:v>关键思维模型</x:v>
      </x:c>
      <x:c r="D964" s="28" t="str">
        <x:v>科学与决策闭环</x:v>
      </x:c>
      <x:c r="E964" s="28" t="str">
        <x:v>思维模型</x:v>
      </x:c>
      <x:c r="F964" s="28" t="str">
        <x:v>贝叶斯更新</x:v>
      </x:c>
      <x:c r="G964" s="28" t="str">
        <x:v>把“贝叶斯更新”作为设计与决策的认知透镜，用于界定问题、管理不确定性、组织证据并避免局部最优。</x:v>
      </x:c>
      <x:c r="H964" s="28" t="str">
        <x:v>该模型在什么条件下有效，何时会误导，如何用证据校正？</x:v>
      </x:c>
      <x:c r="I964" s="28" t="str">
        <x:v>决策可解释性；反例覆盖；假设更新速度；错误发现提前量；跨场景迁移效果</x:v>
      </x:c>
      <x:c r="J964" s="64" t="str">
        <x:v>基础能力</x:v>
      </x:c>
      <x:c r="K964" s="64" t="str">
        <x:v>P0</x:v>
      </x:c>
      <x:c r="L964" s="28" t="str">
        <x:v>S01; S22; S23; S47</x:v>
      </x:c>
      <x:c r="M964" s="28" t="str">
        <x:v>https://www.nature.com/articles/sdata201618</x:v>
      </x:c>
    </x:row>
    <x:row r="965" ht="48" customHeight="1">
      <x:c r="A965" s="64" t="str">
        <x:v>T0964</x:v>
      </x:c>
      <x:c r="B965" s="28" t="str">
        <x:v>可信、安全、运营与思维模型</x:v>
      </x:c>
      <x:c r="C965" s="28" t="str">
        <x:v>关键思维模型</x:v>
      </x:c>
      <x:c r="D965" s="28" t="str">
        <x:v>科学与决策闭环</x:v>
      </x:c>
      <x:c r="E965" s="28" t="str">
        <x:v>思维模型</x:v>
      </x:c>
      <x:c r="F965" s="28" t="str">
        <x:v>探索—利用</x:v>
      </x:c>
      <x:c r="G965" s="28" t="str">
        <x:v>把“探索—利用”作为设计与决策的认知透镜，用于界定问题、管理不确定性、组织证据并避免局部最优。</x:v>
      </x:c>
      <x:c r="H965" s="28" t="str">
        <x:v>该模型在什么条件下有效，何时会误导，如何用证据校正？</x:v>
      </x:c>
      <x:c r="I965" s="28" t="str">
        <x:v>决策可解释性；反例覆盖；假设更新速度；错误发现提前量；跨场景迁移效果</x:v>
      </x:c>
      <x:c r="J965" s="64" t="str">
        <x:v>基础能力</x:v>
      </x:c>
      <x:c r="K965" s="64" t="str">
        <x:v>P0</x:v>
      </x:c>
      <x:c r="L965" s="28" t="str">
        <x:v>S01; S22; S23; S47</x:v>
      </x:c>
      <x:c r="M965" s="28" t="str">
        <x:v>https://www.nist.gov/itl/ai-risk-management-framework</x:v>
      </x:c>
    </x:row>
    <x:row r="966" ht="48" customHeight="1">
      <x:c r="A966" s="64" t="str">
        <x:v>T0965</x:v>
      </x:c>
      <x:c r="B966" s="28" t="str">
        <x:v>可信、安全、运营与思维模型</x:v>
      </x:c>
      <x:c r="C966" s="28" t="str">
        <x:v>关键思维模型</x:v>
      </x:c>
      <x:c r="D966" s="28" t="str">
        <x:v>科学与决策闭环</x:v>
      </x:c>
      <x:c r="E966" s="28" t="str">
        <x:v>思维模型</x:v>
      </x:c>
      <x:c r="F966" s="28" t="str">
        <x:v>期望信息价值思维</x:v>
      </x:c>
      <x:c r="G966" s="28" t="str">
        <x:v>把“期望信息价值思维”作为设计与决策的认知透镜，用于界定问题、管理不确定性、组织证据并避免局部最优。</x:v>
      </x:c>
      <x:c r="H966" s="28" t="str">
        <x:v>该模型在什么条件下有效，何时会误导，如何用证据校正？</x:v>
      </x:c>
      <x:c r="I966" s="28" t="str">
        <x:v>决策可解释性；反例覆盖；假设更新速度；错误发现提前量；跨场景迁移效果</x:v>
      </x:c>
      <x:c r="J966" s="64" t="str">
        <x:v>基础能力</x:v>
      </x:c>
      <x:c r="K966" s="64" t="str">
        <x:v>P0</x:v>
      </x:c>
      <x:c r="L966" s="28" t="str">
        <x:v>S01; S22; S23; S47</x:v>
      </x:c>
      <x:c r="M966" s="28" t="str">
        <x:v>https://pubs.acs.org/doi/10.1021/acs.chemrev.4c00055</x:v>
      </x:c>
    </x:row>
    <x:row r="967" ht="48" customHeight="1">
      <x:c r="A967" s="64" t="str">
        <x:v>T0966</x:v>
      </x:c>
      <x:c r="B967" s="28" t="str">
        <x:v>可信、安全、运营与思维模型</x:v>
      </x:c>
      <x:c r="C967" s="28" t="str">
        <x:v>关键思维模型</x:v>
      </x:c>
      <x:c r="D967" s="28" t="str">
        <x:v>科学与决策闭环</x:v>
      </x:c>
      <x:c r="E967" s="28" t="str">
        <x:v>思维模型</x:v>
      </x:c>
      <x:c r="F967" s="28" t="str">
        <x:v>Pareto思维</x:v>
      </x:c>
      <x:c r="G967" s="28" t="str">
        <x:v>把“Pareto思维”作为设计与决策的认知透镜，用于界定问题、管理不确定性、组织证据并避免局部最优。</x:v>
      </x:c>
      <x:c r="H967" s="28" t="str">
        <x:v>该模型在什么条件下有效，何时会误导，如何用证据校正？</x:v>
      </x:c>
      <x:c r="I967" s="28" t="str">
        <x:v>决策可解释性；反例覆盖；假设更新速度；错误发现提前量；跨场景迁移效果</x:v>
      </x:c>
      <x:c r="J967" s="64" t="str">
        <x:v>基础能力</x:v>
      </x:c>
      <x:c r="K967" s="64" t="str">
        <x:v>P0</x:v>
      </x:c>
      <x:c r="L967" s="28" t="str">
        <x:v>S01; S22; S23; S47</x:v>
      </x:c>
      <x:c r="M967" s="28" t="str">
        <x:v>https://www.itl.nist.gov/div898/handbook/</x:v>
      </x:c>
    </x:row>
    <x:row r="968" ht="48" customHeight="1">
      <x:c r="A968" s="64" t="str">
        <x:v>T0967</x:v>
      </x:c>
      <x:c r="B968" s="28" t="str">
        <x:v>可信、安全、运营与思维模型</x:v>
      </x:c>
      <x:c r="C968" s="28" t="str">
        <x:v>关键思维模型</x:v>
      </x:c>
      <x:c r="D968" s="28" t="str">
        <x:v>科学与决策闭环</x:v>
      </x:c>
      <x:c r="E968" s="28" t="str">
        <x:v>思维模型</x:v>
      </x:c>
      <x:c r="F968" s="28" t="str">
        <x:v>第一性原理</x:v>
      </x:c>
      <x:c r="G968" s="28" t="str">
        <x:v>把“第一性原理”作为设计与决策的认知透镜，用于界定问题、管理不确定性、组织证据并避免局部最优。</x:v>
      </x:c>
      <x:c r="H968" s="28" t="str">
        <x:v>该模型在什么条件下有效，何时会误导，如何用证据校正？</x:v>
      </x:c>
      <x:c r="I968" s="28" t="str">
        <x:v>决策可解释性；反例覆盖；假设更新速度；错误发现提前量；跨场景迁移效果</x:v>
      </x:c>
      <x:c r="J968" s="64" t="str">
        <x:v>基础能力</x:v>
      </x:c>
      <x:c r="K968" s="64" t="str">
        <x:v>P0</x:v>
      </x:c>
      <x:c r="L968" s="28" t="str">
        <x:v>S01; S22; S23; S47</x:v>
      </x:c>
      <x:c r="M968" s="28" t="str">
        <x:v>https://www.nature.com/articles/sdata201618</x:v>
      </x:c>
    </x:row>
    <x:row r="969" ht="48" customHeight="1">
      <x:c r="A969" s="64" t="str">
        <x:v>T0968</x:v>
      </x:c>
      <x:c r="B969" s="28" t="str">
        <x:v>可信、安全、运营与思维模型</x:v>
      </x:c>
      <x:c r="C969" s="28" t="str">
        <x:v>关键思维模型</x:v>
      </x:c>
      <x:c r="D969" s="28" t="str">
        <x:v>科学与决策闭环</x:v>
      </x:c>
      <x:c r="E969" s="28" t="str">
        <x:v>思维模型</x:v>
      </x:c>
      <x:c r="F969" s="28" t="str">
        <x:v>系统思维</x:v>
      </x:c>
      <x:c r="G969" s="28" t="str">
        <x:v>把“系统思维”作为设计与决策的认知透镜，用于界定问题、管理不确定性、组织证据并避免局部最优。</x:v>
      </x:c>
      <x:c r="H969" s="28" t="str">
        <x:v>该模型在什么条件下有效，何时会误导，如何用证据校正？</x:v>
      </x:c>
      <x:c r="I969" s="28" t="str">
        <x:v>决策可解释性；反例覆盖；假设更新速度；错误发现提前量；跨场景迁移效果</x:v>
      </x:c>
      <x:c r="J969" s="64" t="str">
        <x:v>基础能力</x:v>
      </x:c>
      <x:c r="K969" s="64" t="str">
        <x:v>P0</x:v>
      </x:c>
      <x:c r="L969" s="28" t="str">
        <x:v>S01; S22; S23; S47</x:v>
      </x:c>
      <x:c r="M969" s="28" t="str">
        <x:v>https://www.nist.gov/itl/ai-risk-management-framework</x:v>
      </x:c>
    </x:row>
    <x:row r="970" ht="48" customHeight="1">
      <x:c r="A970" s="64" t="str">
        <x:v>T0969</x:v>
      </x:c>
      <x:c r="B970" s="28" t="str">
        <x:v>可信、安全、运营与思维模型</x:v>
      </x:c>
      <x:c r="C970" s="28" t="str">
        <x:v>关键思维模型</x:v>
      </x:c>
      <x:c r="D970" s="28" t="str">
        <x:v>科学与决策闭环</x:v>
      </x:c>
      <x:c r="E970" s="28" t="str">
        <x:v>思维模型</x:v>
      </x:c>
      <x:c r="F970" s="28" t="str">
        <x:v>反馈控制思维</x:v>
      </x:c>
      <x:c r="G970" s="28" t="str">
        <x:v>把“反馈控制思维”作为设计与决策的认知透镜，用于界定问题、管理不确定性、组织证据并避免局部最优。</x:v>
      </x:c>
      <x:c r="H970" s="28" t="str">
        <x:v>该模型在什么条件下有效，何时会误导，如何用证据校正？</x:v>
      </x:c>
      <x:c r="I970" s="28" t="str">
        <x:v>决策可解释性；反例覆盖；假设更新速度；错误发现提前量；跨场景迁移效果</x:v>
      </x:c>
      <x:c r="J970" s="64" t="str">
        <x:v>基础能力</x:v>
      </x:c>
      <x:c r="K970" s="64" t="str">
        <x:v>P0</x:v>
      </x:c>
      <x:c r="L970" s="28" t="str">
        <x:v>S01; S22; S23; S47</x:v>
      </x:c>
      <x:c r="M970" s="28" t="str">
        <x:v>https://pubs.acs.org/doi/10.1021/acs.chemrev.4c00055</x:v>
      </x:c>
    </x:row>
    <x:row r="971" ht="48" customHeight="1">
      <x:c r="A971" s="64" t="str">
        <x:v>T0970</x:v>
      </x:c>
      <x:c r="B971" s="28" t="str">
        <x:v>可信、安全、运营与思维模型</x:v>
      </x:c>
      <x:c r="C971" s="28" t="str">
        <x:v>关键思维模型</x:v>
      </x:c>
      <x:c r="D971" s="28" t="str">
        <x:v>科学与决策闭环</x:v>
      </x:c>
      <x:c r="E971" s="28" t="str">
        <x:v>思维模型</x:v>
      </x:c>
      <x:c r="F971" s="28" t="str">
        <x:v>OODA循环</x:v>
      </x:c>
      <x:c r="G971" s="28" t="str">
        <x:v>把“OODA循环”作为设计与决策的认知透镜，用于界定问题、管理不确定性、组织证据并避免局部最优。</x:v>
      </x:c>
      <x:c r="H971" s="28" t="str">
        <x:v>该模型在什么条件下有效，何时会误导，如何用证据校正？</x:v>
      </x:c>
      <x:c r="I971" s="28" t="str">
        <x:v>决策可解释性；反例覆盖；假设更新速度；错误发现提前量；跨场景迁移效果</x:v>
      </x:c>
      <x:c r="J971" s="64" t="str">
        <x:v>基础能力</x:v>
      </x:c>
      <x:c r="K971" s="64" t="str">
        <x:v>P0</x:v>
      </x:c>
      <x:c r="L971" s="28" t="str">
        <x:v>S01; S22; S23; S47</x:v>
      </x:c>
      <x:c r="M971" s="28" t="str">
        <x:v>https://www.itl.nist.gov/div898/handbook/</x:v>
      </x:c>
    </x:row>
    <x:row r="972" ht="48" customHeight="1">
      <x:c r="A972" s="64" t="str">
        <x:v>T0971</x:v>
      </x:c>
      <x:c r="B972" s="28" t="str">
        <x:v>可信、安全、运营与思维模型</x:v>
      </x:c>
      <x:c r="C972" s="28" t="str">
        <x:v>关键思维模型</x:v>
      </x:c>
      <x:c r="D972" s="28" t="str">
        <x:v>系统与学习循环</x:v>
      </x:c>
      <x:c r="E972" s="28" t="str">
        <x:v>思维模型</x:v>
      </x:c>
      <x:c r="F972" s="28" t="str">
        <x:v>MAPE-K循环</x:v>
      </x:c>
      <x:c r="G972" s="28" t="str">
        <x:v>把“MAPE-K循环”作为设计与决策的认知透镜，用于界定问题、管理不确定性、组织证据并避免局部最优。</x:v>
      </x:c>
      <x:c r="H972" s="28" t="str">
        <x:v>该模型在什么条件下有效，何时会误导，如何用证据校正？</x:v>
      </x:c>
      <x:c r="I972" s="28" t="str">
        <x:v>决策可解释性；反例覆盖；假设更新速度；错误发现提前量；跨场景迁移效果</x:v>
      </x:c>
      <x:c r="J972" s="64" t="str">
        <x:v>基础能力</x:v>
      </x:c>
      <x:c r="K972" s="64" t="str">
        <x:v>P1</x:v>
      </x:c>
      <x:c r="L972" s="28" t="str">
        <x:v>S01; S22; S23; S47</x:v>
      </x:c>
      <x:c r="M972" s="28" t="str">
        <x:v>https://www.nature.com/articles/sdata201618</x:v>
      </x:c>
    </x:row>
    <x:row r="973" ht="48" customHeight="1">
      <x:c r="A973" s="64" t="str">
        <x:v>T0972</x:v>
      </x:c>
      <x:c r="B973" s="28" t="str">
        <x:v>可信、安全、运营与思维模型</x:v>
      </x:c>
      <x:c r="C973" s="28" t="str">
        <x:v>关键思维模型</x:v>
      </x:c>
      <x:c r="D973" s="28" t="str">
        <x:v>系统与学习循环</x:v>
      </x:c>
      <x:c r="E973" s="28" t="str">
        <x:v>思维模型</x:v>
      </x:c>
      <x:c r="F973" s="28" t="str">
        <x:v>Sense-Think-Act-Learn</x:v>
      </x:c>
      <x:c r="G973" s="28" t="str">
        <x:v>把“Sense-Think-Act-Learn”作为设计与决策的认知透镜，用于界定问题、管理不确定性、组织证据并避免局部最优。</x:v>
      </x:c>
      <x:c r="H973" s="28" t="str">
        <x:v>该模型在什么条件下有效，何时会误导，如何用证据校正？</x:v>
      </x:c>
      <x:c r="I973" s="28" t="str">
        <x:v>决策可解释性；反例覆盖；假设更新速度；错误发现提前量；跨场景迁移效果</x:v>
      </x:c>
      <x:c r="J973" s="64" t="str">
        <x:v>基础能力</x:v>
      </x:c>
      <x:c r="K973" s="64" t="str">
        <x:v>P1</x:v>
      </x:c>
      <x:c r="L973" s="28" t="str">
        <x:v>S01; S22; S23; S47</x:v>
      </x:c>
      <x:c r="M973" s="28" t="str">
        <x:v>https://www.nist.gov/itl/ai-risk-management-framework</x:v>
      </x:c>
    </x:row>
    <x:row r="974" ht="48" customHeight="1">
      <x:c r="A974" s="64" t="str">
        <x:v>T0973</x:v>
      </x:c>
      <x:c r="B974" s="28" t="str">
        <x:v>可信、安全、运营与思维模型</x:v>
      </x:c>
      <x:c r="C974" s="28" t="str">
        <x:v>关键思维模型</x:v>
      </x:c>
      <x:c r="D974" s="28" t="str">
        <x:v>系统与学习循环</x:v>
      </x:c>
      <x:c r="E974" s="28" t="str">
        <x:v>思维模型</x:v>
      </x:c>
      <x:c r="F974" s="28" t="str">
        <x:v>Design-Build-Test-Learn</x:v>
      </x:c>
      <x:c r="G974" s="28" t="str">
        <x:v>把“Design-Build-Test-Learn”作为设计与决策的认知透镜，用于界定问题、管理不确定性、组织证据并避免局部最优。</x:v>
      </x:c>
      <x:c r="H974" s="28" t="str">
        <x:v>该模型在什么条件下有效，何时会误导，如何用证据校正？</x:v>
      </x:c>
      <x:c r="I974" s="28" t="str">
        <x:v>决策可解释性；反例覆盖；假设更新速度；错误发现提前量；跨场景迁移效果</x:v>
      </x:c>
      <x:c r="J974" s="64" t="str">
        <x:v>工程化关键</x:v>
      </x:c>
      <x:c r="K974" s="64" t="str">
        <x:v>P1</x:v>
      </x:c>
      <x:c r="L974" s="28" t="str">
        <x:v>S01; S22; S23; S47</x:v>
      </x:c>
      <x:c r="M974" s="28" t="str">
        <x:v>https://pubs.acs.org/doi/10.1021/acs.chemrev.4c00055</x:v>
      </x:c>
    </x:row>
    <x:row r="975" ht="48" customHeight="1">
      <x:c r="A975" s="64" t="str">
        <x:v>T0974</x:v>
      </x:c>
      <x:c r="B975" s="28" t="str">
        <x:v>可信、安全、运营与思维模型</x:v>
      </x:c>
      <x:c r="C975" s="28" t="str">
        <x:v>关键思维模型</x:v>
      </x:c>
      <x:c r="D975" s="28" t="str">
        <x:v>系统与学习循环</x:v>
      </x:c>
      <x:c r="E975" s="28" t="str">
        <x:v>思维模型</x:v>
      </x:c>
      <x:c r="F975" s="28" t="str">
        <x:v>Build-Measure-Learn</x:v>
      </x:c>
      <x:c r="G975" s="28" t="str">
        <x:v>把“Build-Measure-Learn”作为设计与决策的认知透镜，用于界定问题、管理不确定性、组织证据并避免局部最优。</x:v>
      </x:c>
      <x:c r="H975" s="28" t="str">
        <x:v>该模型在什么条件下有效，何时会误导，如何用证据校正？</x:v>
      </x:c>
      <x:c r="I975" s="28" t="str">
        <x:v>决策可解释性；反例覆盖；假设更新速度；错误发现提前量；跨场景迁移效果</x:v>
      </x:c>
      <x:c r="J975" s="64" t="str">
        <x:v>工程化关键</x:v>
      </x:c>
      <x:c r="K975" s="64" t="str">
        <x:v>P1</x:v>
      </x:c>
      <x:c r="L975" s="28" t="str">
        <x:v>S01; S22; S23; S47</x:v>
      </x:c>
      <x:c r="M975" s="28" t="str">
        <x:v>https://www.itl.nist.gov/div898/handbook/</x:v>
      </x:c>
    </x:row>
    <x:row r="976" ht="48" customHeight="1">
      <x:c r="A976" s="64" t="str">
        <x:v>T0975</x:v>
      </x:c>
      <x:c r="B976" s="28" t="str">
        <x:v>可信、安全、运营与思维模型</x:v>
      </x:c>
      <x:c r="C976" s="28" t="str">
        <x:v>关键思维模型</x:v>
      </x:c>
      <x:c r="D976" s="28" t="str">
        <x:v>系统与学习循环</x:v>
      </x:c>
      <x:c r="E976" s="28" t="str">
        <x:v>思维模型</x:v>
      </x:c>
      <x:c r="F976" s="28" t="str">
        <x:v>假设树</x:v>
      </x:c>
      <x:c r="G976" s="28" t="str">
        <x:v>把“假设树”作为设计与决策的认知透镜，用于界定问题、管理不确定性、组织证据并避免局部最优。</x:v>
      </x:c>
      <x:c r="H976" s="28" t="str">
        <x:v>该模型在什么条件下有效，何时会误导，如何用证据校正？</x:v>
      </x:c>
      <x:c r="I976" s="28" t="str">
        <x:v>决策可解释性；反例覆盖；假设更新速度；错误发现提前量；跨场景迁移效果</x:v>
      </x:c>
      <x:c r="J976" s="64" t="str">
        <x:v>工程化关键</x:v>
      </x:c>
      <x:c r="K976" s="64" t="str">
        <x:v>P1</x:v>
      </x:c>
      <x:c r="L976" s="28" t="str">
        <x:v>S01; S22; S23; S47</x:v>
      </x:c>
      <x:c r="M976" s="28" t="str">
        <x:v>https://www.nature.com/articles/sdata201618</x:v>
      </x:c>
    </x:row>
    <x:row r="977" ht="48" customHeight="1">
      <x:c r="A977" s="64" t="str">
        <x:v>T0976</x:v>
      </x:c>
      <x:c r="B977" s="28" t="str">
        <x:v>可信、安全、运营与思维模型</x:v>
      </x:c>
      <x:c r="C977" s="28" t="str">
        <x:v>关键思维模型</x:v>
      </x:c>
      <x:c r="D977" s="28" t="str">
        <x:v>系统与学习循环</x:v>
      </x:c>
      <x:c r="E977" s="28" t="str">
        <x:v>思维模型</x:v>
      </x:c>
      <x:c r="F977" s="28" t="str">
        <x:v>议题树</x:v>
      </x:c>
      <x:c r="G977" s="28" t="str">
        <x:v>把“议题树”作为设计与决策的认知透镜，用于界定问题、管理不确定性、组织证据并避免局部最优。</x:v>
      </x:c>
      <x:c r="H977" s="28" t="str">
        <x:v>该模型在什么条件下有效，何时会误导，如何用证据校正？</x:v>
      </x:c>
      <x:c r="I977" s="28" t="str">
        <x:v>决策可解释性；反例覆盖；假设更新速度；错误发现提前量；跨场景迁移效果</x:v>
      </x:c>
      <x:c r="J977" s="64" t="str">
        <x:v>工程化关键</x:v>
      </x:c>
      <x:c r="K977" s="64" t="str">
        <x:v>P1</x:v>
      </x:c>
      <x:c r="L977" s="28" t="str">
        <x:v>S01; S22; S23; S47</x:v>
      </x:c>
      <x:c r="M977" s="28" t="str">
        <x:v>https://www.nist.gov/itl/ai-risk-management-framework</x:v>
      </x:c>
    </x:row>
    <x:row r="978" ht="48" customHeight="1">
      <x:c r="A978" s="64" t="str">
        <x:v>T0977</x:v>
      </x:c>
      <x:c r="B978" s="28" t="str">
        <x:v>可信、安全、运营与思维模型</x:v>
      </x:c>
      <x:c r="C978" s="28" t="str">
        <x:v>关键思维模型</x:v>
      </x:c>
      <x:c r="D978" s="28" t="str">
        <x:v>系统与学习循环</x:v>
      </x:c>
      <x:c r="E978" s="28" t="str">
        <x:v>思维模型</x:v>
      </x:c>
      <x:c r="F978" s="28" t="str">
        <x:v>约束优先</x:v>
      </x:c>
      <x:c r="G978" s="28" t="str">
        <x:v>把“约束优先”作为设计与决策的认知透镜，用于界定问题、管理不确定性、组织证据并避免局部最优。</x:v>
      </x:c>
      <x:c r="H978" s="28" t="str">
        <x:v>该模型在什么条件下有效，何时会误导，如何用证据校正？</x:v>
      </x:c>
      <x:c r="I978" s="28" t="str">
        <x:v>决策可解释性；反例覆盖；假设更新速度；错误发现提前量；跨场景迁移效果</x:v>
      </x:c>
      <x:c r="J978" s="64" t="str">
        <x:v>工程化关键</x:v>
      </x:c>
      <x:c r="K978" s="64" t="str">
        <x:v>P1</x:v>
      </x:c>
      <x:c r="L978" s="28" t="str">
        <x:v>S01; S22; S23; S47</x:v>
      </x:c>
      <x:c r="M978" s="28" t="str">
        <x:v>https://pubs.acs.org/doi/10.1021/acs.chemrev.4c00055</x:v>
      </x:c>
    </x:row>
    <x:row r="979" ht="48" customHeight="1">
      <x:c r="A979" s="64" t="str">
        <x:v>T0978</x:v>
      </x:c>
      <x:c r="B979" s="28" t="str">
        <x:v>可信、安全、运营与思维模型</x:v>
      </x:c>
      <x:c r="C979" s="28" t="str">
        <x:v>关键思维模型</x:v>
      </x:c>
      <x:c r="D979" s="28" t="str">
        <x:v>系统与学习循环</x:v>
      </x:c>
      <x:c r="E979" s="28" t="str">
        <x:v>思维模型</x:v>
      </x:c>
      <x:c r="F979" s="28" t="str">
        <x:v>瓶颈理论</x:v>
      </x:c>
      <x:c r="G979" s="28" t="str">
        <x:v>把“瓶颈理论”作为设计与决策的认知透镜，用于界定问题、管理不确定性、组织证据并避免局部最优。</x:v>
      </x:c>
      <x:c r="H979" s="28" t="str">
        <x:v>该模型在什么条件下有效，何时会误导，如何用证据校正？</x:v>
      </x:c>
      <x:c r="I979" s="28" t="str">
        <x:v>决策可解释性；反例覆盖；假设更新速度；错误发现提前量；跨场景迁移效果</x:v>
      </x:c>
      <x:c r="J979" s="64" t="str">
        <x:v>工程化关键</x:v>
      </x:c>
      <x:c r="K979" s="64" t="str">
        <x:v>P1</x:v>
      </x:c>
      <x:c r="L979" s="28" t="str">
        <x:v>S01; S22; S23; S47</x:v>
      </x:c>
      <x:c r="M979" s="28" t="str">
        <x:v>https://www.itl.nist.gov/div898/handbook/</x:v>
      </x:c>
    </x:row>
    <x:row r="980" ht="48" customHeight="1">
      <x:c r="A980" s="64" t="str">
        <x:v>T0979</x:v>
      </x:c>
      <x:c r="B980" s="28" t="str">
        <x:v>可信、安全、运营与思维模型</x:v>
      </x:c>
      <x:c r="C980" s="28" t="str">
        <x:v>关键思维模型</x:v>
      </x:c>
      <x:c r="D980" s="28" t="str">
        <x:v>系统与学习循环</x:v>
      </x:c>
      <x:c r="E980" s="28" t="str">
        <x:v>思维模型</x:v>
      </x:c>
      <x:c r="F980" s="28" t="str">
        <x:v>约束理论TOC</x:v>
      </x:c>
      <x:c r="G980" s="28" t="str">
        <x:v>把“约束理论TOC”作为设计与决策的认知透镜，用于界定问题、管理不确定性、组织证据并避免局部最优。</x:v>
      </x:c>
      <x:c r="H980" s="28" t="str">
        <x:v>该模型在什么条件下有效，何时会误导，如何用证据校正？</x:v>
      </x:c>
      <x:c r="I980" s="28" t="str">
        <x:v>决策可解释性；反例覆盖；假设更新速度；错误发现提前量；跨场景迁移效果</x:v>
      </x:c>
      <x:c r="J980" s="64" t="str">
        <x:v>工程化关键</x:v>
      </x:c>
      <x:c r="K980" s="64" t="str">
        <x:v>P1</x:v>
      </x:c>
      <x:c r="L980" s="28" t="str">
        <x:v>S01; S22; S23; S47</x:v>
      </x:c>
      <x:c r="M980" s="28" t="str">
        <x:v>https://www.nature.com/articles/sdata201618</x:v>
      </x:c>
    </x:row>
    <x:row r="981" ht="48" customHeight="1">
      <x:c r="A981" s="64" t="str">
        <x:v>T0980</x:v>
      </x:c>
      <x:c r="B981" s="28" t="str">
        <x:v>可信、安全、运营与思维模型</x:v>
      </x:c>
      <x:c r="C981" s="28" t="str">
        <x:v>关键思维模型</x:v>
      </x:c>
      <x:c r="D981" s="28" t="str">
        <x:v>系统与学习循环</x:v>
      </x:c>
      <x:c r="E981" s="28" t="str">
        <x:v>思维模型</x:v>
      </x:c>
      <x:c r="F981" s="28" t="str">
        <x:v>粗到细</x:v>
      </x:c>
      <x:c r="G981" s="28" t="str">
        <x:v>把“粗到细”作为设计与决策的认知透镜，用于界定问题、管理不确定性、组织证据并避免局部最优。</x:v>
      </x:c>
      <x:c r="H981" s="28" t="str">
        <x:v>该模型在什么条件下有效，何时会误导，如何用证据校正？</x:v>
      </x:c>
      <x:c r="I981" s="28" t="str">
        <x:v>决策可解释性；反例覆盖；假设更新速度；错误发现提前量；跨场景迁移效果</x:v>
      </x:c>
      <x:c r="J981" s="64" t="str">
        <x:v>工程化关键</x:v>
      </x:c>
      <x:c r="K981" s="64" t="str">
        <x:v>P1</x:v>
      </x:c>
      <x:c r="L981" s="28" t="str">
        <x:v>S01; S22; S23; S47</x:v>
      </x:c>
      <x:c r="M981" s="28" t="str">
        <x:v>https://www.nist.gov/itl/ai-risk-management-framework</x:v>
      </x:c>
    </x:row>
    <x:row r="982" ht="48" customHeight="1">
      <x:c r="A982" s="64" t="str">
        <x:v>T0981</x:v>
      </x:c>
      <x:c r="B982" s="28" t="str">
        <x:v>可信、安全、运营与思维模型</x:v>
      </x:c>
      <x:c r="C982" s="28" t="str">
        <x:v>关键思维模型</x:v>
      </x:c>
      <x:c r="D982" s="28" t="str">
        <x:v>分解、约束与架构</x:v>
      </x:c>
      <x:c r="E982" s="28" t="str">
        <x:v>思维模型</x:v>
      </x:c>
      <x:c r="F982" s="28" t="str">
        <x:v>缩放思维</x:v>
      </x:c>
      <x:c r="G982" s="28" t="str">
        <x:v>把“缩放思维”作为设计与决策的认知透镜，用于界定问题、管理不确定性、组织证据并避免局部最优。</x:v>
      </x:c>
      <x:c r="H982" s="28" t="str">
        <x:v>该模型在什么条件下有效，何时会误导，如何用证据校正？</x:v>
      </x:c>
      <x:c r="I982" s="28" t="str">
        <x:v>决策可解释性；反例覆盖；假设更新速度；错误发现提前量；跨场景迁移效果</x:v>
      </x:c>
      <x:c r="J982" s="64" t="str">
        <x:v>工程化关键</x:v>
      </x:c>
      <x:c r="K982" s="64" t="str">
        <x:v>P1</x:v>
      </x:c>
      <x:c r="L982" s="28" t="str">
        <x:v>S01; S22; S23; S47</x:v>
      </x:c>
      <x:c r="M982" s="28" t="str">
        <x:v>https://pubs.acs.org/doi/10.1021/acs.chemrev.4c00055</x:v>
      </x:c>
    </x:row>
    <x:row r="983" ht="48" customHeight="1">
      <x:c r="A983" s="64" t="str">
        <x:v>T0982</x:v>
      </x:c>
      <x:c r="B983" s="28" t="str">
        <x:v>可信、安全、运营与思维模型</x:v>
      </x:c>
      <x:c r="C983" s="28" t="str">
        <x:v>关键思维模型</x:v>
      </x:c>
      <x:c r="D983" s="28" t="str">
        <x:v>分解、约束与架构</x:v>
      </x:c>
      <x:c r="E983" s="28" t="str">
        <x:v>思维模型</x:v>
      </x:c>
      <x:c r="F983" s="28" t="str">
        <x:v>模块化</x:v>
      </x:c>
      <x:c r="G983" s="28" t="str">
        <x:v>把“模块化”作为设计与决策的认知透镜，用于界定问题、管理不确定性、组织证据并避免局部最优。</x:v>
      </x:c>
      <x:c r="H983" s="28" t="str">
        <x:v>该模型在什么条件下有效，何时会误导，如何用证据校正？</x:v>
      </x:c>
      <x:c r="I983" s="28" t="str">
        <x:v>决策可解释性；反例覆盖；假设更新速度；错误发现提前量；跨场景迁移效果</x:v>
      </x:c>
      <x:c r="J983" s="64" t="str">
        <x:v>工程化关键</x:v>
      </x:c>
      <x:c r="K983" s="64" t="str">
        <x:v>P1</x:v>
      </x:c>
      <x:c r="L983" s="28" t="str">
        <x:v>S01; S22; S23; S47</x:v>
      </x:c>
      <x:c r="M983" s="28" t="str">
        <x:v>https://www.itl.nist.gov/div898/handbook/</x:v>
      </x:c>
    </x:row>
    <x:row r="984" ht="48" customHeight="1">
      <x:c r="A984" s="64" t="str">
        <x:v>T0983</x:v>
      </x:c>
      <x:c r="B984" s="28" t="str">
        <x:v>可信、安全、运营与思维模型</x:v>
      </x:c>
      <x:c r="C984" s="28" t="str">
        <x:v>关键思维模型</x:v>
      </x:c>
      <x:c r="D984" s="28" t="str">
        <x:v>分解、约束与架构</x:v>
      </x:c>
      <x:c r="E984" s="28" t="str">
        <x:v>思维模型</x:v>
      </x:c>
      <x:c r="F984" s="28" t="str">
        <x:v>关注点分离</x:v>
      </x:c>
      <x:c r="G984" s="28" t="str">
        <x:v>把“关注点分离”作为设计与决策的认知透镜，用于界定问题、管理不确定性、组织证据并避免局部最优。</x:v>
      </x:c>
      <x:c r="H984" s="28" t="str">
        <x:v>该模型在什么条件下有效，何时会误导，如何用证据校正？</x:v>
      </x:c>
      <x:c r="I984" s="28" t="str">
        <x:v>决策可解释性；反例覆盖；假设更新速度；错误发现提前量；跨场景迁移效果</x:v>
      </x:c>
      <x:c r="J984" s="64" t="str">
        <x:v>工程化关键</x:v>
      </x:c>
      <x:c r="K984" s="64" t="str">
        <x:v>P1</x:v>
      </x:c>
      <x:c r="L984" s="28" t="str">
        <x:v>S01; S22; S23; S47</x:v>
      </x:c>
      <x:c r="M984" s="28" t="str">
        <x:v>https://www.nature.com/articles/sdata201618</x:v>
      </x:c>
    </x:row>
    <x:row r="985" ht="48" customHeight="1">
      <x:c r="A985" s="64" t="str">
        <x:v>T0984</x:v>
      </x:c>
      <x:c r="B985" s="28" t="str">
        <x:v>可信、安全、运营与思维模型</x:v>
      </x:c>
      <x:c r="C985" s="28" t="str">
        <x:v>关键思维模型</x:v>
      </x:c>
      <x:c r="D985" s="28" t="str">
        <x:v>分解、约束与架构</x:v>
      </x:c>
      <x:c r="E985" s="28" t="str">
        <x:v>思维模型</x:v>
      </x:c>
      <x:c r="F985" s="28" t="str">
        <x:v>抽象分层</x:v>
      </x:c>
      <x:c r="G985" s="28" t="str">
        <x:v>把“抽象分层”作为设计与决策的认知透镜，用于界定问题、管理不确定性、组织证据并避免局部最优。</x:v>
      </x:c>
      <x:c r="H985" s="28" t="str">
        <x:v>该模型在什么条件下有效，何时会误导，如何用证据校正？</x:v>
      </x:c>
      <x:c r="I985" s="28" t="str">
        <x:v>决策可解释性；反例覆盖；假设更新速度；错误发现提前量；跨场景迁移效果</x:v>
      </x:c>
      <x:c r="J985" s="64" t="str">
        <x:v>工程化关键</x:v>
      </x:c>
      <x:c r="K985" s="64" t="str">
        <x:v>P1</x:v>
      </x:c>
      <x:c r="L985" s="28" t="str">
        <x:v>S01; S22; S23; S47</x:v>
      </x:c>
      <x:c r="M985" s="28" t="str">
        <x:v>https://www.nist.gov/itl/ai-risk-management-framework</x:v>
      </x:c>
    </x:row>
    <x:row r="986" ht="48" customHeight="1">
      <x:c r="A986" s="64" t="str">
        <x:v>T0985</x:v>
      </x:c>
      <x:c r="B986" s="28" t="str">
        <x:v>可信、安全、运营与思维模型</x:v>
      </x:c>
      <x:c r="C986" s="28" t="str">
        <x:v>关键思维模型</x:v>
      </x:c>
      <x:c r="D986" s="28" t="str">
        <x:v>分解、约束与架构</x:v>
      </x:c>
      <x:c r="E986" s="28" t="str">
        <x:v>思维模型</x:v>
      </x:c>
      <x:c r="F986" s="28" t="str">
        <x:v>接口契约</x:v>
      </x:c>
      <x:c r="G986" s="28" t="str">
        <x:v>把“接口契约”作为设计与决策的认知透镜，用于界定问题、管理不确定性、组织证据并避免局部最优。</x:v>
      </x:c>
      <x:c r="H986" s="28" t="str">
        <x:v>该模型在什么条件下有效，何时会误导，如何用证据校正？</x:v>
      </x:c>
      <x:c r="I986" s="28" t="str">
        <x:v>决策可解释性；反例覆盖；假设更新速度；错误发现提前量；跨场景迁移效果</x:v>
      </x:c>
      <x:c r="J986" s="64" t="str">
        <x:v>工程化关键</x:v>
      </x:c>
      <x:c r="K986" s="64" t="str">
        <x:v>P1</x:v>
      </x:c>
      <x:c r="L986" s="28" t="str">
        <x:v>S01; S22; S23; S47</x:v>
      </x:c>
      <x:c r="M986" s="28" t="str">
        <x:v>https://pubs.acs.org/doi/10.1021/acs.chemrev.4c00055</x:v>
      </x:c>
    </x:row>
    <x:row r="987" ht="48" customHeight="1">
      <x:c r="A987" s="64" t="str">
        <x:v>T0986</x:v>
      </x:c>
      <x:c r="B987" s="28" t="str">
        <x:v>可信、安全、运营与思维模型</x:v>
      </x:c>
      <x:c r="C987" s="28" t="str">
        <x:v>关键思维模型</x:v>
      </x:c>
      <x:c r="D987" s="28" t="str">
        <x:v>分解、约束与架构</x:v>
      </x:c>
      <x:c r="E987" s="28" t="str">
        <x:v>思维模型</x:v>
      </x:c>
      <x:c r="F987" s="28" t="str">
        <x:v>可组合性</x:v>
      </x:c>
      <x:c r="G987" s="28" t="str">
        <x:v>把“可组合性”作为设计与决策的认知透镜，用于界定问题、管理不确定性、组织证据并避免局部最优。</x:v>
      </x:c>
      <x:c r="H987" s="28" t="str">
        <x:v>该模型在什么条件下有效，何时会误导，如何用证据校正？</x:v>
      </x:c>
      <x:c r="I987" s="28" t="str">
        <x:v>决策可解释性；反例覆盖；假设更新速度；错误发现提前量；跨场景迁移效果</x:v>
      </x:c>
      <x:c r="J987" s="64" t="str">
        <x:v>工程化关键</x:v>
      </x:c>
      <x:c r="K987" s="64" t="str">
        <x:v>P1</x:v>
      </x:c>
      <x:c r="L987" s="28" t="str">
        <x:v>S01; S22; S23; S47</x:v>
      </x:c>
      <x:c r="M987" s="28" t="str">
        <x:v>https://www.itl.nist.gov/div898/handbook/</x:v>
      </x:c>
    </x:row>
    <x:row r="988" ht="48" customHeight="1">
      <x:c r="A988" s="64" t="str">
        <x:v>T0987</x:v>
      </x:c>
      <x:c r="B988" s="28" t="str">
        <x:v>可信、安全、运营与思维模型</x:v>
      </x:c>
      <x:c r="C988" s="28" t="str">
        <x:v>关键思维模型</x:v>
      </x:c>
      <x:c r="D988" s="28" t="str">
        <x:v>分解、约束与架构</x:v>
      </x:c>
      <x:c r="E988" s="28" t="str">
        <x:v>思维模型</x:v>
      </x:c>
      <x:c r="F988" s="28" t="str">
        <x:v>冗余思维</x:v>
      </x:c>
      <x:c r="G988" s="28" t="str">
        <x:v>把“冗余思维”作为设计与决策的认知透镜，用于界定问题、管理不确定性、组织证据并避免局部最优。</x:v>
      </x:c>
      <x:c r="H988" s="28" t="str">
        <x:v>该模型在什么条件下有效，何时会误导，如何用证据校正？</x:v>
      </x:c>
      <x:c r="I988" s="28" t="str">
        <x:v>决策可解释性；反例覆盖；假设更新速度；错误发现提前量；跨场景迁移效果</x:v>
      </x:c>
      <x:c r="J988" s="64" t="str">
        <x:v>工程化关键</x:v>
      </x:c>
      <x:c r="K988" s="64" t="str">
        <x:v>P1</x:v>
      </x:c>
      <x:c r="L988" s="28" t="str">
        <x:v>S01; S22; S23; S47</x:v>
      </x:c>
      <x:c r="M988" s="28" t="str">
        <x:v>https://www.nature.com/articles/sdata201618</x:v>
      </x:c>
    </x:row>
    <x:row r="989" ht="48" customHeight="1">
      <x:c r="A989" s="64" t="str">
        <x:v>T0988</x:v>
      </x:c>
      <x:c r="B989" s="28" t="str">
        <x:v>可信、安全、运营与思维模型</x:v>
      </x:c>
      <x:c r="C989" s="28" t="str">
        <x:v>关键思维模型</x:v>
      </x:c>
      <x:c r="D989" s="28" t="str">
        <x:v>分解、约束与架构</x:v>
      </x:c>
      <x:c r="E989" s="28" t="str">
        <x:v>思维模型</x:v>
      </x:c>
      <x:c r="F989" s="28" t="str">
        <x:v>纵深防御</x:v>
      </x:c>
      <x:c r="G989" s="28" t="str">
        <x:v>把“纵深防御”作为设计与决策的认知透镜，用于界定问题、管理不确定性、组织证据并避免局部最优。</x:v>
      </x:c>
      <x:c r="H989" s="28" t="str">
        <x:v>该模型在什么条件下有效，何时会误导，如何用证据校正？</x:v>
      </x:c>
      <x:c r="I989" s="28" t="str">
        <x:v>决策可解释性；反例覆盖；假设更新速度；错误发现提前量；跨场景迁移效果</x:v>
      </x:c>
      <x:c r="J989" s="64" t="str">
        <x:v>工程化关键</x:v>
      </x:c>
      <x:c r="K989" s="64" t="str">
        <x:v>P1</x:v>
      </x:c>
      <x:c r="L989" s="28" t="str">
        <x:v>S01; S22; S23; S47</x:v>
      </x:c>
      <x:c r="M989" s="28" t="str">
        <x:v>https://www.nist.gov/itl/ai-risk-management-framework</x:v>
      </x:c>
    </x:row>
    <x:row r="990" ht="48" customHeight="1">
      <x:c r="A990" s="64" t="str">
        <x:v>T0989</x:v>
      </x:c>
      <x:c r="B990" s="28" t="str">
        <x:v>可信、安全、运营与思维模型</x:v>
      </x:c>
      <x:c r="C990" s="28" t="str">
        <x:v>关键思维模型</x:v>
      </x:c>
      <x:c r="D990" s="28" t="str">
        <x:v>分解、约束与架构</x:v>
      </x:c>
      <x:c r="E990" s="28" t="str">
        <x:v>思维模型</x:v>
      </x:c>
      <x:c r="F990" s="28" t="str">
        <x:v>快速失败</x:v>
      </x:c>
      <x:c r="G990" s="28" t="str">
        <x:v>把“快速失败”作为设计与决策的认知透镜，用于界定问题、管理不确定性、组织证据并避免局部最优。</x:v>
      </x:c>
      <x:c r="H990" s="28" t="str">
        <x:v>该模型在什么条件下有效，何时会误导，如何用证据校正？</x:v>
      </x:c>
      <x:c r="I990" s="28" t="str">
        <x:v>决策可解释性；反例覆盖；假设更新速度；错误发现提前量；跨场景迁移效果</x:v>
      </x:c>
      <x:c r="J990" s="64" t="str">
        <x:v>进阶能力</x:v>
      </x:c>
      <x:c r="K990" s="64" t="str">
        <x:v>P2</x:v>
      </x:c>
      <x:c r="L990" s="28" t="str">
        <x:v>S01; S22; S23; S47</x:v>
      </x:c>
      <x:c r="M990" s="28" t="str">
        <x:v>https://pubs.acs.org/doi/10.1021/acs.chemrev.4c00055</x:v>
      </x:c>
    </x:row>
    <x:row r="991" ht="48" customHeight="1">
      <x:c r="A991" s="64" t="str">
        <x:v>T0990</x:v>
      </x:c>
      <x:c r="B991" s="28" t="str">
        <x:v>可信、安全、运营与思维模型</x:v>
      </x:c>
      <x:c r="C991" s="28" t="str">
        <x:v>关键思维模型</x:v>
      </x:c>
      <x:c r="D991" s="28" t="str">
        <x:v>分解、约束与架构</x:v>
      </x:c>
      <x:c r="E991" s="28" t="str">
        <x:v>思维模型</x:v>
      </x:c>
      <x:c r="F991" s="28" t="str">
        <x:v>Safe-to-fail</x:v>
      </x:c>
      <x:c r="G991" s="28" t="str">
        <x:v>把“Safe-to-fail”作为设计与决策的认知透镜，用于界定问题、管理不确定性、组织证据并避免局部最优。</x:v>
      </x:c>
      <x:c r="H991" s="28" t="str">
        <x:v>该模型在什么条件下有效，何时会误导，如何用证据校正？</x:v>
      </x:c>
      <x:c r="I991" s="28" t="str">
        <x:v>决策可解释性；反例覆盖；假设更新速度；错误发现提前量；跨场景迁移效果</x:v>
      </x:c>
      <x:c r="J991" s="64" t="str">
        <x:v>进阶能力</x:v>
      </x:c>
      <x:c r="K991" s="64" t="str">
        <x:v>P2</x:v>
      </x:c>
      <x:c r="L991" s="28" t="str">
        <x:v>S01; S22; S23; S47</x:v>
      </x:c>
      <x:c r="M991" s="28" t="str">
        <x:v>https://www.itl.nist.gov/div898/handbook/</x:v>
      </x:c>
    </x:row>
    <x:row r="992" ht="48" customHeight="1">
      <x:c r="A992" s="64" t="str">
        <x:v>T0991</x:v>
      </x:c>
      <x:c r="B992" s="28" t="str">
        <x:v>可信、安全、运营与思维模型</x:v>
      </x:c>
      <x:c r="C992" s="28" t="str">
        <x:v>关键思维模型</x:v>
      </x:c>
      <x:c r="D992" s="28" t="str">
        <x:v>韧性、证据与可证伪性</x:v>
      </x:c>
      <x:c r="E992" s="28" t="str">
        <x:v>思维模型</x:v>
      </x:c>
      <x:c r="F992" s="28" t="str">
        <x:v>信任但验证</x:v>
      </x:c>
      <x:c r="G992" s="28" t="str">
        <x:v>把“信任但验证”作为设计与决策的认知透镜，用于界定问题、管理不确定性、组织证据并避免局部最优。</x:v>
      </x:c>
      <x:c r="H992" s="28" t="str">
        <x:v>该模型在什么条件下有效，何时会误导，如何用证据校正？</x:v>
      </x:c>
      <x:c r="I992" s="28" t="str">
        <x:v>决策可解释性；反例覆盖；假设更新速度；错误发现提前量；跨场景迁移效果</x:v>
      </x:c>
      <x:c r="J992" s="64" t="str">
        <x:v>进阶能力</x:v>
      </x:c>
      <x:c r="K992" s="64" t="str">
        <x:v>P2</x:v>
      </x:c>
      <x:c r="L992" s="28" t="str">
        <x:v>S01; S22; S23; S47</x:v>
      </x:c>
      <x:c r="M992" s="28" t="str">
        <x:v>https://www.nature.com/articles/sdata201618</x:v>
      </x:c>
    </x:row>
    <x:row r="993" ht="48" customHeight="1">
      <x:c r="A993" s="64" t="str">
        <x:v>T0992</x:v>
      </x:c>
      <x:c r="B993" s="28" t="str">
        <x:v>可信、安全、运营与思维模型</x:v>
      </x:c>
      <x:c r="C993" s="28" t="str">
        <x:v>关键思维模型</x:v>
      </x:c>
      <x:c r="D993" s="28" t="str">
        <x:v>韧性、证据与可证伪性</x:v>
      </x:c>
      <x:c r="E993" s="28" t="str">
        <x:v>思维模型</x:v>
      </x:c>
      <x:c r="F993" s="28" t="str">
        <x:v>人本自主</x:v>
      </x:c>
      <x:c r="G993" s="28" t="str">
        <x:v>把“人本自主”作为设计与决策的认知透镜，用于界定问题、管理不确定性、组织证据并避免局部最优。</x:v>
      </x:c>
      <x:c r="H993" s="28" t="str">
        <x:v>该模型在什么条件下有效，何时会误导，如何用证据校正？</x:v>
      </x:c>
      <x:c r="I993" s="28" t="str">
        <x:v>决策可解释性；反例覆盖；假设更新速度；错误发现提前量；跨场景迁移效果</x:v>
      </x:c>
      <x:c r="J993" s="64" t="str">
        <x:v>进阶能力</x:v>
      </x:c>
      <x:c r="K993" s="64" t="str">
        <x:v>P2</x:v>
      </x:c>
      <x:c r="L993" s="28" t="str">
        <x:v>S01; S22; S23; S47</x:v>
      </x:c>
      <x:c r="M993" s="28" t="str">
        <x:v>https://www.nist.gov/itl/ai-risk-management-framework</x:v>
      </x:c>
    </x:row>
    <x:row r="994" ht="48" customHeight="1">
      <x:c r="A994" s="64" t="str">
        <x:v>T0993</x:v>
      </x:c>
      <x:c r="B994" s="28" t="str">
        <x:v>可信、安全、运营与思维模型</x:v>
      </x:c>
      <x:c r="C994" s="28" t="str">
        <x:v>关键思维模型</x:v>
      </x:c>
      <x:c r="D994" s="28" t="str">
        <x:v>韧性、证据与可证伪性</x:v>
      </x:c>
      <x:c r="E994" s="28" t="str">
        <x:v>思维模型</x:v>
      </x:c>
      <x:c r="F994" s="28" t="str">
        <x:v>可逆决策</x:v>
      </x:c>
      <x:c r="G994" s="28" t="str">
        <x:v>把“可逆决策”作为设计与决策的认知透镜，用于界定问题、管理不确定性、组织证据并避免局部最优。</x:v>
      </x:c>
      <x:c r="H994" s="28" t="str">
        <x:v>该模型在什么条件下有效，何时会误导，如何用证据校正？</x:v>
      </x:c>
      <x:c r="I994" s="28" t="str">
        <x:v>决策可解释性；反例覆盖；假设更新速度；错误发现提前量；跨场景迁移效果</x:v>
      </x:c>
      <x:c r="J994" s="64" t="str">
        <x:v>进阶能力</x:v>
      </x:c>
      <x:c r="K994" s="64" t="str">
        <x:v>P2</x:v>
      </x:c>
      <x:c r="L994" s="28" t="str">
        <x:v>S01; S22; S23; S47</x:v>
      </x:c>
      <x:c r="M994" s="28" t="str">
        <x:v>https://pubs.acs.org/doi/10.1021/acs.chemrev.4c00055</x:v>
      </x:c>
    </x:row>
    <x:row r="995" ht="48" customHeight="1">
      <x:c r="A995" s="64" t="str">
        <x:v>T0994</x:v>
      </x:c>
      <x:c r="B995" s="28" t="str">
        <x:v>可信、安全、运营与思维模型</x:v>
      </x:c>
      <x:c r="C995" s="28" t="str">
        <x:v>关键思维模型</x:v>
      </x:c>
      <x:c r="D995" s="28" t="str">
        <x:v>韧性、证据与可证伪性</x:v>
      </x:c>
      <x:c r="E995" s="28" t="str">
        <x:v>思维模型</x:v>
      </x:c>
      <x:c r="F995" s="28" t="str">
        <x:v>期权价值</x:v>
      </x:c>
      <x:c r="G995" s="28" t="str">
        <x:v>把“期权价值”作为设计与决策的认知透镜，用于界定问题、管理不确定性、组织证据并避免局部最优。</x:v>
      </x:c>
      <x:c r="H995" s="28" t="str">
        <x:v>该模型在什么条件下有效，何时会误导，如何用证据校正？</x:v>
      </x:c>
      <x:c r="I995" s="28" t="str">
        <x:v>决策可解释性；反例覆盖；假设更新速度；错误发现提前量；跨场景迁移效果</x:v>
      </x:c>
      <x:c r="J995" s="64" t="str">
        <x:v>进阶能力</x:v>
      </x:c>
      <x:c r="K995" s="64" t="str">
        <x:v>P2</x:v>
      </x:c>
      <x:c r="L995" s="28" t="str">
        <x:v>S01; S22; S23; S47</x:v>
      </x:c>
      <x:c r="M995" s="28" t="str">
        <x:v>https://www.itl.nist.gov/div898/handbook/</x:v>
      </x:c>
    </x:row>
    <x:row r="996" ht="48" customHeight="1">
      <x:c r="A996" s="64" t="str">
        <x:v>T0995</x:v>
      </x:c>
      <x:c r="B996" s="28" t="str">
        <x:v>可信、安全、运营与思维模型</x:v>
      </x:c>
      <x:c r="C996" s="28" t="str">
        <x:v>关键思维模型</x:v>
      </x:c>
      <x:c r="D996" s="28" t="str">
        <x:v>韧性、证据与可证伪性</x:v>
      </x:c>
      <x:c r="E996" s="28" t="str">
        <x:v>思维模型</x:v>
      </x:c>
      <x:c r="F996" s="28" t="str">
        <x:v>错误预算</x:v>
      </x:c>
      <x:c r="G996" s="28" t="str">
        <x:v>把“错误预算”作为设计与决策的认知透镜，用于界定问题、管理不确定性、组织证据并避免局部最优。</x:v>
      </x:c>
      <x:c r="H996" s="28" t="str">
        <x:v>该模型在什么条件下有效，何时会误导，如何用证据校正？</x:v>
      </x:c>
      <x:c r="I996" s="28" t="str">
        <x:v>决策可解释性；反例覆盖；假设更新速度；错误发现提前量；跨场景迁移效果</x:v>
      </x:c>
      <x:c r="J996" s="64" t="str">
        <x:v>进阶能力</x:v>
      </x:c>
      <x:c r="K996" s="64" t="str">
        <x:v>P2</x:v>
      </x:c>
      <x:c r="L996" s="28" t="str">
        <x:v>S01; S22; S23; S47</x:v>
      </x:c>
      <x:c r="M996" s="28" t="str">
        <x:v>https://www.nature.com/articles/sdata201618</x:v>
      </x:c>
    </x:row>
    <x:row r="997" ht="48" customHeight="1">
      <x:c r="A997" s="64" t="str">
        <x:v>T0996</x:v>
      </x:c>
      <x:c r="B997" s="28" t="str">
        <x:v>可信、安全、运营与思维模型</x:v>
      </x:c>
      <x:c r="C997" s="28" t="str">
        <x:v>关键思维模型</x:v>
      </x:c>
      <x:c r="D997" s="28" t="str">
        <x:v>韧性、证据与可证伪性</x:v>
      </x:c>
      <x:c r="E997" s="28" t="str">
        <x:v>思维模型</x:v>
      </x:c>
      <x:c r="F997" s="28" t="str">
        <x:v>不确定性预算</x:v>
      </x:c>
      <x:c r="G997" s="28" t="str">
        <x:v>把“不确定性预算”作为设计与决策的认知透镜，用于界定问题、管理不确定性、组织证据并避免局部最优。</x:v>
      </x:c>
      <x:c r="H997" s="28" t="str">
        <x:v>该模型在什么条件下有效，何时会误导，如何用证据校正？</x:v>
      </x:c>
      <x:c r="I997" s="28" t="str">
        <x:v>决策可解释性；反例覆盖；假设更新速度；错误发现提前量；跨场景迁移效果</x:v>
      </x:c>
      <x:c r="J997" s="64" t="str">
        <x:v>进阶能力</x:v>
      </x:c>
      <x:c r="K997" s="64" t="str">
        <x:v>P2</x:v>
      </x:c>
      <x:c r="L997" s="28" t="str">
        <x:v>S01; S22; S23; S47</x:v>
      </x:c>
      <x:c r="M997" s="28" t="str">
        <x:v>https://www.nist.gov/itl/ai-risk-management-framework</x:v>
      </x:c>
    </x:row>
    <x:row r="998" ht="48" customHeight="1">
      <x:c r="A998" s="64" t="str">
        <x:v>T0997</x:v>
      </x:c>
      <x:c r="B998" s="28" t="str">
        <x:v>可信、安全、运营与思维模型</x:v>
      </x:c>
      <x:c r="C998" s="28" t="str">
        <x:v>关键思维模型</x:v>
      </x:c>
      <x:c r="D998" s="28" t="str">
        <x:v>韧性、证据与可证伪性</x:v>
      </x:c>
      <x:c r="E998" s="28" t="str">
        <x:v>思维模型</x:v>
      </x:c>
      <x:c r="F998" s="28" t="str">
        <x:v>证据阶梯</x:v>
      </x:c>
      <x:c r="G998" s="28" t="str">
        <x:v>把“证据阶梯”作为设计与决策的认知透镜，用于界定问题、管理不确定性、组织证据并避免局部最优。</x:v>
      </x:c>
      <x:c r="H998" s="28" t="str">
        <x:v>该模型在什么条件下有效，何时会误导，如何用证据校正？</x:v>
      </x:c>
      <x:c r="I998" s="28" t="str">
        <x:v>决策可解释性；反例覆盖；假设更新速度；错误发现提前量；跨场景迁移效果</x:v>
      </x:c>
      <x:c r="J998" s="64" t="str">
        <x:v>前沿能力</x:v>
      </x:c>
      <x:c r="K998" s="64" t="str">
        <x:v>P2</x:v>
      </x:c>
      <x:c r="L998" s="28" t="str">
        <x:v>S01; S22; S23; S47</x:v>
      </x:c>
      <x:c r="M998" s="28" t="str">
        <x:v>https://pubs.acs.org/doi/10.1021/acs.chemrev.4c00055</x:v>
      </x:c>
    </x:row>
    <x:row r="999" ht="48" customHeight="1">
      <x:c r="A999" s="64" t="str">
        <x:v>T0998</x:v>
      </x:c>
      <x:c r="B999" s="28" t="str">
        <x:v>可信、安全、运营与思维模型</x:v>
      </x:c>
      <x:c r="C999" s="28" t="str">
        <x:v>关键思维模型</x:v>
      </x:c>
      <x:c r="D999" s="28" t="str">
        <x:v>韧性、证据与可证伪性</x:v>
      </x:c>
      <x:c r="E999" s="28" t="str">
        <x:v>思维模型</x:v>
      </x:c>
      <x:c r="F999" s="28" t="str">
        <x:v>可证伪性</x:v>
      </x:c>
      <x:c r="G999" s="28" t="str">
        <x:v>把“可证伪性”作为设计与决策的认知透镜，用于界定问题、管理不确定性、组织证据并避免局部最优。</x:v>
      </x:c>
      <x:c r="H999" s="28" t="str">
        <x:v>该模型在什么条件下有效，何时会误导，如何用证据校正？</x:v>
      </x:c>
      <x:c r="I999" s="28" t="str">
        <x:v>决策可解释性；反例覆盖；假设更新速度；错误发现提前量；跨场景迁移效果</x:v>
      </x:c>
      <x:c r="J999" s="64" t="str">
        <x:v>前沿能力</x:v>
      </x:c>
      <x:c r="K999" s="64" t="str">
        <x:v>P2</x:v>
      </x:c>
      <x:c r="L999" s="28" t="str">
        <x:v>S01; S22; S23; S47</x:v>
      </x:c>
      <x:c r="M999" s="28" t="str">
        <x:v>https://www.itl.nist.gov/div898/handbook/</x:v>
      </x:c>
    </x:row>
    <x:row r="1000" ht="48" customHeight="1">
      <x:c r="A1000" s="64" t="str">
        <x:v>T0999</x:v>
      </x:c>
      <x:c r="B1000" s="28" t="str">
        <x:v>可信、安全、运营与思维模型</x:v>
      </x:c>
      <x:c r="C1000" s="28" t="str">
        <x:v>关键思维模型</x:v>
      </x:c>
      <x:c r="D1000" s="28" t="str">
        <x:v>韧性、证据与可证伪性</x:v>
      </x:c>
      <x:c r="E1000" s="28" t="str">
        <x:v>思维模型</x:v>
      </x:c>
      <x:c r="F1000" s="28" t="str">
        <x:v>多证据三角验证</x:v>
      </x:c>
      <x:c r="G1000" s="28" t="str">
        <x:v>把“多证据三角验证”作为设计与决策的认知透镜，用于界定问题、管理不确定性、组织证据并避免局部最优。</x:v>
      </x:c>
      <x:c r="H1000" s="28" t="str">
        <x:v>该模型在什么条件下有效，何时会误导，如何用证据校正？</x:v>
      </x:c>
      <x:c r="I1000" s="28" t="str">
        <x:v>决策可解释性；反例覆盖；假设更新速度；错误发现提前量；跨场景迁移效果</x:v>
      </x:c>
      <x:c r="J1000" s="64" t="str">
        <x:v>前沿能力</x:v>
      </x:c>
      <x:c r="K1000" s="64" t="str">
        <x:v>P2</x:v>
      </x:c>
      <x:c r="L1000" s="28" t="str">
        <x:v>S01; S22; S23; S47</x:v>
      </x:c>
      <x:c r="M1000" s="28" t="str">
        <x:v>https://www.nature.com/articles/sdata201618</x:v>
      </x:c>
    </x:row>
    <x:row r="1001" ht="48" customHeight="1">
      <x:c r="A1001" s="64" t="str">
        <x:v>T1000</x:v>
      </x:c>
      <x:c r="B1001" s="28" t="str">
        <x:v>可信、安全、运营与思维模型</x:v>
      </x:c>
      <x:c r="C1001" s="28" t="str">
        <x:v>关键思维模型</x:v>
      </x:c>
      <x:c r="D1001" s="28" t="str">
        <x:v>韧性、证据与可证伪性</x:v>
      </x:c>
      <x:c r="E1001" s="28" t="str">
        <x:v>思维模型</x:v>
      </x:c>
      <x:c r="F1001" s="28" t="str">
        <x:v>先复现后扩展</x:v>
      </x:c>
      <x:c r="G1001" s="28" t="str">
        <x:v>把“先复现后扩展”作为设计与决策的认知透镜，用于界定问题、管理不确定性、组织证据并避免局部最优。</x:v>
      </x:c>
      <x:c r="H1001" s="28" t="str">
        <x:v>该模型在什么条件下有效，何时会误导，如何用证据校正？</x:v>
      </x:c>
      <x:c r="I1001" s="28" t="str">
        <x:v>决策可解释性；反例覆盖；假设更新速度；错误发现提前量；跨场景迁移效果</x:v>
      </x:c>
      <x:c r="J1001" s="64" t="str">
        <x:v>前沿能力</x:v>
      </x:c>
      <x:c r="K1001" s="64" t="str">
        <x:v>P2</x:v>
      </x:c>
      <x:c r="L1001" s="28" t="str">
        <x:v>S01; S22; S23; S47</x:v>
      </x:c>
      <x:c r="M1001" s="28" t="str">
        <x:v>https://www.nist.gov/itl/ai-risk-management-framework</x:v>
      </x:c>
    </x:row>
  </x:sheetData>
  <x:conditionalFormatting sqref="K2:K1001">
    <x:cfRule type="expression" dxfId="0" priority="1">
      <x:formula>K2="P0"</x:formula>
    </x:cfRule>
    <x:cfRule type="expression" dxfId="1" priority="2">
      <x:formula>K2="P1"</x:formula>
    </x:cfRule>
    <x:cfRule type="expression" dxfId="2" priority="3">
      <x:formula>K2="P2"</x:formula>
    </x:cfRule>
  </x:conditionalFormatting>
  <x:conditionalFormatting sqref="J2:J1001">
    <x:cfRule type="expression" dxfId="3" priority="4">
      <x:formula>J2="前沿能力"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e0aa16e4ff466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0" hidden="0" customWidth="1"/>
    <x:col min="4" max="4" width="1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46" hidden="0" customWidth="1"/>
    <x:col min="10" max="10" width="28" hidden="0" customWidth="1"/>
    <x:col min="11" max="11" width="28" hidden="0" customWidth="1"/>
  </x:cols>
  <x:sheetData>
    <x:row r="1">
      <x:c r="A1" s="20" t="str">
        <x:v>序号</x:v>
      </x:c>
      <x:c r="B1" s="20" t="str">
        <x:v>宏观层</x:v>
      </x:c>
      <x:c r="C1" s="20" t="str">
        <x:v>一级技术域</x:v>
      </x:c>
      <x:c r="D1" s="20" t="str">
        <x:v>条目数</x:v>
      </x:c>
      <x:c r="E1" s="20" t="str">
        <x:v>二级簇1</x:v>
      </x:c>
      <x:c r="F1" s="20" t="str">
        <x:v>二级簇2</x:v>
      </x:c>
      <x:c r="G1" s="20" t="str">
        <x:v>二级簇3</x:v>
      </x:c>
      <x:c r="H1" s="20" t="str">
        <x:v>二级簇4</x:v>
      </x:c>
      <x:c r="I1" s="20" t="str">
        <x:v>核心目标</x:v>
      </x:c>
      <x:c r="J1" s="20" t="str">
        <x:v>推荐牵头角色</x:v>
      </x:c>
      <x:c r="K1" s="20" t="str">
        <x:v>代表来源ID</x:v>
      </x:c>
    </x:row>
    <x:row r="2" ht="48" customHeight="1">
      <x:c r="A2" s="64" t="n">
        <x:v>1</x:v>
      </x:c>
      <x:c r="B2" s="64" t="str">
        <x:v>科研闭环与自主架构</x:v>
      </x:c>
      <x:c r="C2" s="64" t="str">
        <x:v>科学闭环与自主科研范式</x:v>
      </x:c>
      <x:c r="D2" s="64" t="n">
        <x:f>COUNTIF('1000清单'!$C$2:$C$1001,C2)</x:f>
        <x:v>40</x:v>
      </x:c>
      <x:c r="E2" s="28" t="str">
        <x:v>目标与假设</x:v>
      </x:c>
      <x:c r="F2" s="28" t="str">
        <x:v>执行与分析闭环</x:v>
      </x:c>
      <x:c r="G2" s="28" t="str">
        <x:v>学习与决策</x:v>
      </x:c>
      <x:c r="H2" s="28" t="str">
        <x:v>人机监督与证据</x:v>
      </x:c>
      <x:c r="I2" s="28" t="str">
        <x:v>把科学问题变成可证伪、可更新、可停止的机器闭环</x:v>
      </x:c>
      <x:c r="J2" s="28" t="str">
        <x:v>首席科学家 / AI科学家</x:v>
      </x:c>
      <x:c r="K2" s="28" t="str">
        <x:v>S01; S02; S05; S07; S11</x:v>
      </x:c>
    </x:row>
    <x:row r="3" ht="48" customHeight="1">
      <x:c r="A3" s="64" t="n">
        <x:v>2</x:v>
      </x:c>
      <x:c r="B3" s="64" t="str">
        <x:v>科研闭环与自主架构</x:v>
      </x:c>
      <x:c r="C3" s="64" t="str">
        <x:v>自主等级与系统架构</x:v>
      </x:c>
      <x:c r="D3" s="64" t="n">
        <x:f>COUNTIF('1000清单'!$C$2:$C$1001,C3)</x:f>
        <x:v>40</x:v>
      </x:c>
      <x:c r="E3" s="28" t="str">
        <x:v>自主分级与控制范式</x:v>
      </x:c>
      <x:c r="F3" s="28" t="str">
        <x:v>软件架构与执行模型</x:v>
      </x:c>
      <x:c r="G3" s="28" t="str">
        <x:v>云边与分布式实验</x:v>
      </x:c>
      <x:c r="H3" s="28" t="str">
        <x:v>安全、可观测与成熟度</x:v>
      </x:c>
      <x:c r="I3" s="28" t="str">
        <x:v>建立从单设备自动化到跨实验室自主系统的架构边界</x:v>
      </x:c>
      <x:c r="J3" s="28" t="str">
        <x:v>系统架构师 / 自动化负责人</x:v>
      </x:c>
      <x:c r="K3" s="28" t="str">
        <x:v>S01; S02; S04; S05; S58</x:v>
      </x:c>
    </x:row>
    <x:row r="4" ht="48" customHeight="1">
      <x:c r="A4" s="64" t="n">
        <x:v>3</x:v>
      </x:c>
      <x:c r="B4" s="64" t="str">
        <x:v>实验执行与具身自动化</x:v>
      </x:c>
      <x:c r="C4" s="64" t="str">
        <x:v>实验流程与机器可执行协议</x:v>
      </x:c>
      <x:c r="D4" s="64" t="n">
        <x:f>COUNTIF('1000清单'!$C$2:$C$1001,C4)</x:f>
        <x:v>40</x:v>
      </x:c>
      <x:c r="E4" s="28" t="str">
        <x:v>协议语义与类型系统</x:v>
      </x:c>
      <x:c r="F4" s="28" t="str">
        <x:v>控制流与资源约束</x:v>
      </x:c>
      <x:c r="G4" s="28" t="str">
        <x:v>验证、版本与复用</x:v>
      </x:c>
      <x:c r="H4" s="28" t="str">
        <x:v>自然语言、设备映射与合规</x:v>
      </x:c>
      <x:c r="I4" s="28" t="str">
        <x:v>把SOP转成语义明确、可验证、可重放的执行协议</x:v>
      </x:c>
      <x:c r="J4" s="28" t="str">
        <x:v>实验信息学 / 协议工程师</x:v>
      </x:c>
      <x:c r="K4" s="28" t="str">
        <x:v>S01; S05; S25; S26; S59</x:v>
      </x:c>
    </x:row>
    <x:row r="5" ht="48" customHeight="1">
      <x:c r="A5" s="64" t="n">
        <x:v>4</x:v>
      </x:c>
      <x:c r="B5" s="64" t="str">
        <x:v>实验执行与具身自动化</x:v>
      </x:c>
      <x:c r="C5" s="64" t="str">
        <x:v>机器人操作与具身技能</x:v>
      </x:c>
      <x:c r="D5" s="64" t="n">
        <x:f>COUNTIF('1000清单'!$C$2:$C$1001,C5)</x:f>
        <x:v>40</x:v>
      </x:c>
      <x:c r="E5" s="28" t="str">
        <x:v>机器人本体与工具</x:v>
      </x:c>
      <x:c r="F5" s="28" t="str">
        <x:v>标定、规划与控制</x:v>
      </x:c>
      <x:c r="G5" s="28" t="str">
        <x:v>典型实验操作</x:v>
      </x:c>
      <x:c r="H5" s="28" t="str">
        <x:v>复杂环境与自恢复</x:v>
      </x:c>
      <x:c r="I5" s="28" t="str">
        <x:v>让机器人可靠完成精细、接触丰富且易污染的实验动作</x:v>
      </x:c>
      <x:c r="J5" s="28" t="str">
        <x:v>机器人与控制工程师</x:v>
      </x:c>
      <x:c r="K5" s="28" t="str">
        <x:v>S08; S09; S10; S17; S61</x:v>
      </x:c>
    </x:row>
    <x:row r="6" ht="48" customHeight="1">
      <x:c r="A6" s="64" t="n">
        <x:v>5</x:v>
      </x:c>
      <x:c r="B6" s="64" t="str">
        <x:v>实验执行与具身自动化</x:v>
      </x:c>
      <x:c r="C6" s="64" t="str">
        <x:v>移动机器人、物流与多机器人</x:v>
      </x:c>
      <x:c r="D6" s="64" t="n">
        <x:f>COUNTIF('1000清单'!$C$2:$C$1001,C6)</x:f>
        <x:v>40</x:v>
      </x:c>
      <x:c r="E6" s="28" t="str">
        <x:v>导航定位与设施</x:v>
      </x:c>
      <x:c r="F6" s="28" t="str">
        <x:v>车队与多机器人协调</x:v>
      </x:c>
      <x:c r="G6" s="28" t="str">
        <x:v>样品物流与交接</x:v>
      </x:c>
      <x:c r="H6" s="28" t="str">
        <x:v>风险、共域与韧性</x:v>
      </x:c>
      <x:c r="I6" s="28" t="str">
        <x:v>连接设备孤岛并保持样品监管链与多机器人协同</x:v>
      </x:c>
      <x:c r="J6" s="28" t="str">
        <x:v>机器人/设施物流工程师</x:v>
      </x:c>
      <x:c r="K6" s="28" t="str">
        <x:v>S08; S09; S10; S12</x:v>
      </x:c>
    </x:row>
    <x:row r="7" ht="48" customHeight="1">
      <x:c r="A7" s="64" t="n">
        <x:v>6</x:v>
      </x:c>
      <x:c r="B7" s="64" t="str">
        <x:v>实验执行与具身自动化</x:v>
      </x:c>
      <x:c r="C7" s="64" t="str">
        <x:v>液体处理与微流控</x:v>
      </x:c>
      <x:c r="D7" s="64" t="n">
        <x:f>COUNTIF('1000清单'!$C$2:$C$1001,C7)</x:f>
        <x:v>40</x:v>
      </x:c>
      <x:c r="E7" s="28" t="str">
        <x:v>计量与液体物性</x:v>
      </x:c>
      <x:c r="F7" s="28" t="str">
        <x:v>污染、耗材与感知</x:v>
      </x:c>
      <x:c r="G7" s="28" t="str">
        <x:v>工作流单元操作</x:v>
      </x:c>
      <x:c r="H7" s="28" t="str">
        <x:v>微流控与闭环控制</x:v>
      </x:c>
      <x:c r="I7" s="28" t="str">
        <x:v>将液体物性、计量、耗材和流体控制纳入闭环</x:v>
      </x:c>
      <x:c r="J7" s="28" t="str">
        <x:v>液体工作站与微流控工程师</x:v>
      </x:c>
      <x:c r="K7" s="28" t="str">
        <x:v>S01; S02; S17; S18</x:v>
      </x:c>
    </x:row>
    <x:row r="8" ht="48" customHeight="1">
      <x:c r="A8" s="64" t="n">
        <x:v>7</x:v>
      </x:c>
      <x:c r="B8" s="64" t="str">
        <x:v>实验执行与具身自动化</x:v>
      </x:c>
      <x:c r="C8" s="64" t="str">
        <x:v>固体、粉体与合成自动化</x:v>
      </x:c>
      <x:c r="D8" s="64" t="n">
        <x:f>COUNTIF('1000清单'!$C$2:$C$1001,C8)</x:f>
        <x:v>40</x:v>
      </x:c>
      <x:c r="E8" s="28" t="str">
        <x:v>粉体计量与物性</x:v>
      </x:c>
      <x:c r="F8" s="28" t="str">
        <x:v>固体加工与热处理</x:v>
      </x:c>
      <x:c r="G8" s="28" t="str">
        <x:v>固相/结晶合成</x:v>
      </x:c>
      <x:c r="H8" s="28" t="str">
        <x:v>分析制样、标识与废物</x:v>
      </x:c>
      <x:c r="I8" s="28" t="str">
        <x:v>解决粉体/固体操作难标定、难感知、批间差异大的问题</x:v>
      </x:c>
      <x:c r="J8" s="28" t="str">
        <x:v>材料合成与机电工程师</x:v>
      </x:c>
      <x:c r="K8" s="28" t="str">
        <x:v>S07; S10; S17; S18</x:v>
      </x:c>
    </x:row>
    <x:row r="9" ht="48" customHeight="1">
      <x:c r="A9" s="64" t="n">
        <x:v>8</x:v>
      </x:c>
      <x:c r="B9" s="64" t="str">
        <x:v>实验执行与具身自动化</x:v>
      </x:c>
      <x:c r="C9" s="64" t="str">
        <x:v>反应工程、流动化学与环境控制</x:v>
      </x:c>
      <x:c r="D9" s="64" t="n">
        <x:f>COUNTIF('1000清单'!$C$2:$C$1001,C9)</x:f>
        <x:v>40</x:v>
      </x:c>
      <x:c r="E9" s="28" t="str">
        <x:v>反应器与过程变量</x:v>
      </x:c>
      <x:c r="F9" s="28" t="str">
        <x:v>模型、监测与控制</x:v>
      </x:c>
      <x:c r="G9" s="28" t="str">
        <x:v>反应模态与多相体系</x:v>
      </x:c>
      <x:c r="H9" s="28" t="str">
        <x:v>环境、公用工程与放大</x:v>
      </x:c>
      <x:c r="I9" s="28" t="str">
        <x:v>把反应工程、过程控制、安全和放大统一到过程窗口</x:v>
      </x:c>
      <x:c r="J9" s="28" t="str">
        <x:v>反应工程师 / 过程控制工程师</x:v>
      </x:c>
      <x:c r="K9" s="28" t="str">
        <x:v>S01; S19; S20; S58</x:v>
      </x:c>
    </x:row>
    <x:row r="10" ht="48" customHeight="1">
      <x:c r="A10" s="64" t="n">
        <x:v>9</x:v>
      </x:c>
      <x:c r="B10" s="64" t="str">
        <x:v>实验执行与具身自动化</x:v>
      </x:c>
      <x:c r="C10" s="64" t="str">
        <x:v>在线检测、分析仪器与计量</x:v>
      </x:c>
      <x:c r="D10" s="64" t="n">
        <x:f>COUNTIF('1000清单'!$C$2:$C$1001,C10)</x:f>
        <x:v>40</x:v>
      </x:c>
      <x:c r="E10" s="28" t="str">
        <x:v>PAT与光谱</x:v>
      </x:c>
      <x:c r="F10" s="28" t="str">
        <x:v>色谱、质谱与结构分析</x:v>
      </x:c>
      <x:c r="G10" s="28" t="str">
        <x:v>显微、粒径与电化学</x:v>
      </x:c>
      <x:c r="H10" s="28" t="str">
        <x:v>基础传感与计量溯源</x:v>
      </x:c>
      <x:c r="I10" s="28" t="str">
        <x:v>获得可校准、可同步、可追溯且机器可用的测量信号</x:v>
      </x:c>
      <x:c r="J10" s="28" t="str">
        <x:v>分析化学 / 计量负责人</x:v>
      </x:c>
      <x:c r="K10" s="28" t="str">
        <x:v>S01; S03; S07; S19</x:v>
      </x:c>
    </x:row>
    <x:row r="11" ht="48" customHeight="1">
      <x:c r="A11" s="64" t="n">
        <x:v>10</x:v>
      </x:c>
      <x:c r="B11" s="64" t="str">
        <x:v>实验执行与具身自动化</x:v>
      </x:c>
      <x:c r="C11" s="64" t="str">
        <x:v>机器视觉、多模态感知与异常检测</x:v>
      </x:c>
      <x:c r="D11" s="64" t="n">
        <x:f>COUNTIF('1000清单'!$C$2:$C$1001,C11)</x:f>
        <x:v>40</x:v>
      </x:c>
      <x:c r="E11" s="28" t="str">
        <x:v>成像标定与几何感知</x:v>
      </x:c>
      <x:c r="F11" s="28" t="str">
        <x:v>对象、液体与粉体视觉</x:v>
      </x:c>
      <x:c r="G11" s="28" t="str">
        <x:v>过程、安全与动作验收</x:v>
      </x:c>
      <x:c r="H11" s="28" t="str">
        <x:v>多模态、异常与主动感知</x:v>
      </x:c>
      <x:c r="I11" s="28" t="str">
        <x:v>让视觉与多模态感知成为动作验收和异常处置的反馈层</x:v>
      </x:c>
      <x:c r="J11" s="28" t="str">
        <x:v>机器视觉 / 多模态感知工程师</x:v>
      </x:c>
      <x:c r="K11" s="28" t="str">
        <x:v>S09; S52; S53; S62</x:v>
      </x:c>
    </x:row>
    <x:row r="12" ht="48" customHeight="1">
      <x:c r="A12" s="64" t="n">
        <x:v>11</x:v>
      </x:c>
      <x:c r="B12" s="64" t="str">
        <x:v>数据与互操作基础设施</x:v>
      </x:c>
      <x:c r="C12" s="64" t="str">
        <x:v>数据基础设施、FAIR、语义与溯源</x:v>
      </x:c>
      <x:c r="D12" s="64" t="n">
        <x:f>COUNTIF('1000清单'!$C$2:$C$1001,C12)</x:f>
        <x:v>40</x:v>
      </x:c>
      <x:c r="E12" s="28" t="str">
        <x:v>FAIR、元数据与语义</x:v>
      </x:c>
      <x:c r="F12" s="28" t="str">
        <x:v>标识、时间与溯源</x:v>
      </x:c>
      <x:c r="G12" s="28" t="str">
        <x:v>存储与数据平台</x:v>
      </x:c>
      <x:c r="H12" s="28" t="str">
        <x:v>质量、完整性与机器可行动</x:v>
      </x:c>
      <x:c r="I12" s="28" t="str">
        <x:v>构建可发现、可互操作、可复用、可审计的数据底座</x:v>
      </x:c>
      <x:c r="J12" s="28" t="str">
        <x:v>数据架构师 / 科学数据管家</x:v>
      </x:c>
      <x:c r="K12" s="28" t="str">
        <x:v>S23; S24; S25; S27; S28</x:v>
      </x:c>
    </x:row>
    <x:row r="13" ht="48" customHeight="1">
      <x:c r="A13" s="64" t="n">
        <x:v>12</x:v>
      </x:c>
      <x:c r="B13" s="64" t="str">
        <x:v>数据与互操作基础设施</x:v>
      </x:c>
      <x:c r="C13" s="64" t="str">
        <x:v>互操作、中间件、编排与调度</x:v>
      </x:c>
      <x:c r="D13" s="64" t="n">
        <x:f>COUNTIF('1000清单'!$C$2:$C$1001,C13)</x:f>
        <x:v>40</x:v>
      </x:c>
      <x:c r="E13" s="28" t="str">
        <x:v>标准与通信协议</x:v>
      </x:c>
      <x:c r="F13" s="28" t="str">
        <x:v>设备抽象与事件架构</x:v>
      </x:c>
      <x:c r="G13" s="28" t="str">
        <x:v>一致性、锁与资源调度</x:v>
      </x:c>
      <x:c r="H13" s="28" t="str">
        <x:v>工作流、可观测与部署</x:v>
      </x:c>
      <x:c r="I13" s="28" t="str">
        <x:v>以标准接口和调度层打通异构设备、软件与资源</x:v>
      </x:c>
      <x:c r="J13" s="28" t="str">
        <x:v>软件平台 / OT集成 / 调度工程师</x:v>
      </x:c>
      <x:c r="K13" s="28" t="str">
        <x:v>S05; S26; S29; S30</x:v>
      </x:c>
    </x:row>
    <x:row r="14" ht="48" customHeight="1">
      <x:c r="A14" s="64" t="n">
        <x:v>13</x:v>
      </x:c>
      <x:c r="B14" s="64" t="str">
        <x:v>实验设计与闭环优化</x:v>
      </x:c>
      <x:c r="C14" s="64" t="str">
        <x:v>试验设计与统计</x:v>
      </x:c>
      <x:c r="D14" s="64" t="n">
        <x:f>COUNTIF('1000清单'!$C$2:$C$1001,C14)</x:f>
        <x:v>40</x:v>
      </x:c>
      <x:c r="E14" s="28" t="str">
        <x:v>目标、因素与偏差控制</x:v>
      </x:c>
      <x:c r="F14" s="28" t="str">
        <x:v>筛选与空间填充设计</x:v>
      </x:c>
      <x:c r="G14" s="28" t="str">
        <x:v>响应面与最优设计</x:v>
      </x:c>
      <x:c r="H14" s="28" t="str">
        <x:v>自适应统计与稳健推断</x:v>
      </x:c>
      <x:c r="I14" s="28" t="str">
        <x:v>用统计结构最大化单次实验的信息量并控制偏差</x:v>
      </x:c>
      <x:c r="J14" s="28" t="str">
        <x:v>统计学家 / DOE负责人</x:v>
      </x:c>
      <x:c r="K14" s="28" t="str">
        <x:v>S01; S14; S21; S22</x:v>
      </x:c>
    </x:row>
    <x:row r="15" ht="48" customHeight="1">
      <x:c r="A15" s="64" t="n">
        <x:v>14</x:v>
      </x:c>
      <x:c r="B15" s="64" t="str">
        <x:v>实验设计与闭环优化</x:v>
      </x:c>
      <x:c r="C15" s="64" t="str">
        <x:v>贝叶斯优化与主动学习</x:v>
      </x:c>
      <x:c r="D15" s="64" t="n">
        <x:f>COUNTIF('1000清单'!$C$2:$C$1001,C15)</x:f>
        <x:v>40</x:v>
      </x:c>
      <x:c r="E15" s="28" t="str">
        <x:v>代理模型与噪声</x:v>
      </x:c>
      <x:c r="F15" s="28" t="str">
        <x:v>采集函数</x:v>
      </x:c>
      <x:c r="G15" s="28" t="str">
        <x:v>高维、离散与批量优化</x:v>
      </x:c>
      <x:c r="H15" s="28" t="str">
        <x:v>主动学习、迁移与收敛</x:v>
      </x:c>
      <x:c r="I15" s="28" t="str">
        <x:v>在昂贵实验中高效选择下一批实验</x:v>
      </x:c>
      <x:c r="J15" s="28" t="str">
        <x:v>贝叶斯优化 / 主动学习研究员</x:v>
      </x:c>
      <x:c r="K15" s="28" t="str">
        <x:v>S06; S13; S14; S21</x:v>
      </x:c>
    </x:row>
    <x:row r="16" ht="48" customHeight="1">
      <x:c r="A16" s="64" t="n">
        <x:v>15</x:v>
      </x:c>
      <x:c r="B16" s="64" t="str">
        <x:v>实验设计与闭环优化</x:v>
      </x:c>
      <x:c r="C16" s="64" t="str">
        <x:v>多目标、约束、安全、成本与多保真优化</x:v>
      </x:c>
      <x:c r="D16" s="64" t="n">
        <x:f>COUNTIF('1000清单'!$C$2:$C$1001,C16)</x:f>
        <x:v>40</x:v>
      </x:c>
      <x:c r="E16" s="28" t="str">
        <x:v>多目标与偏好</x:v>
      </x:c>
      <x:c r="F16" s="28" t="str">
        <x:v>约束、安全与风险</x:v>
      </x:c>
      <x:c r="G16" s="28" t="str">
        <x:v>成本、多保真与资源</x:v>
      </x:c>
      <x:c r="H16" s="28" t="str">
        <x:v>动态、失败与过程窗口</x:v>
      </x:c>
      <x:c r="I16" s="28" t="str">
        <x:v>联合处理多目标、约束、安全、成本和多保真度</x:v>
      </x:c>
      <x:c r="J16" s="28" t="str">
        <x:v>优化与运筹 / 安全决策研究员</x:v>
      </x:c>
      <x:c r="K16" s="28" t="str">
        <x:v>S03; S12; S21; S22</x:v>
      </x:c>
    </x:row>
    <x:row r="17" ht="48" customHeight="1">
      <x:c r="A17" s="64" t="n">
        <x:v>16</x:v>
      </x:c>
      <x:c r="B17" s="64" t="str">
        <x:v>实验设计与闭环优化</x:v>
      </x:c>
      <x:c r="C17" s="64" t="str">
        <x:v>代理模型、不确定性与分布外识别</x:v>
      </x:c>
      <x:c r="D17" s="64" t="n">
        <x:f>COUNTIF('1000清单'!$C$2:$C$1001,C17)</x:f>
        <x:v>40</x:v>
      </x:c>
      <x:c r="E17" s="28" t="str">
        <x:v>不确定性建模</x:v>
      </x:c>
      <x:c r="F17" s="28" t="str">
        <x:v>校准与覆盖</x:v>
      </x:c>
      <x:c r="G17" s="28" t="str">
        <x:v>OOD、漂移与适用域</x:v>
      </x:c>
      <x:c r="H17" s="28" t="str">
        <x:v>验证、传播与解释</x:v>
      </x:c>
      <x:c r="I17" s="28" t="str">
        <x:v>识别模型不知道什么并把风险反馈到决策</x:v>
      </x:c>
      <x:c r="J17" s="28" t="str">
        <x:v>可信AI / 不确定性量化研究员</x:v>
      </x:c>
      <x:c r="K17" s="28" t="str">
        <x:v>S03; S21; S45</x:v>
      </x:c>
    </x:row>
    <x:row r="18" ht="48" customHeight="1">
      <x:c r="A18" s="64" t="n">
        <x:v>17</x:v>
      </x:c>
      <x:c r="B18" s="64" t="str">
        <x:v>科学AI、仿真与数字孪生</x:v>
      </x:c>
      <x:c r="C18" s="64" t="str">
        <x:v>科学机器学习、仿真与数字孪生</x:v>
      </x:c>
      <x:c r="D18" s="64" t="n">
        <x:f>COUNTIF('1000清单'!$C$2:$C$1001,C18)</x:f>
        <x:v>40</x:v>
      </x:c>
      <x:c r="E18" s="28" t="str">
        <x:v>机理与多尺度仿真</x:v>
      </x:c>
      <x:c r="F18" s="28" t="str">
        <x:v>科学机器学习与可微建模</x:v>
      </x:c>
      <x:c r="G18" s="28" t="str">
        <x:v>逆问题与数据同化</x:v>
      </x:c>
      <x:c r="H18" s="28" t="str">
        <x:v>数字孪生、迁移与虚拟调试</x:v>
      </x:c>
      <x:c r="I18" s="28" t="str">
        <x:v>融合机理、仿真与实验形成实时预测和数字孪生</x:v>
      </x:c>
      <x:c r="J18" s="28" t="str">
        <x:v>计算科学 / 数字孪生团队</x:v>
      </x:c>
      <x:c r="K18" s="28" t="str">
        <x:v>S40; S41; S43; S44</x:v>
      </x:c>
    </x:row>
    <x:row r="19" ht="48" customHeight="1">
      <x:c r="A19" s="64" t="n">
        <x:v>18</x:v>
      </x:c>
      <x:c r="B19" s="64" t="str">
        <x:v>科学AI、仿真与数字孪生</x:v>
      </x:c>
      <x:c r="C19" s="64" t="str">
        <x:v>分子/材料表征、生成式与逆向设计</x:v>
      </x:c>
      <x:c r="D19" s="64" t="n">
        <x:f>COUNTIF('1000清单'!$C$2:$C$1001,C19)</x:f>
        <x:v>40</x:v>
      </x:c>
      <x:c r="E19" s="28" t="str">
        <x:v>科学表示与嵌入</x:v>
      </x:c>
      <x:c r="F19" s="28" t="str">
        <x:v>科学基础模型与预训练</x:v>
      </x:c>
      <x:c r="G19" s="28" t="str">
        <x:v>预测、反应与路线规划</x:v>
      </x:c>
      <x:c r="H19" s="28" t="str">
        <x:v>生成、逆向设计与闭环验证</x:v>
      </x:c>
      <x:c r="I19" s="28" t="str">
        <x:v>从科学表示到生成式逆向设计并闭环验证</x:v>
      </x:c>
      <x:c r="J19" s="28" t="str">
        <x:v>分子材料AI / 计算化学团队</x:v>
      </x:c>
      <x:c r="K19" s="28" t="str">
        <x:v>S34; S40; S41; S42</x:v>
      </x:c>
    </x:row>
    <x:row r="20" ht="48" customHeight="1">
      <x:c r="A20" s="64" t="n">
        <x:v>19</x:v>
      </x:c>
      <x:c r="B20" s="64" t="str">
        <x:v>科学智能体与多智能体</x:v>
      </x:c>
      <x:c r="C20" s="64" t="str">
        <x:v>科学大模型智能体：知识、检索与工具接地</x:v>
      </x:c>
      <x:c r="D20" s="64" t="n">
        <x:f>COUNTIF('1000清单'!$C$2:$C$1001,C20)</x:f>
        <x:v>40</x:v>
      </x:c>
      <x:c r="E20" s="28" t="str">
        <x:v>科学模型、RAG与检索</x:v>
      </x:c>
      <x:c r="F20" s="28" t="str">
        <x:v>语义解析与证据接地</x:v>
      </x:c>
      <x:c r="G20" s="28" t="str">
        <x:v>结构化生成、代码与工具</x:v>
      </x:c>
      <x:c r="H20" s="28" t="str">
        <x:v>协议互联、上下文与幻觉防控</x:v>
      </x:c>
      <x:c r="I20" s="28" t="str">
        <x:v>把大模型接地到科学证据、数据库、代码与仪器</x:v>
      </x:c>
      <x:c r="J20" s="28" t="str">
        <x:v>科学LLM / 知识工程团队</x:v>
      </x:c>
      <x:c r="K20" s="28" t="str">
        <x:v>S11; S34; S35; S36; S37</x:v>
      </x:c>
    </x:row>
    <x:row r="21" ht="48" customHeight="1">
      <x:c r="A21" s="64" t="n">
        <x:v>20</x:v>
      </x:c>
      <x:c r="B21" s="64" t="str">
        <x:v>科学智能体与多智能体</x:v>
      </x:c>
      <x:c r="C21" s="64" t="str">
        <x:v>Agent规划、推理、工具使用与记忆</x:v>
      </x:c>
      <x:c r="D21" s="64" t="n">
        <x:f>COUNTIF('1000清单'!$C$2:$C$1001,C21)</x:f>
        <x:v>40</x:v>
      </x:c>
      <x:c r="E21" s="28" t="str">
        <x:v>规划、搜索与任务分解</x:v>
      </x:c>
      <x:c r="F21" s="28" t="str">
        <x:v>工具选择与执行控制</x:v>
      </x:c>
      <x:c r="G21" s="28" t="str">
        <x:v>反思、验证与测试时计算</x:v>
      </x:c>
      <x:c r="H21" s="28" t="str">
        <x:v>多层记忆与技能沉淀</x:v>
      </x:c>
      <x:c r="I21" s="28" t="str">
        <x:v>让Agent可规划、可调用工具、可反思、可记忆、可回退</x:v>
      </x:c>
      <x:c r="J21" s="28" t="str">
        <x:v>Agent平台 / 推理系统团队</x:v>
      </x:c>
      <x:c r="K21" s="28" t="str">
        <x:v>S31; S32; S33; S39</x:v>
      </x:c>
    </x:row>
    <x:row r="22" ht="48" customHeight="1">
      <x:c r="A22" s="64" t="n">
        <x:v>21</x:v>
      </x:c>
      <x:c r="B22" s="64" t="str">
        <x:v>科学智能体与多智能体</x:v>
      </x:c>
      <x:c r="C22" s="64" t="str">
        <x:v>多智能体与人机协同</x:v>
      </x:c>
      <x:c r="D22" s="64" t="n">
        <x:f>COUNTIF('1000清单'!$C$2:$C$1001,C22)</x:f>
        <x:v>40</x:v>
      </x:c>
      <x:c r="E22" s="28" t="str">
        <x:v>角色化智能体</x:v>
      </x:c>
      <x:c r="F22" s="28" t="str">
        <x:v>发现、委派与通信</x:v>
      </x:c>
      <x:c r="G22" s="28" t="str">
        <x:v>协调、信任与故障处理</x:v>
      </x:c>
      <x:c r="H22" s="28" t="str">
        <x:v>人机审批与联邦协作</x:v>
      </x:c>
      <x:c r="I22" s="28" t="str">
        <x:v>组织角色化智能体与人类在权限和责任边界内协作</x:v>
      </x:c>
      <x:c r="J22" s="28" t="str">
        <x:v>多智能体 / 人机协作团队</x:v>
      </x:c>
      <x:c r="K22" s="28" t="str">
        <x:v>S38; S54; S65</x:v>
      </x:c>
    </x:row>
    <x:row r="23" ht="48" customHeight="1">
      <x:c r="A23" s="64" t="n">
        <x:v>22</x:v>
      </x:c>
      <x:c r="B23" s="64" t="str">
        <x:v>可信、安全、运营与思维模型</x:v>
      </x:c>
      <x:c r="C23" s="64" t="str">
        <x:v>可靠性、验证、复现与质量体系</x:v>
      </x:c>
      <x:c r="D23" s="64" t="n">
        <x:f>COUNTIF('1000清单'!$C$2:$C$1001,C23)</x:f>
        <x:v>40</x:v>
      </x:c>
      <x:c r="E23" s="28" t="str">
        <x:v>校准、维护与诊断</x:v>
      </x:c>
      <x:c r="F23" s="28" t="str">
        <x:v>容错、联锁与恢复</x:v>
      </x:c>
      <x:c r="G23" s="28" t="str">
        <x:v>数字复现与数据完整性</x:v>
      </x:c>
      <x:c r="H23" s="28" t="str">
        <x:v>质量统计、方法验证与基准</x:v>
      </x:c>
      <x:c r="I23" s="28" t="str">
        <x:v>建立设备健康、结果质量和复现性的证据链</x:v>
      </x:c>
      <x:c r="J23" s="28" t="str">
        <x:v>质量、计量、可靠性工程团队</x:v>
      </x:c>
      <x:c r="K23" s="28" t="str">
        <x:v>S01; S03; S23; S51</x:v>
      </x:c>
    </x:row>
    <x:row r="24" ht="48" customHeight="1">
      <x:c r="A24" s="64" t="n">
        <x:v>23</x:v>
      </x:c>
      <x:c r="B24" s="64" t="str">
        <x:v>可信、安全、运营与思维模型</x:v>
      </x:c>
      <x:c r="C24" s="64" t="str">
        <x:v>实验安全、网络安全、合规与负责任AI</x:v>
      </x:c>
      <x:c r="D24" s="64" t="n">
        <x:f>COUNTIF('1000清单'!$C$2:$C$1001,C24)</x:f>
        <x:v>40</x:v>
      </x:c>
      <x:c r="E24" s="28" t="str">
        <x:v>实验过程安全</x:v>
      </x:c>
      <x:c r="F24" s="28" t="str">
        <x:v>专项安全与应急</x:v>
      </x:c>
      <x:c r="G24" s="28" t="str">
        <x:v>身份、网络与OT安全</x:v>
      </x:c>
      <x:c r="H24" s="28" t="str">
        <x:v>AI、供应链与高风险治理</x:v>
      </x:c>
      <x:c r="I24" s="28" t="str">
        <x:v>覆盖实验物理安全、OT网络安全和AI治理</x:v>
      </x:c>
      <x:c r="J24" s="28" t="str">
        <x:v>EHS / 网络安全 / 合规团队</x:v>
      </x:c>
      <x:c r="K24" s="28" t="str">
        <x:v>S46; S47; S48; S49; S50; S51</x:v>
      </x:c>
    </x:row>
    <x:row r="25" ht="48" customHeight="1">
      <x:c r="A25" s="64" t="n">
        <x:v>24</x:v>
      </x:c>
      <x:c r="B25" s="64" t="str">
        <x:v>可信、安全、运营与思维模型</x:v>
      </x:c>
      <x:c r="C25" s="64" t="str">
        <x:v>运营、经济性、扩展与绩效指标</x:v>
      </x:c>
      <x:c r="D25" s="64" t="n">
        <x:f>COUNTIF('1000清单'!$C$2:$C$1001,C25)</x:f>
        <x:v>40</x:v>
      </x:c>
      <x:c r="E25" s="28" t="str">
        <x:v>吞吐、质量与自主性</x:v>
      </x:c>
      <x:c r="F25" s="28" t="str">
        <x:v>成本、材料与环境效率</x:v>
      </x:c>
      <x:c r="G25" s="28" t="str">
        <x:v>排队、瓶颈与产能</x:v>
      </x:c>
      <x:c r="H25" s="28" t="str">
        <x:v>供应、扩展与投资回报</x:v>
      </x:c>
      <x:c r="I25" s="28" t="str">
        <x:v>用端到端指标证明科学加速、经济性和可扩展性</x:v>
      </x:c>
      <x:c r="J25" s="28" t="str">
        <x:v>实验室运营 / 财务 / 工业工程</x:v>
      </x:c>
      <x:c r="K25" s="28" t="str">
        <x:v>S03; S04; S58; S60</x:v>
      </x:c>
    </x:row>
    <x:row r="26" ht="48" customHeight="1">
      <x:c r="A26" s="64" t="n">
        <x:v>25</x:v>
      </x:c>
      <x:c r="B26" s="64" t="str">
        <x:v>可信、安全、运营与思维模型</x:v>
      </x:c>
      <x:c r="C26" s="64" t="str">
        <x:v>关键思维模型</x:v>
      </x:c>
      <x:c r="D26" s="64" t="n">
        <x:f>COUNTIF('1000清单'!$C$2:$C$1001,C26)</x:f>
        <x:v>40</x:v>
      </x:c>
      <x:c r="E26" s="28" t="str">
        <x:v>科学与决策闭环</x:v>
      </x:c>
      <x:c r="F26" s="28" t="str">
        <x:v>系统与学习循环</x:v>
      </x:c>
      <x:c r="G26" s="28" t="str">
        <x:v>分解、约束与架构</x:v>
      </x:c>
      <x:c r="H26" s="28" t="str">
        <x:v>韧性、证据与可证伪性</x:v>
      </x:c>
      <x:c r="I26" s="28" t="str">
        <x:v>用可迁移的认知框架管理复杂系统和科学不确定性</x:v>
      </x:c>
      <x:c r="J26" s="28" t="str">
        <x:v>科研负责人 / 系统设计评审组</x:v>
      </x:c>
      <x:c r="K26" s="28" t="str">
        <x:v>S01; S22; S23; S47</x:v>
      </x:c>
    </x:row>
    <x:row r="29">
      <x:c r="A29" s="20" t="str">
        <x:v>宏观层</x:v>
      </x:c>
      <x:c r="B29" s="20" t="str">
        <x:v>条目数</x:v>
      </x:c>
      <x:c r="C29" s="20" t="str">
        <x:v>占比</x:v>
      </x:c>
    </x:row>
    <x:row r="30">
      <x:c r="A30" s="28" t="str">
        <x:v>科研闭环与自主架构</x:v>
      </x:c>
      <x:c r="B30" s="28" t="n">
        <x:f>COUNTIF('1000清单'!$B$2:$B$1001,A30)</x:f>
        <x:v>80</x:v>
      </x:c>
      <x:c r="C30" s="70" t="n">
        <x:f>B30/1000</x:f>
        <x:v>0.08</x:v>
      </x:c>
    </x:row>
    <x:row r="31">
      <x:c r="A31" s="28" t="str">
        <x:v>实验执行与具身自动化</x:v>
      </x:c>
      <x:c r="B31" s="28" t="n">
        <x:f>COUNTIF('1000清单'!$B$2:$B$1001,A31)</x:f>
        <x:v>320</x:v>
      </x:c>
      <x:c r="C31" s="70" t="n">
        <x:f>B31/1000</x:f>
        <x:v>0.32</x:v>
      </x:c>
    </x:row>
    <x:row r="32">
      <x:c r="A32" s="28" t="str">
        <x:v>数据与互操作基础设施</x:v>
      </x:c>
      <x:c r="B32" s="28" t="n">
        <x:f>COUNTIF('1000清单'!$B$2:$B$1001,A32)</x:f>
        <x:v>80</x:v>
      </x:c>
      <x:c r="C32" s="70" t="n">
        <x:f>B32/1000</x:f>
        <x:v>0.08</x:v>
      </x:c>
    </x:row>
    <x:row r="33">
      <x:c r="A33" s="28" t="str">
        <x:v>实验设计与闭环优化</x:v>
      </x:c>
      <x:c r="B33" s="28" t="n">
        <x:f>COUNTIF('1000清单'!$B$2:$B$1001,A33)</x:f>
        <x:v>160</x:v>
      </x:c>
      <x:c r="C33" s="70" t="n">
        <x:f>B33/1000</x:f>
        <x:v>0.16</x:v>
      </x:c>
    </x:row>
    <x:row r="34">
      <x:c r="A34" s="28" t="str">
        <x:v>科学AI、仿真与数字孪生</x:v>
      </x:c>
      <x:c r="B34" s="28" t="n">
        <x:f>COUNTIF('1000清单'!$B$2:$B$1001,A34)</x:f>
        <x:v>80</x:v>
      </x:c>
      <x:c r="C34" s="70" t="n">
        <x:f>B34/1000</x:f>
        <x:v>0.08</x:v>
      </x:c>
    </x:row>
    <x:row r="35">
      <x:c r="A35" s="28" t="str">
        <x:v>科学智能体与多智能体</x:v>
      </x:c>
      <x:c r="B35" s="28" t="n">
        <x:f>COUNTIF('1000清单'!$B$2:$B$1001,A35)</x:f>
        <x:v>120</x:v>
      </x:c>
      <x:c r="C35" s="70" t="n">
        <x:f>B35/1000</x:f>
        <x:v>0.12</x:v>
      </x:c>
    </x:row>
    <x:row r="36">
      <x:c r="A36" s="28" t="str">
        <x:v>可信、安全、运营与思维模型</x:v>
      </x:c>
      <x:c r="B36" s="28" t="n">
        <x:f>COUNTIF('1000清单'!$B$2:$B$1001,A36)</x:f>
        <x:v>160</x:v>
      </x:c>
      <x:c r="C36" s="70" t="n">
        <x:f>B36/1000</x:f>
        <x:v>0.16</x:v>
      </x:c>
    </x:row>
  </x:sheetData>
  <x:pageMargins left="0.7" right="0.7" top="0.75" bottom="0.75" header="0.3" footer="0.3"/>
  <x:drawing xmlns:r="http://schemas.openxmlformats.org/officeDocument/2006/relationships" r:id="Rf755859f33df45c0"/>
  <x:tableParts count="1">
    <x:tablePart xmlns:r="http://schemas.openxmlformats.org/officeDocument/2006/relationships" r:id="Rcb82542931dd426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2" hidden="0" customWidth="1"/>
    <x:col min="4" max="4" width="20" hidden="0" customWidth="1"/>
    <x:col min="5" max="5" width="34" hidden="0" customWidth="1"/>
    <x:col min="6" max="6" width="38" hidden="0" customWidth="1"/>
    <x:col min="7" max="7" width="44" hidden="0" customWidth="1"/>
    <x:col min="8" max="8" width="10" hidden="0" customWidth="1"/>
    <x:col min="9" max="9" width="48" hidden="0" customWidth="1"/>
  </x:cols>
  <x:sheetData>
    <x:row r="1">
      <x:c r="A1" s="20" t="str">
        <x:v>序号</x:v>
      </x:c>
      <x:c r="B1" s="20" t="str">
        <x:v>系统 / 平台</x:v>
      </x:c>
      <x:c r="C1" s="20" t="str">
        <x:v>年份</x:v>
      </x:c>
      <x:c r="D1" s="20" t="str">
        <x:v>领域</x:v>
      </x:c>
      <x:c r="E1" s="20" t="str">
        <x:v>架构亮点</x:v>
      </x:c>
      <x:c r="F1" s="20" t="str">
        <x:v>自主闭环方式</x:v>
      </x:c>
      <x:c r="G1" s="20" t="str">
        <x:v>关键限制 / 启示</x:v>
      </x:c>
      <x:c r="H1" s="20" t="str">
        <x:v>来源ID</x:v>
      </x:c>
      <x:c r="I1" s="20" t="str">
        <x:v>来源URL</x:v>
      </x:c>
    </x:row>
    <x:row r="2" ht="54" customHeight="1">
      <x:c r="A2" s="64" t="n">
        <x:v>1</x:v>
      </x:c>
      <x:c r="B2" s="64" t="str">
        <x:v>ChemOS</x:v>
      </x:c>
      <x:c r="C2" s="64" t="n">
        <x:v>2018</x:v>
      </x:c>
      <x:c r="D2" s="28" t="str">
        <x:v>跨领域编排平台</x:v>
      </x:c>
      <x:c r="E2" s="28" t="str">
        <x:v>设备抽象 + 优化器 + 工作流编排</x:v>
      </x:c>
      <x:c r="F2" s="28" t="str">
        <x:v>由优化器选择实验，平台调度设备并回传结果</x:v>
      </x:c>
      <x:c r="G2" s="28" t="str">
        <x:v>证明“操作系统层”是SDL核心，不等同于单台机器人</x:v>
      </x:c>
      <x:c r="H2" s="28" t="str">
        <x:v>S05</x:v>
      </x:c>
      <x:c r="I2" s="28" t="str">
        <x:v>https://www.science.org/doi/10.1126/scirobotics.aat5559</x:v>
      </x:c>
    </x:row>
    <x:row r="3" ht="54" customHeight="1">
      <x:c r="A3" s="64" t="n">
        <x:v>2</x:v>
      </x:c>
      <x:c r="B3" s="64" t="str">
        <x:v>Ada</x:v>
      </x:c>
      <x:c r="C3" s="64" t="n">
        <x:v>2020</x:v>
      </x:c>
      <x:c r="D3" s="28" t="str">
        <x:v>薄膜/材料</x:v>
      </x:c>
      <x:c r="E3" s="28" t="str">
        <x:v>自动沉积、表征与多目标闭环</x:v>
      </x:c>
      <x:c r="F3" s="28" t="str">
        <x:v>贝叶斯优化推进材料性质Pareto前沿</x:v>
      </x:c>
      <x:c r="G3" s="28" t="str">
        <x:v>多目标指标与测量质量决定闭环价值</x:v>
      </x:c>
      <x:c r="H3" s="28" t="str">
        <x:v>S06</x:v>
      </x:c>
      <x:c r="I3" s="28" t="str">
        <x:v>https://www.science.org/doi/10.1126/sciadv.aaz8867</x:v>
      </x:c>
    </x:row>
    <x:row r="4" ht="54" customHeight="1">
      <x:c r="A4" s="64" t="n">
        <x:v>3</x:v>
      </x:c>
      <x:c r="B4" s="64" t="str">
        <x:v>Mobile Robotic Chemist</x:v>
      </x:c>
      <x:c r="C4" s="64" t="n">
        <x:v>2020</x:v>
      </x:c>
      <x:c r="D4" s="28" t="str">
        <x:v>化学/材料</x:v>
      </x:c>
      <x:c r="E4" s="28" t="str">
        <x:v>移动机器人使用人类实验室设备</x:v>
      </x:c>
      <x:c r="F4" s="28" t="str">
        <x:v>在多工位间自主执行并按算法选择实验</x:v>
      </x:c>
      <x:c r="G4" s="28" t="str">
        <x:v>柔性高，但导航、对接与动作恢复要求极高</x:v>
      </x:c>
      <x:c r="H4" s="28" t="str">
        <x:v>S08</x:v>
      </x:c>
      <x:c r="I4" s="28" t="str">
        <x:v>https://www.nature.com/articles/s41586-020-2442-2</x:v>
      </x:c>
    </x:row>
    <x:row r="5" ht="54" customHeight="1">
      <x:c r="A5" s="64" t="n">
        <x:v>4</x:v>
      </x:c>
      <x:c r="B5" s="64" t="str">
        <x:v>On-the-fly Closed-loop Materials Discovery</x:v>
      </x:c>
      <x:c r="C5" s="64" t="n">
        <x:v>2020</x:v>
      </x:c>
      <x:c r="D5" s="28" t="str">
        <x:v>材料</x:v>
      </x:c>
      <x:c r="E5" s="28" t="str">
        <x:v>实时表征 + 贝叶斯主动学习</x:v>
      </x:c>
      <x:c r="F5" s="28" t="str">
        <x:v>边测边更新模型并选择下一个样品</x:v>
      </x:c>
      <x:c r="G5" s="28" t="str">
        <x:v>在线延迟和仪器同步是关键</x:v>
      </x:c>
      <x:c r="H5" s="28" t="str">
        <x:v>S15</x:v>
      </x:c>
      <x:c r="I5" s="28" t="str">
        <x:v>https://www.nature.com/articles/s41467-020-19597-w</x:v>
      </x:c>
    </x:row>
    <x:row r="6" ht="54" customHeight="1">
      <x:c r="A6" s="64" t="n">
        <x:v>5</x:v>
      </x:c>
      <x:c r="B6" s="64" t="str">
        <x:v>BEAR</x:v>
      </x:c>
      <x:c r="C6" s="64" t="n">
        <x:v>2020</x:v>
      </x:c>
      <x:c r="D6" s="28" t="str">
        <x:v>材料/化学</x:v>
      </x:c>
      <x:c r="E6" s="28" t="str">
        <x:v>贝叶斯实验研究员 + 自动平台</x:v>
      </x:c>
      <x:c r="F6" s="28" t="str">
        <x:v>以实验结果更新代理模型并继续搜索</x:v>
      </x:c>
      <x:c r="G6" s="28" t="str">
        <x:v>需要把实验失败作为模型可学习信号</x:v>
      </x:c>
      <x:c r="H6" s="28" t="str">
        <x:v>S13</x:v>
      </x:c>
      <x:c r="I6" s="28" t="str">
        <x:v>https://www.science.org/doi/10.1126/sciadv.aaz1708</x:v>
      </x:c>
    </x:row>
    <x:row r="7" ht="54" customHeight="1">
      <x:c r="A7" s="64" t="n">
        <x:v>6</x:v>
      </x:c>
      <x:c r="B7" s="64" t="str">
        <x:v>Hierarchical Active-learning SDL</x:v>
      </x:c>
      <x:c r="C7" s="64" t="n">
        <x:v>2021</x:v>
      </x:c>
      <x:c r="D7" s="28" t="str">
        <x:v>黏合材料</x:v>
      </x:c>
      <x:c r="E7" s="28" t="str">
        <x:v>分层搜索空间与主动学习</x:v>
      </x:c>
      <x:c r="F7" s="28" t="str">
        <x:v>多层变量选择和实验执行闭环</x:v>
      </x:c>
      <x:c r="G7" s="28" t="str">
        <x:v>层级变量需要显式表示和条件约束</x:v>
      </x:c>
      <x:c r="H7" s="28" t="str">
        <x:v>S14</x:v>
      </x:c>
      <x:c r="I7" s="28" t="str">
        <x:v>https://www.science.org/doi/10.1126/sciadv.abg4930</x:v>
      </x:c>
    </x:row>
    <x:row r="8" ht="54" customHeight="1">
      <x:c r="A8" s="64" t="n">
        <x:v>7</x:v>
      </x:c>
      <x:c r="B8" s="64" t="str">
        <x:v>A-Lab</x:v>
      </x:c>
      <x:c r="C8" s="64" t="n">
        <x:v>2023</x:v>
      </x:c>
      <x:c r="D8" s="28" t="str">
        <x:v>无机材料</x:v>
      </x:c>
      <x:c r="E8" s="28" t="str">
        <x:v>合成、热处理、XRD与计算数据库闭环</x:v>
      </x:c>
      <x:c r="F8" s="28" t="str">
        <x:v>依据计算候选自主合成并解析产物</x:v>
      </x:c>
      <x:c r="G8" s="28" t="str">
        <x:v>粉体、相鉴定和失败路线是难点</x:v>
      </x:c>
      <x:c r="H8" s="28" t="str">
        <x:v>S07</x:v>
      </x:c>
      <x:c r="I8" s="28" t="str">
        <x:v>https://www.nature.com/articles/s41586-023-06734-w</x:v>
      </x:c>
    </x:row>
    <x:row r="9" ht="54" customHeight="1">
      <x:c r="A9" s="64" t="n">
        <x:v>8</x:v>
      </x:c>
      <x:c r="B9" s="64" t="str">
        <x:v>Coscientist</x:v>
      </x:c>
      <x:c r="C9" s="64" t="n">
        <x:v>2023</x:v>
      </x:c>
      <x:c r="D9" s="28" t="str">
        <x:v>化学Agent</x:v>
      </x:c>
      <x:c r="E9" s="28" t="str">
        <x:v>LLM规划、网页/文献、代码与自动化工具</x:v>
      </x:c>
      <x:c r="F9" s="28" t="str">
        <x:v>从自然语言目标生成计划并调用实验工具</x:v>
      </x:c>
      <x:c r="G9" s="28" t="str">
        <x:v>大模型必须由工具权限、验证器和安全边界约束</x:v>
      </x:c>
      <x:c r="H9" s="28" t="str">
        <x:v>S11</x:v>
      </x:c>
      <x:c r="I9" s="28" t="str">
        <x:v>https://www.nature.com/articles/s41586-023-06792-0</x:v>
      </x:c>
    </x:row>
    <x:row r="10" ht="54" customHeight="1">
      <x:c r="A10" s="64" t="n">
        <x:v>9</x:v>
      </x:c>
      <x:c r="B10" s="64" t="str">
        <x:v>AI-driven Robotic Chemist</x:v>
      </x:c>
      <x:c r="C10" s="64" t="n">
        <x:v>2023</x:v>
      </x:c>
      <x:c r="D10" s="28" t="str">
        <x:v>化学合成</x:v>
      </x:c>
      <x:c r="E10" s="28" t="str">
        <x:v>机器人操作 + AI实验决策</x:v>
      </x:c>
      <x:c r="F10" s="28" t="str">
        <x:v>自主选择条件、执行并分析结果</x:v>
      </x:c>
      <x:c r="G10" s="28" t="str">
        <x:v>动作层和决策层的错误需分层诊断</x:v>
      </x:c>
      <x:c r="H10" s="28" t="str">
        <x:v>S17</x:v>
      </x:c>
      <x:c r="I10" s="28" t="str">
        <x:v>https://www.science.org/doi/10.1126/sciadv.adj0461</x:v>
      </x:c>
    </x:row>
    <x:row r="11" ht="54" customHeight="1">
      <x:c r="A11" s="64" t="n">
        <x:v>10</x:v>
      </x:c>
      <x:c r="B11" s="64" t="str">
        <x:v>Autonomous Multi-property Molecular Discovery</x:v>
      </x:c>
      <x:c r="C11" s="64" t="n">
        <x:v>2023</x:v>
      </x:c>
      <x:c r="D11" s="28" t="str">
        <x:v>分子发现</x:v>
      </x:c>
      <x:c r="E11" s="28" t="str">
        <x:v>合成/筛选与多性质优化</x:v>
      </x:c>
      <x:c r="F11" s="28" t="str">
        <x:v>在多属性约束下迭代候选</x:v>
      </x:c>
      <x:c r="G11" s="28" t="str">
        <x:v>需兼顾可合成性、性质冲突与测量成本</x:v>
      </x:c>
      <x:c r="H11" s="28" t="str">
        <x:v>S16</x:v>
      </x:c>
      <x:c r="I11" s="28" t="str">
        <x:v>https://www.science.org/doi/10.1126/science.adi1407</x:v>
      </x:c>
    </x:row>
    <x:row r="12" ht="54" customHeight="1">
      <x:c r="A12" s="64" t="n">
        <x:v>11</x:v>
      </x:c>
      <x:c r="B12" s="64" t="str">
        <x:v>ACDC</x:v>
      </x:c>
      <x:c r="C12" s="64" t="n">
        <x:v>2024</x:v>
      </x:c>
      <x:c r="D12" s="28" t="str">
        <x:v>分布式化学</x:v>
      </x:c>
      <x:c r="E12" s="28" t="str">
        <x:v>多个自动实验节点协同</x:v>
      </x:c>
      <x:c r="F12" s="28" t="str">
        <x:v>跨实验室分配任务并聚合结果</x:v>
      </x:c>
      <x:c r="G12" s="28" t="str">
        <x:v>互操作、样品/数据身份和时钟一致性最关键</x:v>
      </x:c>
      <x:c r="H12" s="28" t="str">
        <x:v>S12</x:v>
      </x:c>
      <x:c r="I12" s="28" t="str">
        <x:v>https://www.science.org/doi/10.1126/science.adk9227</x:v>
      </x:c>
    </x:row>
    <x:row r="13" ht="54" customHeight="1">
      <x:c r="A13" s="64" t="n">
        <x:v>12</x:v>
      </x:c>
      <x:c r="B13" s="64" t="str">
        <x:v>Autonomous Mobile Robots for Synthetic Chemistry</x:v>
      </x:c>
      <x:c r="C13" s="64" t="n">
        <x:v>2024</x:v>
      </x:c>
      <x:c r="D13" s="28" t="str">
        <x:v>有机合成</x:v>
      </x:c>
      <x:c r="E13" s="28" t="str">
        <x:v>移动操作、多设备与探索性化学</x:v>
      </x:c>
      <x:c r="F13" s="28" t="str">
        <x:v>机器人跨设备完成复杂合成工作流</x:v>
      </x:c>
      <x:c r="G13" s="28" t="str">
        <x:v>柔性执行必须配套视觉验收和异常恢复</x:v>
      </x:c>
      <x:c r="H13" s="28" t="str">
        <x:v>S09</x:v>
      </x:c>
      <x:c r="I13" s="28" t="str">
        <x:v>https://www.nature.com/articles/s41586-024-08173-7</x:v>
      </x:c>
    </x:row>
    <x:row r="14" ht="54" customHeight="1">
      <x:c r="A14" s="64" t="n">
        <x:v>13</x:v>
      </x:c>
      <x:c r="B14" s="64" t="str">
        <x:v>Modular Multi-robot Solid-state Chemistry</x:v>
      </x:c>
      <x:c r="C14" s="64" t="n">
        <x:v>2024</x:v>
      </x:c>
      <x:c r="D14" s="28" t="str">
        <x:v>固相化学</x:v>
      </x:c>
      <x:c r="E14" s="28" t="str">
        <x:v>模块化工位与多机器人交接</x:v>
      </x:c>
      <x:c r="F14" s="28" t="str">
        <x:v>在多个固相单元操作间编排样品</x:v>
      </x:c>
      <x:c r="G14" s="28" t="str">
        <x:v>标准容器、交接协议和粉体控制决定扩展性</x:v>
      </x:c>
      <x:c r="H14" s="28" t="str">
        <x:v>S10</x:v>
      </x:c>
      <x:c r="I14" s="28" t="str">
        <x:v>https://pubs.rsc.org/en/content/articlehtml/2024/sc/d3sc06206f</x:v>
      </x:c>
    </x:row>
    <x:row r="15" ht="54" customHeight="1">
      <x:c r="A15" s="64" t="n">
        <x:v>14</x:v>
      </x:c>
      <x:c r="B15" s="64" t="str">
        <x:v>Autonomous Electrochemical Platform</x:v>
      </x:c>
      <x:c r="C15" s="64" t="n">
        <x:v>2024</x:v>
      </x:c>
      <x:c r="D15" s="28" t="str">
        <x:v>电化学</x:v>
      </x:c>
      <x:c r="E15" s="28" t="str">
        <x:v>电化学测量 + 多目标优化</x:v>
      </x:c>
      <x:c r="F15" s="28" t="str">
        <x:v>自动制备、测量并更新实验策略</x:v>
      </x:c>
      <x:c r="G15" s="28" t="str">
        <x:v>漂移、清洗和电极状态需在线建模</x:v>
      </x:c>
      <x:c r="H15" s="28" t="str">
        <x:v>S19</x:v>
      </x:c>
      <x:c r="I15" s="28" t="str">
        <x:v>https://www.nature.com/articles/s41467-024-47210-x</x:v>
      </x:c>
    </x:row>
    <x:row r="16" ht="54" customHeight="1">
      <x:c r="A16" s="64" t="n">
        <x:v>15</x:v>
      </x:c>
      <x:c r="B16" s="64" t="str">
        <x:v>ChemCrow</x:v>
      </x:c>
      <x:c r="C16" s="64" t="n">
        <x:v>2024</x:v>
      </x:c>
      <x:c r="D16" s="28" t="str">
        <x:v>化学Agent</x:v>
      </x:c>
      <x:c r="E16" s="28" t="str">
        <x:v>LLM + 化学数据库/计算/安全工具</x:v>
      </x:c>
      <x:c r="F16" s="28" t="str">
        <x:v>工具接地后完成复杂化学推理任务</x:v>
      </x:c>
      <x:c r="G16" s="28" t="str">
        <x:v>“会说”必须升级为“有证据、可验证地行动”</x:v>
      </x:c>
      <x:c r="H16" s="28" t="str">
        <x:v>S34</x:v>
      </x:c>
      <x:c r="I16" s="28" t="str">
        <x:v>https://www.nature.com/articles/s42256-024-00832-8</x:v>
      </x:c>
    </x:row>
    <x:row r="17" ht="54" customHeight="1">
      <x:c r="A17" s="64" t="n">
        <x:v>16</x:v>
      </x:c>
      <x:c r="B17" s="64" t="str">
        <x:v>Polybot</x:v>
      </x:c>
      <x:c r="C17" s="64" t="n">
        <x:v>2025</x:v>
      </x:c>
      <x:c r="D17" s="28" t="str">
        <x:v>聚合物</x:v>
      </x:c>
      <x:c r="E17" s="28" t="str">
        <x:v>聚合反应、样品处理与表征闭环</x:v>
      </x:c>
      <x:c r="F17" s="28" t="str">
        <x:v>自动优化聚合物实验条件</x:v>
      </x:c>
      <x:c r="G17" s="28" t="str">
        <x:v>黏性液体、清洗和批次记忆是工程难点</x:v>
      </x:c>
      <x:c r="H17" s="28" t="str">
        <x:v>S18</x:v>
      </x:c>
      <x:c r="I17" s="28" t="str">
        <x:v>https://www.nature.com/articles/s41467-024-55655-3</x:v>
      </x:c>
    </x:row>
    <x:row r="18" ht="54" customHeight="1">
      <x:c r="A18" s="64" t="n">
        <x:v>17</x:v>
      </x:c>
      <x:c r="B18" s="64" t="str">
        <x:v>LIRA</x:v>
      </x:c>
      <x:c r="C18" s="64" t="n">
        <x:v>2025</x:v>
      </x:c>
      <x:c r="D18" s="28" t="str">
        <x:v>实验视觉Agent</x:v>
      </x:c>
      <x:c r="E18" s="28" t="str">
        <x:v>视觉语言模型进行实验异常推理</x:v>
      </x:c>
      <x:c r="F18" s="28" t="str">
        <x:v>从图像/视频识别并解释异常</x:v>
      </x:c>
      <x:c r="G18" s="28" t="str">
        <x:v>需要异常数据集、拒绝机制与安全升级</x:v>
      </x:c>
      <x:c r="H18" s="28" t="str">
        <x:v>S52</x:v>
      </x:c>
      <x:c r="I18" s="28" t="str">
        <x:v>https://www.nature.com/articles/s42004-025-01770-1</x:v>
      </x:c>
    </x:row>
    <x:row r="19" ht="54" customHeight="1">
      <x:c r="A19" s="64" t="n">
        <x:v>18</x:v>
      </x:c>
      <x:c r="B19" s="64" t="str">
        <x:v>Multi-agent Robotic AI Chemist</x:v>
      </x:c>
      <x:c r="C19" s="64" t="n">
        <x:v>2025</x:v>
      </x:c>
      <x:c r="D19" s="28" t="str">
        <x:v>化学Agent+机器人</x:v>
      </x:c>
      <x:c r="E19" s="28" t="str">
        <x:v>角色化Agent协调实验机器人</x:v>
      </x:c>
      <x:c r="F19" s="28" t="str">
        <x:v>多Agent规划、执行、分析和验证</x:v>
      </x:c>
      <x:c r="G19" s="28" t="str">
        <x:v>通信、权限和责任链不可省略</x:v>
      </x:c>
      <x:c r="H19" s="28" t="str">
        <x:v>S54</x:v>
      </x:c>
      <x:c r="I19" s="28" t="str">
        <x:v>https://pubs.acs.org/doi/10.1021/jacs.4c17738</x:v>
      </x:c>
    </x:row>
    <x:row r="20" ht="54" customHeight="1">
      <x:c r="A20" s="64" t="n">
        <x:v>19</x:v>
      </x:c>
      <x:c r="B20" s="64" t="str">
        <x:v>CRISPR-GPT</x:v>
      </x:c>
      <x:c r="C20" s="64" t="n">
        <x:v>2025</x:v>
      </x:c>
      <x:c r="D20" s="28" t="str">
        <x:v>生命科学Agent</x:v>
      </x:c>
      <x:c r="E20" s="28" t="str">
        <x:v>多角色Agent辅助基因编辑实验设计</x:v>
      </x:c>
      <x:c r="F20" s="28" t="str">
        <x:v>检索知识、形成方案并接受专家监督</x:v>
      </x:c>
      <x:c r="G20" s="28" t="str">
        <x:v>高风险生物设计需要严格人工审批和证据溯源</x:v>
      </x:c>
      <x:c r="H20" s="28" t="str">
        <x:v>S35</x:v>
      </x:c>
      <x:c r="I20" s="28" t="str">
        <x:v>https://www.nature.com/articles/s41551-025-01463-z</x:v>
      </x:c>
    </x:row>
    <x:row r="21" ht="54" customHeight="1">
      <x:c r="A21" s="64" t="n">
        <x:v>20</x:v>
      </x:c>
      <x:c r="B21" s="64" t="str">
        <x:v>MatSciAgent</x:v>
      </x:c>
      <x:c r="C21" s="64" t="n">
        <x:v>2025</x:v>
      </x:c>
      <x:c r="D21" s="28" t="str">
        <x:v>材料科学Agent</x:v>
      </x:c>
      <x:c r="E21" s="28" t="str">
        <x:v>多Agent覆盖文献、计算和材料任务</x:v>
      </x:c>
      <x:c r="F21" s="28" t="str">
        <x:v>分工协同完成材料研究流程</x:v>
      </x:c>
      <x:c r="G21" s="28" t="str">
        <x:v>需要统一科学对象、工具模式和共享记忆</x:v>
      </x:c>
      <x:c r="H21" s="28" t="str">
        <x:v>S36</x:v>
      </x:c>
      <x:c r="I21" s="28" t="str">
        <x:v>https://www.nature.com/articles/s43246-025-00994-x</x:v>
      </x:c>
    </x:row>
    <x:row r="22" ht="54" customHeight="1">
      <x:c r="A22" s="64" t="n">
        <x:v>21</x:v>
      </x:c>
      <x:c r="B22" s="64" t="str">
        <x:v>AILA</x:v>
      </x:c>
      <x:c r="C22" s="64" t="n">
        <x:v>2025</x:v>
      </x:c>
      <x:c r="D22" s="28" t="str">
        <x:v>功能材料Agent</x:v>
      </x:c>
      <x:c r="E22" s="28" t="str">
        <x:v>AI实验室智能体协同材料研究</x:v>
      </x:c>
      <x:c r="F22" s="28" t="str">
        <x:v>知识、实验与分析环节协同</x:v>
      </x:c>
      <x:c r="G22" s="28" t="str">
        <x:v>Agent评测需关注真实科研产出而非文本得分</x:v>
      </x:c>
      <x:c r="H22" s="28" t="str">
        <x:v>S65</x:v>
      </x:c>
      <x:c r="I22" s="28" t="str">
        <x:v>https://www.nature.com/articles/s41467-025-64105-7</x:v>
      </x:c>
    </x:row>
    <x:row r="23" ht="54" customHeight="1">
      <x:c r="A23" s="64" t="n">
        <x:v>22</x:v>
      </x:c>
      <x:c r="B23" s="64" t="str">
        <x:v>ScienceOne</x:v>
      </x:c>
      <x:c r="C23" s="64" t="n">
        <x:v>2025</x:v>
      </x:c>
      <x:c r="D23" s="28" t="str">
        <x:v>科学基础模型平台</x:v>
      </x:c>
      <x:c r="E23" s="28" t="str">
        <x:v>科学模型、数据与科研工具平台化</x:v>
      </x:c>
      <x:c r="F23" s="28" t="str">
        <x:v>面向多学科提供AI for Science能力</x:v>
      </x:c>
      <x:c r="G23" s="28" t="str">
        <x:v>平台需和真实仪器、数据治理及验证体系结合</x:v>
      </x:c>
      <x:c r="H23" s="28" t="str">
        <x:v>S55</x:v>
      </x:c>
      <x:c r="I23" s="28" t="str">
        <x:v>https://www.cas.cn/syky/202504/t20250430_5067082.shtml</x:v>
      </x:c>
    </x:row>
    <x:row r="24" ht="54" customHeight="1">
      <x:c r="A24" s="64" t="n">
        <x:v>23</x:v>
      </x:c>
      <x:c r="B24" s="64" t="str">
        <x:v>北京“AI+黑灯实验室”</x:v>
      </x:c>
      <x:c r="C24" s="64" t="n">
        <x:v>2026</x:v>
      </x:c>
      <x:c r="D24" s="28" t="str">
        <x:v>综合黑灯实验室</x:v>
      </x:c>
      <x:c r="E24" s="28" t="str">
        <x:v>AI大脑 + 机器人 + 物联网 + 大数据</x:v>
      </x:c>
      <x:c r="F24" s="28" t="str">
        <x:v>目标是7×24小时少人/无人值守运行</x:v>
      </x:c>
      <x:c r="G24" s="28" t="str">
        <x:v>黑灯运行不等于科学自主，需区分执行自动化与决策自主</x:v>
      </x:c>
      <x:c r="H24" s="28" t="str">
        <x:v>S56</x:v>
      </x:c>
      <x:c r="I24" s="28" t="str">
        <x:v>https://www.ncsti.gov.cn/kjdt/xwjj/202605/t20260529_248227.html</x:v>
      </x:c>
    </x:row>
    <x:row r="25" ht="54" customHeight="1">
      <x:c r="A25" s="64" t="n">
        <x:v>24</x:v>
      </x:c>
      <x:c r="B25" s="64" t="str">
        <x:v>RoboChem-Flex</x:v>
      </x:c>
      <x:c r="C25" s="64" t="n">
        <x:v>2026</x:v>
      </x:c>
      <x:c r="D25" s="28" t="str">
        <x:v>柔性化学自动化</x:v>
      </x:c>
      <x:c r="E25" s="28" t="str">
        <x:v>面向多样化操作的柔性机器人平台</x:v>
      </x:c>
      <x:c r="F25" s="28" t="str">
        <x:v>以可重构技能执行变化的实验流程</x:v>
      </x:c>
      <x:c r="G25" s="28" t="str">
        <x:v>通用性依赖技能库、视觉反馈和安全验证</x:v>
      </x:c>
      <x:c r="H25" s="28" t="str">
        <x:v>S61</x:v>
      </x:c>
      <x:c r="I25" s="28" t="str">
        <x:v>https://www.nature.com/articles/s44160-026-01053-0</x:v>
      </x:c>
    </x:row>
    <x:row r="26" ht="54" customHeight="1">
      <x:c r="A26" s="64" t="n">
        <x:v>25</x:v>
      </x:c>
      <x:c r="B26" s="64" t="str">
        <x:v>ADePT</x:v>
      </x:c>
      <x:c r="C26" s="64" t="n">
        <x:v>2026</x:v>
      </x:c>
      <x:c r="D26" s="28" t="str">
        <x:v>SDL评估框架</x:v>
      </x:c>
      <x:c r="E26" s="28" t="str">
        <x:v>从自动化、实验设计、过程和任务评估系统</x:v>
      </x:c>
      <x:c r="F26" s="28" t="str">
        <x:v>比较不同SDL能力与成熟度</x:v>
      </x:c>
      <x:c r="G26" s="28" t="str">
        <x:v>统一评估语言有助于避免营销式“全自主”表述</x:v>
      </x:c>
      <x:c r="H26" s="28" t="str">
        <x:v>S04</x:v>
      </x:c>
      <x:c r="I26" s="28" t="str">
        <x:v>https://www.nature.com/articles/s42004-026-01932-9</x:v>
      </x:c>
    </x:row>
  </x:sheetData>
  <x:pageMargins left="0.7" right="0.7" top="0.75" bottom="0.75" header="0.3" footer="0.3"/>
  <x:tableParts count="1">
    <x:tablePart xmlns:r="http://schemas.openxmlformats.org/officeDocument/2006/relationships" r:id="R81c258a75f734f6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4" hidden="0" customWidth="1"/>
    <x:col min="3" max="3" width="14" hidden="0" customWidth="1"/>
    <x:col min="4" max="4" width="18" hidden="0" customWidth="1"/>
    <x:col min="5" max="5" width="42" hidden="0" customWidth="1"/>
    <x:col min="6" max="6" width="58" hidden="0" customWidth="1"/>
  </x:cols>
  <x:sheetData>
    <x:row r="1">
      <x:c r="A1" s="20" t="str">
        <x:v>来源ID</x:v>
      </x:c>
      <x:c r="B1" s="20" t="str">
        <x:v>文献 / 标准 / 平台</x:v>
      </x:c>
      <x:c r="C1" s="20" t="str">
        <x:v>年份</x:v>
      </x:c>
      <x:c r="D1" s="20" t="str">
        <x:v>类型</x:v>
      </x:c>
      <x:c r="E1" s="20" t="str">
        <x:v>与本清单的关系</x:v>
      </x:c>
      <x:c r="F1" s="20" t="str">
        <x:v>URL</x:v>
      </x:c>
    </x:row>
    <x:row r="2" ht="42" customHeight="1">
      <x:c r="A2" s="64" t="str">
        <x:v>S01</x:v>
      </x:c>
      <x:c r="B2" s="28" t="str">
        <x:v>Self-Driving Laboratories for Chemistry and Materials Science</x:v>
      </x:c>
      <x:c r="C2" s="28" t="str">
        <x:v>2024</x:v>
      </x:c>
      <x:c r="D2" s="28" t="str">
        <x:v>综述</x:v>
      </x:c>
      <x:c r="E2" s="28" t="str">
        <x:v>SDL全栈、闭环、硬件、软件与挑战</x:v>
      </x:c>
      <x:c r="F2" s="28" t="str">
        <x:v>https://pubs.acs.org/doi/10.1021/acs.chemrev.4c00055</x:v>
      </x:c>
    </x:row>
    <x:row r="3" ht="42" customHeight="1">
      <x:c r="A3" s="64" t="str">
        <x:v>S02</x:v>
      </x:c>
      <x:c r="B3" s="28" t="str">
        <x:v>Autonomous self-driving laboratories: a review of challenges and opportunities</x:v>
      </x:c>
      <x:c r="C3" s="28" t="str">
        <x:v>2025</x:v>
      </x:c>
      <x:c r="D3" s="28" t="str">
        <x:v>综述</x:v>
      </x:c>
      <x:c r="E3" s="28" t="str">
        <x:v>自主实验室定义、架构、挑战与机会</x:v>
      </x:c>
      <x:c r="F3" s="28" t="str">
        <x:v>https://royalsocietypublishing.org/rsos/article/12/7/250646/235354/Autonomous-self-driving-laboratories-a-review-of</x:v>
      </x:c>
    </x:row>
    <x:row r="4" ht="42" customHeight="1">
      <x:c r="A4" s="64" t="str">
        <x:v>S03</x:v>
      </x:c>
      <x:c r="B4" s="28" t="str">
        <x:v>Performance metrics to unleash the power of self-driving labs in chemistry and materials science</x:v>
      </x:c>
      <x:c r="C4" s="28" t="str">
        <x:v>2024</x:v>
      </x:c>
      <x:c r="D4" s="28" t="str">
        <x:v>指标框架</x:v>
      </x:c>
      <x:c r="E4" s="28" t="str">
        <x:v>SDL绩效、加速与增强指标</x:v>
      </x:c>
      <x:c r="F4" s="28" t="str">
        <x:v>https://www.nature.com/articles/s41467-024-45569-5</x:v>
      </x:c>
    </x:row>
    <x:row r="5" ht="42" customHeight="1">
      <x:c r="A5" s="64" t="str">
        <x:v>S04</x:v>
      </x:c>
      <x:c r="B5" s="28" t="str">
        <x:v>ADePT: assessing automation, experimental design, process and task in SDLs</x:v>
      </x:c>
      <x:c r="C5" s="28" t="str">
        <x:v>2026</x:v>
      </x:c>
      <x:c r="D5" s="28" t="str">
        <x:v>评估框架</x:v>
      </x:c>
      <x:c r="E5" s="28" t="str">
        <x:v>自主实验室成熟度与任务评估</x:v>
      </x:c>
      <x:c r="F5" s="28" t="str">
        <x:v>https://www.nature.com/articles/s42004-026-01932-9</x:v>
      </x:c>
    </x:row>
    <x:row r="6" ht="42" customHeight="1">
      <x:c r="A6" s="64" t="str">
        <x:v>S05</x:v>
      </x:c>
      <x:c r="B6" s="28" t="str">
        <x:v>ChemOS: Orchestrating autonomous experimentation</x:v>
      </x:c>
      <x:c r="C6" s="28" t="str">
        <x:v>2018</x:v>
      </x:c>
      <x:c r="D6" s="28" t="str">
        <x:v>平台论文</x:v>
      </x:c>
      <x:c r="E6" s="28" t="str">
        <x:v>实验编排、优化与设备抽象</x:v>
      </x:c>
      <x:c r="F6" s="28" t="str">
        <x:v>https://www.science.org/doi/10.1126/scirobotics.aat5559</x:v>
      </x:c>
    </x:row>
    <x:row r="7" ht="42" customHeight="1">
      <x:c r="A7" s="64" t="str">
        <x:v>S06</x:v>
      </x:c>
      <x:c r="B7" s="28" t="str">
        <x:v>A self-driving laboratory advances the Pareto front for material properties</x:v>
      </x:c>
      <x:c r="C7" s="28" t="str">
        <x:v>2020</x:v>
      </x:c>
      <x:c r="D7" s="28" t="str">
        <x:v>系统论文</x:v>
      </x:c>
      <x:c r="E7" s="28" t="str">
        <x:v>Ada薄膜闭环与多目标优化</x:v>
      </x:c>
      <x:c r="F7" s="28" t="str">
        <x:v>https://www.science.org/doi/10.1126/sciadv.aaz8867</x:v>
      </x:c>
    </x:row>
    <x:row r="8" ht="42" customHeight="1">
      <x:c r="A8" s="64" t="str">
        <x:v>S07</x:v>
      </x:c>
      <x:c r="B8" s="28" t="str">
        <x:v>Autonomous discovery of inorganic materials with A-Lab</x:v>
      </x:c>
      <x:c r="C8" s="28" t="str">
        <x:v>2023</x:v>
      </x:c>
      <x:c r="D8" s="28" t="str">
        <x:v>系统论文</x:v>
      </x:c>
      <x:c r="E8" s="28" t="str">
        <x:v>无机材料合成、表征和闭环决策</x:v>
      </x:c>
      <x:c r="F8" s="28" t="str">
        <x:v>https://www.nature.com/articles/s41586-023-06734-w</x:v>
      </x:c>
    </x:row>
    <x:row r="9" ht="42" customHeight="1">
      <x:c r="A9" s="64" t="str">
        <x:v>S08</x:v>
      </x:c>
      <x:c r="B9" s="28" t="str">
        <x:v>A mobile robotic chemist</x:v>
      </x:c>
      <x:c r="C9" s="28" t="str">
        <x:v>2020</x:v>
      </x:c>
      <x:c r="D9" s="28" t="str">
        <x:v>系统论文</x:v>
      </x:c>
      <x:c r="E9" s="28" t="str">
        <x:v>移动机器人跨仪器自主化学实验</x:v>
      </x:c>
      <x:c r="F9" s="28" t="str">
        <x:v>https://www.nature.com/articles/s41586-020-2442-2</x:v>
      </x:c>
    </x:row>
    <x:row r="10" ht="42" customHeight="1">
      <x:c r="A10" s="64" t="str">
        <x:v>S09</x:v>
      </x:c>
      <x:c r="B10" s="28" t="str">
        <x:v>Autonomous mobile robots for exploratory synthetic chemistry</x:v>
      </x:c>
      <x:c r="C10" s="28" t="str">
        <x:v>2024</x:v>
      </x:c>
      <x:c r="D10" s="28" t="str">
        <x:v>系统论文</x:v>
      </x:c>
      <x:c r="E10" s="28" t="str">
        <x:v>移动操作、多工位与合成探索</x:v>
      </x:c>
      <x:c r="F10" s="28" t="str">
        <x:v>https://www.nature.com/articles/s41586-024-08173-7</x:v>
      </x:c>
    </x:row>
    <x:row r="11" ht="42" customHeight="1">
      <x:c r="A11" s="64" t="str">
        <x:v>S10</x:v>
      </x:c>
      <x:c r="B11" s="28" t="str">
        <x:v>Modular, multi-robot integration for autonomous solid-state chemistry</x:v>
      </x:c>
      <x:c r="C11" s="28" t="str">
        <x:v>2024</x:v>
      </x:c>
      <x:c r="D11" s="28" t="str">
        <x:v>系统论文</x:v>
      </x:c>
      <x:c r="E11" s="28" t="str">
        <x:v>模块化多机器人固相化学</x:v>
      </x:c>
      <x:c r="F11" s="28" t="str">
        <x:v>https://pubs.rsc.org/en/content/articlehtml/2024/sc/d3sc06206f</x:v>
      </x:c>
    </x:row>
    <x:row r="12" ht="42" customHeight="1">
      <x:c r="A12" s="64" t="str">
        <x:v>S11</x:v>
      </x:c>
      <x:c r="B12" s="28" t="str">
        <x:v>Autonomous chemical research with large language models (Coscientist)</x:v>
      </x:c>
      <x:c r="C12" s="28" t="str">
        <x:v>2023</x:v>
      </x:c>
      <x:c r="D12" s="28" t="str">
        <x:v>系统论文</x:v>
      </x:c>
      <x:c r="E12" s="28" t="str">
        <x:v>LLM规划、工具调用与化学实验</x:v>
      </x:c>
      <x:c r="F12" s="28" t="str">
        <x:v>https://www.nature.com/articles/s41586-023-06792-0</x:v>
      </x:c>
    </x:row>
    <x:row r="13" ht="42" customHeight="1">
      <x:c r="A13" s="64" t="str">
        <x:v>S12</x:v>
      </x:c>
      <x:c r="B13" s="28" t="str">
        <x:v>Distributed automated laboratories for chemical discovery (ACDC)</x:v>
      </x:c>
      <x:c r="C13" s="28" t="str">
        <x:v>2024</x:v>
      </x:c>
      <x:c r="D13" s="28" t="str">
        <x:v>系统论文</x:v>
      </x:c>
      <x:c r="E13" s="28" t="str">
        <x:v>分布式实验与协同发现</x:v>
      </x:c>
      <x:c r="F13" s="28" t="str">
        <x:v>https://www.science.org/doi/10.1126/science.adk9227</x:v>
      </x:c>
    </x:row>
    <x:row r="14" ht="42" customHeight="1">
      <x:c r="A14" s="64" t="str">
        <x:v>S13</x:v>
      </x:c>
      <x:c r="B14" s="28" t="str">
        <x:v>Bayesian experimental autonomous researcher (BEAR)</x:v>
      </x:c>
      <x:c r="C14" s="28" t="str">
        <x:v>2020</x:v>
      </x:c>
      <x:c r="D14" s="28" t="str">
        <x:v>系统论文</x:v>
      </x:c>
      <x:c r="E14" s="28" t="str">
        <x:v>贝叶斯实验规划与机器人闭环</x:v>
      </x:c>
      <x:c r="F14" s="28" t="str">
        <x:v>https://www.science.org/doi/10.1126/sciadv.aaz1708</x:v>
      </x:c>
    </x:row>
    <x:row r="15" ht="42" customHeight="1">
      <x:c r="A15" s="64" t="str">
        <x:v>S14</x:v>
      </x:c>
      <x:c r="B15" s="28" t="str">
        <x:v>A self-driving laboratory designed to accelerate the discovery of adhesive materials</x:v>
      </x:c>
      <x:c r="C15" s="28" t="str">
        <x:v>2021</x:v>
      </x:c>
      <x:c r="D15" s="28" t="str">
        <x:v>方法/系统论文</x:v>
      </x:c>
      <x:c r="E15" s="28" t="str">
        <x:v>分层主动学习与材料发现</x:v>
      </x:c>
      <x:c r="F15" s="28" t="str">
        <x:v>https://www.science.org/doi/10.1126/sciadv.abg4930</x:v>
      </x:c>
    </x:row>
    <x:row r="16" ht="42" customHeight="1">
      <x:c r="A16" s="64" t="str">
        <x:v>S15</x:v>
      </x:c>
      <x:c r="B16" s="28" t="str">
        <x:v>On-the-fly closed-loop materials discovery via Bayesian active learning</x:v>
      </x:c>
      <x:c r="C16" s="28" t="str">
        <x:v>2020</x:v>
      </x:c>
      <x:c r="D16" s="28" t="str">
        <x:v>方法/系统论文</x:v>
      </x:c>
      <x:c r="E16" s="28" t="str">
        <x:v>在线贝叶斯主动学习闭环</x:v>
      </x:c>
      <x:c r="F16" s="28" t="str">
        <x:v>https://www.nature.com/articles/s41467-020-19597-w</x:v>
      </x:c>
    </x:row>
    <x:row r="17" ht="42" customHeight="1">
      <x:c r="A17" s="64" t="str">
        <x:v>S16</x:v>
      </x:c>
      <x:c r="B17" s="28" t="str">
        <x:v>Autonomous discovery of multi-property molecules</x:v>
      </x:c>
      <x:c r="C17" s="28" t="str">
        <x:v>2023</x:v>
      </x:c>
      <x:c r="D17" s="28" t="str">
        <x:v>系统论文</x:v>
      </x:c>
      <x:c r="E17" s="28" t="str">
        <x:v>多属性分子发现与闭环筛选</x:v>
      </x:c>
      <x:c r="F17" s="28" t="str">
        <x:v>https://www.science.org/doi/10.1126/science.adi1407</x:v>
      </x:c>
    </x:row>
    <x:row r="18" ht="42" customHeight="1">
      <x:c r="A18" s="64" t="str">
        <x:v>S17</x:v>
      </x:c>
      <x:c r="B18" s="28" t="str">
        <x:v>An artificial intelligence-driven robotic chemist for autonomous synthesis</x:v>
      </x:c>
      <x:c r="C18" s="28" t="str">
        <x:v>2023</x:v>
      </x:c>
      <x:c r="D18" s="28" t="str">
        <x:v>系统论文</x:v>
      </x:c>
      <x:c r="E18" s="28" t="str">
        <x:v>机器人化学家与自主合成</x:v>
      </x:c>
      <x:c r="F18" s="28" t="str">
        <x:v>https://www.science.org/doi/10.1126/sciadv.adj0461</x:v>
      </x:c>
    </x:row>
    <x:row r="19" ht="42" customHeight="1">
      <x:c r="A19" s="64" t="str">
        <x:v>S18</x:v>
      </x:c>
      <x:c r="B19" s="28" t="str">
        <x:v>Polybot: a polymer self-driving laboratory</x:v>
      </x:c>
      <x:c r="C19" s="28" t="str">
        <x:v>2025</x:v>
      </x:c>
      <x:c r="D19" s="28" t="str">
        <x:v>系统论文</x:v>
      </x:c>
      <x:c r="E19" s="28" t="str">
        <x:v>聚合物合成和表征自动闭环</x:v>
      </x:c>
      <x:c r="F19" s="28" t="str">
        <x:v>https://www.nature.com/articles/s41467-024-55655-3</x:v>
      </x:c>
    </x:row>
    <x:row r="20" ht="42" customHeight="1">
      <x:c r="A20" s="64" t="str">
        <x:v>S19</x:v>
      </x:c>
      <x:c r="B20" s="28" t="str">
        <x:v>An autonomous platform for electrochemical discovery</x:v>
      </x:c>
      <x:c r="C20" s="28" t="str">
        <x:v>2024</x:v>
      </x:c>
      <x:c r="D20" s="28" t="str">
        <x:v>系统论文</x:v>
      </x:c>
      <x:c r="E20" s="28" t="str">
        <x:v>电化学闭环、控制与多目标优化</x:v>
      </x:c>
      <x:c r="F20" s="28" t="str">
        <x:v>https://www.nature.com/articles/s41467-024-47210-x</x:v>
      </x:c>
    </x:row>
    <x:row r="21" ht="42" customHeight="1">
      <x:c r="A21" s="64" t="str">
        <x:v>S20</x:v>
      </x:c>
      <x:c r="B21" s="28" t="str">
        <x:v>Closing the experiment–theory loop in real time</x:v>
      </x:c>
      <x:c r="C21" s="28" t="str">
        <x:v>2025</x:v>
      </x:c>
      <x:c r="D21" s="28" t="str">
        <x:v>系统论文</x:v>
      </x:c>
      <x:c r="E21" s="28" t="str">
        <x:v>理论—实验实时闭环</x:v>
      </x:c>
      <x:c r="F21" s="28" t="str">
        <x:v>https://www.science.org/doi/10.1126/sciadv.adu7426</x:v>
      </x:c>
    </x:row>
    <x:row r="22" ht="42" customHeight="1">
      <x:c r="A22" s="64" t="str">
        <x:v>S21</x:v>
      </x:c>
      <x:c r="B22" s="28" t="str">
        <x:v>BoTorch: A framework for efficient Monte-Carlo Bayesian optimization</x:v>
      </x:c>
      <x:c r="C22" s="28" t="str">
        <x:v>2020</x:v>
      </x:c>
      <x:c r="D22" s="28" t="str">
        <x:v>算法/软件</x:v>
      </x:c>
      <x:c r="E22" s="28" t="str">
        <x:v>现代贝叶斯优化与批量采集函数</x:v>
      </x:c>
      <x:c r="F22" s="28" t="str">
        <x:v>https://proceedings.neurips.cc/paper_files/paper/2020/file/f5b1b89d98b7286673128a5fb112cb9a-Paper.pdf</x:v>
      </x:c>
    </x:row>
    <x:row r="23" ht="42" customHeight="1">
      <x:c r="A23" s="64" t="str">
        <x:v>S22</x:v>
      </x:c>
      <x:c r="B23" s="28" t="str">
        <x:v>NIST/SEMATECH e-Handbook of Statistical Methods</x:v>
      </x:c>
      <x:c r="C23" s="28" t="str">
        <x:v>持续维护</x:v>
      </x:c>
      <x:c r="D23" s="28" t="str">
        <x:v>官方手册</x:v>
      </x:c>
      <x:c r="E23" s="28" t="str">
        <x:v>DOE、响应面、统计过程与计量方法</x:v>
      </x:c>
      <x:c r="F23" s="28" t="str">
        <x:v>https://www.itl.nist.gov/div898/handbook/</x:v>
      </x:c>
    </x:row>
    <x:row r="24" ht="42" customHeight="1">
      <x:c r="A24" s="64" t="str">
        <x:v>S23</x:v>
      </x:c>
      <x:c r="B24" s="28" t="str">
        <x:v>The FAIR Guiding Principles for scientific data management and stewardship</x:v>
      </x:c>
      <x:c r="C24" s="28" t="str">
        <x:v>2016</x:v>
      </x:c>
      <x:c r="D24" s="28" t="str">
        <x:v>原则/标准</x:v>
      </x:c>
      <x:c r="E24" s="28" t="str">
        <x:v>FAIR科学数据原则</x:v>
      </x:c>
      <x:c r="F24" s="28" t="str">
        <x:v>https://www.nature.com/articles/sdata201618</x:v>
      </x:c>
    </x:row>
    <x:row r="25" ht="42" customHeight="1">
      <x:c r="A25" s="64" t="str">
        <x:v>S24</x:v>
      </x:c>
      <x:c r="B25" s="28" t="str">
        <x:v>W3C PROV-O</x:v>
      </x:c>
      <x:c r="C25" s="28" t="str">
        <x:v>2013</x:v>
      </x:c>
      <x:c r="D25" s="28" t="str">
        <x:v>标准</x:v>
      </x:c>
      <x:c r="E25" s="28" t="str">
        <x:v>通用数据溯源本体</x:v>
      </x:c>
      <x:c r="F25" s="28" t="str">
        <x:v>https://www.w3.org/TR/prov-o/</x:v>
      </x:c>
    </x:row>
    <x:row r="26" ht="42" customHeight="1">
      <x:c r="A26" s="64" t="str">
        <x:v>S25</x:v>
      </x:c>
      <x:c r="B26" s="28" t="str">
        <x:v>RO-Crate Specification</x:v>
      </x:c>
      <x:c r="C26" s="28" t="str">
        <x:v>2021–</x:v>
      </x:c>
      <x:c r="D26" s="28" t="str">
        <x:v>标准</x:v>
      </x:c>
      <x:c r="E26" s="28" t="str">
        <x:v>可移植研究对象、元数据和溯源封装</x:v>
      </x:c>
      <x:c r="F26" s="28" t="str">
        <x:v>https://www.researchobject.org/ro-crate/specification/1.1/provenance.html</x:v>
      </x:c>
    </x:row>
    <x:row r="27" ht="42" customHeight="1">
      <x:c r="A27" s="64" t="str">
        <x:v>S26</x:v>
      </x:c>
      <x:c r="B27" s="28" t="str">
        <x:v>SiLA 2 Standard</x:v>
      </x:c>
      <x:c r="C27" s="28" t="str">
        <x:v>持续维护</x:v>
      </x:c>
      <x:c r="D27" s="28" t="str">
        <x:v>行业标准</x:v>
      </x:c>
      <x:c r="E27" s="28" t="str">
        <x:v>实验室设备通信与能力接口</x:v>
      </x:c>
      <x:c r="F27" s="28" t="str">
        <x:v>https://sila-standard.com/standards/</x:v>
      </x:c>
    </x:row>
    <x:row r="28" ht="42" customHeight="1">
      <x:c r="A28" s="64" t="str">
        <x:v>S27</x:v>
      </x:c>
      <x:c r="B28" s="28" t="str">
        <x:v>Allotrope Foundation</x:v>
      </x:c>
      <x:c r="C28" s="28" t="str">
        <x:v>持续维护</x:v>
      </x:c>
      <x:c r="D28" s="28" t="str">
        <x:v>行业标准</x:v>
      </x:c>
      <x:c r="E28" s="28" t="str">
        <x:v>分析数据格式、数据模型与本体</x:v>
      </x:c>
      <x:c r="F28" s="28" t="str">
        <x:v>https://www.allotrope.org/</x:v>
      </x:c>
    </x:row>
    <x:row r="29" ht="42" customHeight="1">
      <x:c r="A29" s="64" t="str">
        <x:v>S28</x:v>
      </x:c>
      <x:c r="B29" s="28" t="str">
        <x:v>AnIML</x:v>
      </x:c>
      <x:c r="C29" s="28" t="str">
        <x:v>持续维护</x:v>
      </x:c>
      <x:c r="D29" s="28" t="str">
        <x:v>行业标准</x:v>
      </x:c>
      <x:c r="E29" s="28" t="str">
        <x:v>分析仪器数据的XML标准</x:v>
      </x:c>
      <x:c r="F29" s="28" t="str">
        <x:v>https://www.animl.org/</x:v>
      </x:c>
    </x:row>
    <x:row r="30" ht="42" customHeight="1">
      <x:c r="A30" s="64" t="str">
        <x:v>S29</x:v>
      </x:c>
      <x:c r="B30" s="28" t="str">
        <x:v>ISA-88 Batch Control Standards</x:v>
      </x:c>
      <x:c r="C30" s="28" t="str">
        <x:v>持续维护</x:v>
      </x:c>
      <x:c r="D30" s="28" t="str">
        <x:v>行业标准</x:v>
      </x:c>
      <x:c r="E30" s="28" t="str">
        <x:v>批过程、配方与设备模型</x:v>
      </x:c>
      <x:c r="F30" s="28" t="str">
        <x:v>https://www.isa.org/standards-and-publications/isa-standards/isa-88-standards</x:v>
      </x:c>
    </x:row>
    <x:row r="31" ht="42" customHeight="1">
      <x:c r="A31" s="64" t="str">
        <x:v>S30</x:v>
      </x:c>
      <x:c r="B31" s="28" t="str">
        <x:v>OPC UA for ISA-95 Common Object Model</x:v>
      </x:c>
      <x:c r="C31" s="28" t="str">
        <x:v>持续维护</x:v>
      </x:c>
      <x:c r="D31" s="28" t="str">
        <x:v>行业标准</x:v>
      </x:c>
      <x:c r="E31" s="28" t="str">
        <x:v>OT/制造层级语义与互操作</x:v>
      </x:c>
      <x:c r="F31" s="28" t="str">
        <x:v>https://reference.opcfoundation.org/specs/OPC-10030/4/</x:v>
      </x:c>
    </x:row>
    <x:row r="32" ht="42" customHeight="1">
      <x:c r="A32" s="64" t="str">
        <x:v>S31</x:v>
      </x:c>
      <x:c r="B32" s="28" t="str">
        <x:v>ReAct: Synergizing reasoning and acting in language models</x:v>
      </x:c>
      <x:c r="C32" s="28" t="str">
        <x:v>2023</x:v>
      </x:c>
      <x:c r="D32" s="28" t="str">
        <x:v>Agent论文</x:v>
      </x:c>
      <x:c r="E32" s="28" t="str">
        <x:v>交织推理、动作与环境反馈</x:v>
      </x:c>
      <x:c r="F32" s="28" t="str">
        <x:v>https://openreview.net/forum?id=WE_vluYUL-X</x:v>
      </x:c>
    </x:row>
    <x:row r="33" ht="42" customHeight="1">
      <x:c r="A33" s="64" t="str">
        <x:v>S32</x:v>
      </x:c>
      <x:c r="B33" s="28" t="str">
        <x:v>Toolformer: Language Models Can Teach Themselves to Use Tools</x:v>
      </x:c>
      <x:c r="C33" s="28" t="str">
        <x:v>2023</x:v>
      </x:c>
      <x:c r="D33" s="28" t="str">
        <x:v>Agent论文</x:v>
      </x:c>
      <x:c r="E33" s="28" t="str">
        <x:v>工具选择与自监督工具调用</x:v>
      </x:c>
      <x:c r="F33" s="28" t="str">
        <x:v>https://arxiv.org/abs/2302.04761</x:v>
      </x:c>
    </x:row>
    <x:row r="34" ht="42" customHeight="1">
      <x:c r="A34" s="64" t="str">
        <x:v>S33</x:v>
      </x:c>
      <x:c r="B34" s="28" t="str">
        <x:v>Reflexion: Language Agents with Verbal Reinforcement Learning</x:v>
      </x:c>
      <x:c r="C34" s="28" t="str">
        <x:v>2023</x:v>
      </x:c>
      <x:c r="D34" s="28" t="str">
        <x:v>Agent论文</x:v>
      </x:c>
      <x:c r="E34" s="28" t="str">
        <x:v>反思、经验记忆和自我改进</x:v>
      </x:c>
      <x:c r="F34" s="28" t="str">
        <x:v>https://arxiv.org/abs/2303.11366</x:v>
      </x:c>
    </x:row>
    <x:row r="35" ht="42" customHeight="1">
      <x:c r="A35" s="64" t="str">
        <x:v>S34</x:v>
      </x:c>
      <x:c r="B35" s="28" t="str">
        <x:v>ChemCrow: Augmenting large-language models with chemistry tools</x:v>
      </x:c>
      <x:c r="C35" s="28" t="str">
        <x:v>2024</x:v>
      </x:c>
      <x:c r="D35" s="28" t="str">
        <x:v>科学Agent论文</x:v>
      </x:c>
      <x:c r="E35" s="28" t="str">
        <x:v>化学工具接地、规划与验证</x:v>
      </x:c>
      <x:c r="F35" s="28" t="str">
        <x:v>https://www.nature.com/articles/s42256-024-00832-8</x:v>
      </x:c>
    </x:row>
    <x:row r="36" ht="42" customHeight="1">
      <x:c r="A36" s="64" t="str">
        <x:v>S35</x:v>
      </x:c>
      <x:c r="B36" s="28" t="str">
        <x:v>CRISPR-GPT: an LLM agent for automated design of gene-editing experiments</x:v>
      </x:c>
      <x:c r="C36" s="28" t="str">
        <x:v>2025</x:v>
      </x:c>
      <x:c r="D36" s="28" t="str">
        <x:v>科学Agent论文</x:v>
      </x:c>
      <x:c r="E36" s="28" t="str">
        <x:v>生物实验设计与多角色智能体</x:v>
      </x:c>
      <x:c r="F36" s="28" t="str">
        <x:v>https://www.nature.com/articles/s41551-025-01463-z</x:v>
      </x:c>
    </x:row>
    <x:row r="37" ht="42" customHeight="1">
      <x:c r="A37" s="64" t="str">
        <x:v>S36</x:v>
      </x:c>
      <x:c r="B37" s="28" t="str">
        <x:v>MatSciAgent: a multi-agent system for materials science</x:v>
      </x:c>
      <x:c r="C37" s="28" t="str">
        <x:v>2025</x:v>
      </x:c>
      <x:c r="D37" s="28" t="str">
        <x:v>科学Agent论文</x:v>
      </x:c>
      <x:c r="E37" s="28" t="str">
        <x:v>材料科学多Agent研究流程</x:v>
      </x:c>
      <x:c r="F37" s="28" t="str">
        <x:v>https://www.nature.com/articles/s43246-025-00994-x</x:v>
      </x:c>
    </x:row>
    <x:row r="38" ht="42" customHeight="1">
      <x:c r="A38" s="64" t="str">
        <x:v>S37</x:v>
      </x:c>
      <x:c r="B38" s="28" t="str">
        <x:v>Model Context Protocol documentation</x:v>
      </x:c>
      <x:c r="C38" s="28" t="str">
        <x:v>持续维护</x:v>
      </x:c>
      <x:c r="D38" s="28" t="str">
        <x:v>协议</x:v>
      </x:c>
      <x:c r="E38" s="28" t="str">
        <x:v>模型与工具/数据源互联协议</x:v>
      </x:c>
      <x:c r="F38" s="28" t="str">
        <x:v>https://modelcontextprotocol.io/docs/getting-started/intro</x:v>
      </x:c>
    </x:row>
    <x:row r="39" ht="42" customHeight="1">
      <x:c r="A39" s="64" t="str">
        <x:v>S38</x:v>
      </x:c>
      <x:c r="B39" s="28" t="str">
        <x:v>Agent2Agent Protocol specification</x:v>
      </x:c>
      <x:c r="C39" s="28" t="str">
        <x:v>持续维护</x:v>
      </x:c>
      <x:c r="D39" s="28" t="str">
        <x:v>协议</x:v>
      </x:c>
      <x:c r="E39" s="28" t="str">
        <x:v>异构智能体间发现、任务和消息互联</x:v>
      </x:c>
      <x:c r="F39" s="28" t="str">
        <x:v>https://a2aproject.github.io/A2A/latest/</x:v>
      </x:c>
    </x:row>
    <x:row r="40" ht="42" customHeight="1">
      <x:c r="A40" s="64" t="str">
        <x:v>S39</x:v>
      </x:c>
      <x:c r="B40" s="28" t="str">
        <x:v>OpenAI Agents guide</x:v>
      </x:c>
      <x:c r="C40" s="28" t="str">
        <x:v>持续维护</x:v>
      </x:c>
      <x:c r="D40" s="28" t="str">
        <x:v>官方文档</x:v>
      </x:c>
      <x:c r="E40" s="28" t="str">
        <x:v>Agent工具、交接、护栏与追踪</x:v>
      </x:c>
      <x:c r="F40" s="28" t="str">
        <x:v>https://developers.openai.com/api/docs/guides/agents</x:v>
      </x:c>
    </x:row>
    <x:row r="41" ht="42" customHeight="1">
      <x:c r="A41" s="64" t="str">
        <x:v>S40</x:v>
      </x:c>
      <x:c r="B41" s="28" t="str">
        <x:v>Highly accurate protein structure prediction with AlphaFold</x:v>
      </x:c>
      <x:c r="C41" s="28" t="str">
        <x:v>2021</x:v>
      </x:c>
      <x:c r="D41" s="28" t="str">
        <x:v>科学AI论文</x:v>
      </x:c>
      <x:c r="E41" s="28" t="str">
        <x:v>蛋白质结构科学基础模型</x:v>
      </x:c>
      <x:c r="F41" s="28" t="str">
        <x:v>https://www.nature.com/articles/s41586-021-03819-2</x:v>
      </x:c>
    </x:row>
    <x:row r="42" ht="42" customHeight="1">
      <x:c r="A42" s="64" t="str">
        <x:v>S41</x:v>
      </x:c>
      <x:c r="B42" s="28" t="str">
        <x:v>Scaling deep learning for materials discovery (GNoME)</x:v>
      </x:c>
      <x:c r="C42" s="28" t="str">
        <x:v>2023</x:v>
      </x:c>
      <x:c r="D42" s="28" t="str">
        <x:v>科学AI论文</x:v>
      </x:c>
      <x:c r="E42" s="28" t="str">
        <x:v>大规模晶体材料发现与图网络</x:v>
      </x:c>
      <x:c r="F42" s="28" t="str">
        <x:v>https://www.nature.com/articles/s41586-023-06735-9</x:v>
      </x:c>
    </x:row>
    <x:row r="43" ht="42" customHeight="1">
      <x:c r="A43" s="64" t="str">
        <x:v>S42</x:v>
      </x:c>
      <x:c r="B43" s="28" t="str">
        <x:v>Graph neural networks for materials science and chemistry</x:v>
      </x:c>
      <x:c r="C43" s="28" t="str">
        <x:v>2022</x:v>
      </x:c>
      <x:c r="D43" s="28" t="str">
        <x:v>综述</x:v>
      </x:c>
      <x:c r="E43" s="28" t="str">
        <x:v>材料图网络与表示学习</x:v>
      </x:c>
      <x:c r="F43" s="28" t="str">
        <x:v>https://www.nature.com/articles/s43246-022-00315-6</x:v>
      </x:c>
    </x:row>
    <x:row r="44" ht="42" customHeight="1">
      <x:c r="A44" s="64" t="str">
        <x:v>S43</x:v>
      </x:c>
      <x:c r="B44" s="28" t="str">
        <x:v>Physics-informed neural networks</x:v>
      </x:c>
      <x:c r="C44" s="28" t="str">
        <x:v>2017/2019</x:v>
      </x:c>
      <x:c r="D44" s="28" t="str">
        <x:v>方法论文</x:v>
      </x:c>
      <x:c r="E44" s="28" t="str">
        <x:v>PINN、方程约束与逆问题</x:v>
      </x:c>
      <x:c r="F44" s="28" t="str">
        <x:v>https://arxiv.org/abs/1711.10561</x:v>
      </x:c>
    </x:row>
    <x:row r="45" ht="42" customHeight="1">
      <x:c r="A45" s="64" t="str">
        <x:v>S44</x:v>
      </x:c>
      <x:c r="B45" s="28" t="str">
        <x:v>NIST Digital Twins</x:v>
      </x:c>
      <x:c r="C45" s="28" t="str">
        <x:v>持续维护</x:v>
      </x:c>
      <x:c r="D45" s="28" t="str">
        <x:v>官方资源</x:v>
      </x:c>
      <x:c r="E45" s="28" t="str">
        <x:v>数字孪生基础、测量和标准</x:v>
      </x:c>
      <x:c r="F45" s="28" t="str">
        <x:v>https://www.nist.gov/digital-twins</x:v>
      </x:c>
    </x:row>
    <x:row r="46" ht="42" customHeight="1">
      <x:c r="A46" s="64" t="str">
        <x:v>S45</x:v>
      </x:c>
      <x:c r="B46" s="28" t="str">
        <x:v>A Gentle Introduction to Conformal Prediction and Distribution-Free Uncertainty Quantification</x:v>
      </x:c>
      <x:c r="C46" s="28" t="str">
        <x:v>2021</x:v>
      </x:c>
      <x:c r="D46" s="28" t="str">
        <x:v>方法综述</x:v>
      </x:c>
      <x:c r="E46" s="28" t="str">
        <x:v>分布无关区间与校准不确定性</x:v>
      </x:c>
      <x:c r="F46" s="28" t="str">
        <x:v>https://arxiv.org/abs/2107.07511</x:v>
      </x:c>
    </x:row>
    <x:row r="47" ht="42" customHeight="1">
      <x:c r="A47" s="64" t="str">
        <x:v>S46</x:v>
      </x:c>
      <x:c r="B47" s="28" t="str">
        <x:v>The risks of AI scientists</x:v>
      </x:c>
      <x:c r="C47" s="28" t="str">
        <x:v>2025</x:v>
      </x:c>
      <x:c r="D47" s="28" t="str">
        <x:v>治理论文</x:v>
      </x:c>
      <x:c r="E47" s="28" t="str">
        <x:v>自主科学AI的风险与治理</x:v>
      </x:c>
      <x:c r="F47" s="28" t="str">
        <x:v>https://www.nature.com/articles/s41467-025-63913-1</x:v>
      </x:c>
    </x:row>
    <x:row r="48" ht="42" customHeight="1">
      <x:c r="A48" s="64" t="str">
        <x:v>S47</x:v>
      </x:c>
      <x:c r="B48" s="28" t="str">
        <x:v>NIST AI Risk Management Framework</x:v>
      </x:c>
      <x:c r="C48" s="28" t="str">
        <x:v>持续维护</x:v>
      </x:c>
      <x:c r="D48" s="28" t="str">
        <x:v>官方框架</x:v>
      </x:c>
      <x:c r="E48" s="28" t="str">
        <x:v>AI风险治理、测量与管理</x:v>
      </x:c>
      <x:c r="F48" s="28" t="str">
        <x:v>https://www.nist.gov/itl/ai-risk-management-framework</x:v>
      </x:c>
    </x:row>
    <x:row r="49" ht="42" customHeight="1">
      <x:c r="A49" s="64" t="str">
        <x:v>S48</x:v>
      </x:c>
      <x:c r="B49" s="28" t="str">
        <x:v>NIST Cybersecurity Framework</x:v>
      </x:c>
      <x:c r="C49" s="28" t="str">
        <x:v>持续维护</x:v>
      </x:c>
      <x:c r="D49" s="28" t="str">
        <x:v>官方框架</x:v>
      </x:c>
      <x:c r="E49" s="28" t="str">
        <x:v>网络安全治理与风险管理</x:v>
      </x:c>
      <x:c r="F49" s="28" t="str">
        <x:v>https://www.nist.gov/cyberframework</x:v>
      </x:c>
    </x:row>
    <x:row r="50" ht="42" customHeight="1">
      <x:c r="A50" s="64" t="str">
        <x:v>S49</x:v>
      </x:c>
      <x:c r="B50" s="28" t="str">
        <x:v>NIST SP 800-82 Rev. 3: Guide to Operational Technology Security</x:v>
      </x:c>
      <x:c r="C50" s="28" t="str">
        <x:v>2023</x:v>
      </x:c>
      <x:c r="D50" s="28" t="str">
        <x:v>官方指南</x:v>
      </x:c>
      <x:c r="E50" s="28" t="str">
        <x:v>工业控制与OT安全</x:v>
      </x:c>
      <x:c r="F50" s="28" t="str">
        <x:v>https://csrc.nist.gov/pubs/sp/800/82/r3/final</x:v>
      </x:c>
    </x:row>
    <x:row r="51" ht="42" customHeight="1">
      <x:c r="A51" s="64" t="str">
        <x:v>S50</x:v>
      </x:c>
      <x:c r="B51" s="28" t="str">
        <x:v>OSHA 29 CFR 1910.1450: Occupational exposure to hazardous chemicals in laboratories</x:v>
      </x:c>
      <x:c r="C51" s="28" t="str">
        <x:v>持续维护</x:v>
      </x:c>
      <x:c r="D51" s="28" t="str">
        <x:v>法规/标准</x:v>
      </x:c>
      <x:c r="E51" s="28" t="str">
        <x:v>实验室化学安全与化学卫生计划</x:v>
      </x:c>
      <x:c r="F51" s="28" t="str">
        <x:v>https://www.osha.gov/laws-regs/regulations/standardnumber/1910/1910.1450</x:v>
      </x:c>
    </x:row>
    <x:row r="52" ht="42" customHeight="1">
      <x:c r="A52" s="64" t="str">
        <x:v>S51</x:v>
      </x:c>
      <x:c r="B52" s="28" t="str">
        <x:v>FDA Part 11: Electronic Records; Electronic Signatures — Scope and Application</x:v>
      </x:c>
      <x:c r="C52" s="28" t="str">
        <x:v>持续维护</x:v>
      </x:c>
      <x:c r="D52" s="28" t="str">
        <x:v>监管指南</x:v>
      </x:c>
      <x:c r="E52" s="28" t="str">
        <x:v>电子记录、签名和审计追踪</x:v>
      </x:c>
      <x:c r="F52" s="28" t="str">
        <x:v>https://www.fda.gov/regulatory-information/search-fda-guidance-documents/part-11-electronic-records-electronic-signatures-scope-and-application</x:v>
      </x:c>
    </x:row>
    <x:row r="53" ht="42" customHeight="1">
      <x:c r="A53" s="64" t="str">
        <x:v>S52</x:v>
      </x:c>
      <x:c r="B53" s="28" t="str">
        <x:v>LIRA: a vision–language module for autonomous laboratory anomaly reasoning</x:v>
      </x:c>
      <x:c r="C53" s="28" t="str">
        <x:v>2025</x:v>
      </x:c>
      <x:c r="D53" s="28" t="str">
        <x:v>系统论文</x:v>
      </x:c>
      <x:c r="E53" s="28" t="str">
        <x:v>多模态实验异常检测与推理</x:v>
      </x:c>
      <x:c r="F53" s="28" t="str">
        <x:v>https://www.nature.com/articles/s42004-025-01770-1</x:v>
      </x:c>
    </x:row>
    <x:row r="54" ht="42" customHeight="1">
      <x:c r="A54" s="64" t="str">
        <x:v>S53</x:v>
      </x:c>
      <x:c r="B54" s="28" t="str">
        <x:v>A visual anomaly dataset for autonomous laboratories</x:v>
      </x:c>
      <x:c r="C54" s="28" t="str">
        <x:v>2025</x:v>
      </x:c>
      <x:c r="D54" s="28" t="str">
        <x:v>数据集论文</x:v>
      </x:c>
      <x:c r="E54" s="28" t="str">
        <x:v>实验视觉异常基准数据</x:v>
      </x:c>
      <x:c r="F54" s="28" t="str">
        <x:v>https://www.nature.com/articles/s41597-025-06060-y</x:v>
      </x:c>
    </x:row>
    <x:row r="55" ht="42" customHeight="1">
      <x:c r="A55" s="64" t="str">
        <x:v>S54</x:v>
      </x:c>
      <x:c r="B55" s="28" t="str">
        <x:v>A multi-agent robotic AI chemist for autonomous synthesis</x:v>
      </x:c>
      <x:c r="C55" s="28" t="str">
        <x:v>2025</x:v>
      </x:c>
      <x:c r="D55" s="28" t="str">
        <x:v>系统论文</x:v>
      </x:c>
      <x:c r="E55" s="28" t="str">
        <x:v>多Agent协同机器人化学</x:v>
      </x:c>
      <x:c r="F55" s="28" t="str">
        <x:v>https://pubs.acs.org/doi/10.1021/jacs.4c17738</x:v>
      </x:c>
    </x:row>
    <x:row r="56" ht="42" customHeight="1">
      <x:c r="A56" s="64" t="str">
        <x:v>S55</x:v>
      </x:c>
      <x:c r="B56" s="28" t="str">
        <x:v>中国科学院ScienceOne科学基础模型平台</x:v>
      </x:c>
      <x:c r="C56" s="28" t="str">
        <x:v>2025</x:v>
      </x:c>
      <x:c r="D56" s="28" t="str">
        <x:v>官方案例</x:v>
      </x:c>
      <x:c r="E56" s="28" t="str">
        <x:v>科学基础模型与AI for Science平台</x:v>
      </x:c>
      <x:c r="F56" s="28" t="str">
        <x:v>https://www.cas.cn/syky/202504/t20250430_5067082.shtml</x:v>
      </x:c>
    </x:row>
    <x:row r="57" ht="42" customHeight="1">
      <x:c r="A57" s="64" t="str">
        <x:v>S56</x:v>
      </x:c>
      <x:c r="B57" s="28" t="str">
        <x:v>北京市“AI+黑灯实验室”建设进展</x:v>
      </x:c>
      <x:c r="C57" s="28" t="str">
        <x:v>2026</x:v>
      </x:c>
      <x:c r="D57" s="28" t="str">
        <x:v>官方案例</x:v>
      </x:c>
      <x:c r="E57" s="28" t="str">
        <x:v>中国黑灯实验室政策与落地场景</x:v>
      </x:c>
      <x:c r="F57" s="28" t="str">
        <x:v>https://www.ncsti.gov.cn/kjdt/xwjj/202605/t20260529_248227.html</x:v>
      </x:c>
    </x:row>
    <x:row r="58" ht="42" customHeight="1">
      <x:c r="A58" s="64" t="str">
        <x:v>S57</x:v>
      </x:c>
      <x:c r="B58" s="28" t="str">
        <x:v>走进黑灯实验室：科研智能化观察</x:v>
      </x:c>
      <x:c r="C58" s="28" t="str">
        <x:v>2026</x:v>
      </x:c>
      <x:c r="D58" s="28" t="str">
        <x:v>权威媒体案例</x:v>
      </x:c>
      <x:c r="E58" s="28" t="str">
        <x:v>无人值守实验室与AI科研实践</x:v>
      </x:c>
      <x:c r="F58" s="28" t="str">
        <x:v>https://www.news.cn/liangzi/20260615/1c23f0f7879e40c281f66976547304cb/c.html</x:v>
      </x:c>
    </x:row>
    <x:row r="59" ht="42" customHeight="1">
      <x:c r="A59" s="64" t="str">
        <x:v>S58</x:v>
      </x:c>
      <x:c r="B59" s="28" t="str">
        <x:v>Transforming laboratories into factories of discovery</x:v>
      </x:c>
      <x:c r="C59" s="28" t="str">
        <x:v>2024</x:v>
      </x:c>
      <x:c r="D59" s="28" t="str">
        <x:v>观点/综述</x:v>
      </x:c>
      <x:c r="E59" s="28" t="str">
        <x:v>实验室工业化、标准化与规模化</x:v>
      </x:c>
      <x:c r="F59" s="28" t="str">
        <x:v>https://www.science.org/doi/10.1126/scirobotics.adm6991</x:v>
      </x:c>
    </x:row>
    <x:row r="60" ht="42" customHeight="1">
      <x:c r="A60" s="64" t="str">
        <x:v>S59</x:v>
      </x:c>
      <x:c r="B60" s="28" t="str">
        <x:v>Translating natural-language experimental protocols into machine-executable instructions</x:v>
      </x:c>
      <x:c r="C60" s="28" t="str">
        <x:v>2024</x:v>
      </x:c>
      <x:c r="D60" s="28" t="str">
        <x:v>方法论文</x:v>
      </x:c>
      <x:c r="E60" s="28" t="str">
        <x:v>自然语言SOP到执行协议</x:v>
      </x:c>
      <x:c r="F60" s="28" t="str">
        <x:v>https://arxiv.org/abs/2411.00444</x:v>
      </x:c>
    </x:row>
    <x:row r="61" ht="42" customHeight="1">
      <x:c r="A61" s="64" t="str">
        <x:v>S60</x:v>
      </x:c>
      <x:c r="B61" s="28" t="str">
        <x:v>Self-driving laboratories as a means to accelerate discovery and broaden access</x:v>
      </x:c>
      <x:c r="C61" s="28" t="str">
        <x:v>2025</x:v>
      </x:c>
      <x:c r="D61" s="28" t="str">
        <x:v>观点/分析</x:v>
      </x:c>
      <x:c r="E61" s="28" t="str">
        <x:v>科研加速、可及性与制度影响</x:v>
      </x:c>
      <x:c r="F61" s="28" t="str">
        <x:v>https://www.nature.com/articles/s41467-025-59231-1</x:v>
      </x:c>
    </x:row>
    <x:row r="62" ht="42" customHeight="1">
      <x:c r="A62" s="64" t="str">
        <x:v>S61</x:v>
      </x:c>
      <x:c r="B62" s="28" t="str">
        <x:v>RoboChem-Flex: flexible robotic chemistry automation</x:v>
      </x:c>
      <x:c r="C62" s="28" t="str">
        <x:v>2026</x:v>
      </x:c>
      <x:c r="D62" s="28" t="str">
        <x:v>系统论文</x:v>
      </x:c>
      <x:c r="E62" s="28" t="str">
        <x:v>柔性机器人实验自动化</x:v>
      </x:c>
      <x:c r="F62" s="28" t="str">
        <x:v>https://www.nature.com/articles/s44160-026-01053-0</x:v>
      </x:c>
    </x:row>
    <x:row r="63" ht="42" customHeight="1">
      <x:c r="A63" s="64" t="str">
        <x:v>S62</x:v>
      </x:c>
      <x:c r="B63" s="28" t="str">
        <x:v>具身智能综述与关键技术</x:v>
      </x:c>
      <x:c r="C63" s="28" t="str">
        <x:v>2024/2025</x:v>
      </x:c>
      <x:c r="D63" s="28" t="str">
        <x:v>中文综述</x:v>
      </x:c>
      <x:c r="E63" s="28" t="str">
        <x:v>感知—决策—控制与具身系统</x:v>
      </x:c>
      <x:c r="F63" s="28" t="str">
        <x:v>https://www.aas.net.cn/cn/article/doi/10.16383/j.aas.c240364?viewType=HTML</x:v>
      </x:c>
    </x:row>
    <x:row r="64" ht="42" customHeight="1">
      <x:c r="A64" s="64" t="str">
        <x:v>S63</x:v>
      </x:c>
      <x:c r="B64" s="28" t="str">
        <x:v>北京黑灯实验室：AI、机器人、物联网和大数据驱动7×24小时运行</x:v>
      </x:c>
      <x:c r="C64" s="28" t="str">
        <x:v>2026</x:v>
      </x:c>
      <x:c r="D64" s="28" t="str">
        <x:v>官方定义/案例</x:v>
      </x:c>
      <x:c r="E64" s="28" t="str">
        <x:v>黑灯实验室定义与技术组合</x:v>
      </x:c>
      <x:c r="F64" s="28" t="str">
        <x:v>https://www.ncsti.gov.cn/kjdt/xwjj/202605/t20260526_247828.html</x:v>
      </x:c>
    </x:row>
    <x:row r="65" ht="42" customHeight="1">
      <x:c r="A65" s="64" t="str">
        <x:v>S64</x:v>
      </x:c>
      <x:c r="B65" s="28" t="str">
        <x:v>Challenges and opportunities for establishing self-driving laboratories</x:v>
      </x:c>
      <x:c r="C65" s="28" t="str">
        <x:v>2022</x:v>
      </x:c>
      <x:c r="D65" s="28" t="str">
        <x:v>观点/综述</x:v>
      </x:c>
      <x:c r="E65" s="28" t="str">
        <x:v>SDL落地的技术、组织与标准挑战</x:v>
      </x:c>
      <x:c r="F65" s="28" t="str">
        <x:v>https://pubs.acs.org/doi/10.1021/acs.accounts.2c00220</x:v>
      </x:c>
    </x:row>
    <x:row r="66" ht="42" customHeight="1">
      <x:c r="A66" s="64" t="str">
        <x:v>S65</x:v>
      </x:c>
      <x:c r="B66" s="28" t="str">
        <x:v>AILA: an AI laboratory agent for autonomous functional materials research</x:v>
      </x:c>
      <x:c r="C66" s="28" t="str">
        <x:v>2025</x:v>
      </x:c>
      <x:c r="D66" s="28" t="str">
        <x:v>科学Agent论文</x:v>
      </x:c>
      <x:c r="E66" s="28" t="str">
        <x:v>多Agent、文献、实验与材料研究协同</x:v>
      </x:c>
      <x:c r="F66" s="28" t="str">
        <x:v>https://www.nature.com/articles/s41467-025-64105-7</x:v>
      </x:c>
    </x:row>
  </x:sheetData>
  <x:pageMargins left="0.7" right="0.7" top="0.75" bottom="0.75" header="0.3" footer="0.3"/>
  <x:tableParts count="1">
    <x:tablePart xmlns:r="http://schemas.openxmlformats.org/officeDocument/2006/relationships" r:id="Rd3b6da32b951491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12" hidden="0" customWidth="1"/>
    <x:col min="5" max="5" width="10" hidden="0" customWidth="1"/>
    <x:col min="6" max="6" width="18" hidden="0" customWidth="1"/>
    <x:col min="7" max="7" width="24" hidden="0" customWidth="1"/>
    <x:col min="8" max="8" width="24" hidden="0" customWidth="1"/>
    <x:col min="9" max="9" width="36" hidden="0" customWidth="1"/>
    <x:col min="10" max="10" width="36" hidden="0" customWidth="1"/>
    <x:col min="11" max="11" width="30" hidden="0" customWidth="1"/>
    <x:col min="12" max="12" width="22" hidden="0" customWidth="1"/>
    <x:col min="13" max="13" width="14" hidden="0" customWidth="1"/>
    <x:col min="14" max="14" width="10" hidden="0" customWidth="1"/>
    <x:col min="15" max="15" width="34" hidden="0" customWidth="1"/>
    <x:col min="16" max="16" width="16" hidden="0" customWidth="1"/>
  </x:cols>
  <x:sheetData>
    <x:row r="1" ht="30" customHeight="1">
      <x:c r="A1" s="78" t="str">
        <x:v>质子导体自主发现智能体：1000项技术场景化映射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  <x:c r="O1" s="78"/>
      <x:c r="P1" s="78"/>
    </x:row>
    <x:row r="2" ht="36" customHeight="1">
      <x:c r="A2" s="82" t="str">
        <x:v>不是把1000项全部堆进系统，而是按“核心必需—关键支撑—研究储备—当前低优先”分层；首批只接入80项。相关性是基于当前EIS-only、真实湿实验、小样本高成本约束的项目化判断。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</x:row>
    <x:row r="4" ht="30" customHeight="1">
      <x:c r="A4" s="91" t="str">
        <x:v>编号</x:v>
      </x:c>
      <x:c r="B4" s="92" t="str">
        <x:v>宏观层</x:v>
      </x:c>
      <x:c r="C4" s="92" t="str">
        <x:v>一级技术域</x:v>
      </x:c>
      <x:c r="D4" s="92" t="str">
        <x:v>场景相关性</x:v>
      </x:c>
      <x:c r="E4" s="92" t="str">
        <x:v>相关性评分</x:v>
      </x:c>
      <x:c r="F4" s="92" t="str">
        <x:v>适用模式</x:v>
      </x:c>
      <x:c r="G4" s="92" t="str">
        <x:v>任务包</x:v>
      </x:c>
      <x:c r="H4" s="92" t="str">
        <x:v>关键技术 / 思维模型</x:v>
      </x:c>
      <x:c r="I4" s="92" t="str">
        <x:v>能解决的具体问题</x:v>
      </x:c>
      <x:c r="J4" s="92" t="str">
        <x:v>本项目落地方式</x:v>
      </x:c>
      <x:c r="K4" s="92" t="str">
        <x:v>边界/限制</x:v>
      </x:c>
      <x:c r="L4" s="92" t="str">
        <x:v>建议阶段</x:v>
      </x:c>
      <x:c r="M4" s="92" t="str">
        <x:v>接入建议</x:v>
      </x:c>
      <x:c r="N4" s="92" t="str">
        <x:v>原优先级</x:v>
      </x:c>
      <x:c r="O4" s="92" t="str">
        <x:v>主来源URL</x:v>
      </x:c>
      <x:c r="P4" s="93" t="str">
        <x:v>项目状态（可编辑）</x:v>
      </x:c>
    </x:row>
    <x:row r="5">
      <x:c r="A5" s="94" t="str">
        <x:v>T0001</x:v>
      </x:c>
      <x:c r="B5" s="95" t="str">
        <x:v>科研闭环与自主架构</x:v>
      </x:c>
      <x:c r="C5" s="95" t="str">
        <x:v>科学闭环与自主科研范式</x:v>
      </x:c>
      <x:c r="D5" s="95" t="str">
        <x:v>核心必需</x:v>
      </x:c>
      <x:c r="E5" s="100" t="n">
        <x:v>12</x:v>
      </x:c>
      <x:c r="F5" s="95" t="str">
        <x:v>迁移发现</x:v>
      </x:c>
      <x:c r="G5" s="95" t="str">
        <x:v>A 证据、假设与科学闭环</x:v>
      </x:c>
      <x:c r="H5" s="95" t="str">
        <x:v>目标形式化</x:v>
      </x:c>
      <x:c r="I5" s="95" t="str">
        <x:v>把“提出假设—选实验—更新判断—停止/复现”变成可审计的科学闭环。</x:v>
      </x:c>
      <x:c r="J5" s="95" t="str">
        <x:v>落实为假设卡、替代解释、可证伪预测、停止规则和证据更新记录。</x:v>
      </x:c>
      <x:c r="K5" s="95" t="str">
        <x:v>可直接支撑当前EIS-only闭环。</x:v>
      </x:c>
      <x:c r="L5" s="95" t="str">
        <x:v>M0 主流程接入（0–2月）</x:v>
      </x:c>
      <x:c r="M5" s="95" t="str">
        <x:v>首批接入</x:v>
      </x:c>
      <x:c r="N5" s="95" t="str">
        <x:v>P0</x:v>
      </x:c>
      <x:c r="O5" s="95" t="str">
        <x:v>https://pubs.acs.org/doi/10.1021/acs.chemrev.4c00055</x:v>
      </x:c>
      <x:c r="P5" s="96" t="str">
        <x:v>待评审</x:v>
      </x:c>
    </x:row>
    <x:row r="6">
      <x:c r="A6" s="94" t="str">
        <x:v>T0002</x:v>
      </x:c>
      <x:c r="B6" s="95" t="str">
        <x:v>科研闭环与自主架构</x:v>
      </x:c>
      <x:c r="C6" s="95" t="str">
        <x:v>科学闭环与自主科研范式</x:v>
      </x:c>
      <x:c r="D6" s="95" t="str">
        <x:v>核心必需</x:v>
      </x:c>
      <x:c r="E6" s="100" t="n">
        <x:v>12</x:v>
      </x:c>
      <x:c r="F6" s="95" t="str">
        <x:v>迁移发现</x:v>
      </x:c>
      <x:c r="G6" s="95" t="str">
        <x:v>A 证据、假设与科学闭环</x:v>
      </x:c>
      <x:c r="H6" s="95" t="str">
        <x:v>假设生成</x:v>
      </x:c>
      <x:c r="I6" s="95" t="str">
        <x:v>把“提出假设—选实验—更新判断—停止/复现”变成可审计的科学闭环。</x:v>
      </x:c>
      <x:c r="J6" s="95" t="str">
        <x:v>落实为假设卡、替代解释、可证伪预测、停止规则和证据更新记录。</x:v>
      </x:c>
      <x:c r="K6" s="95" t="str">
        <x:v>可直接支撑当前EIS-only闭环。</x:v>
      </x:c>
      <x:c r="L6" s="95" t="str">
        <x:v>M0 主流程接入（0–2月）</x:v>
      </x:c>
      <x:c r="M6" s="95" t="str">
        <x:v>首批接入</x:v>
      </x:c>
      <x:c r="N6" s="95" t="str">
        <x:v>P0</x:v>
      </x:c>
      <x:c r="O6" s="95" t="str">
        <x:v>https://royalsocietypublishing.org/rsos/article/12/7/250646/235354/Autonomous-self-driving-laboratories-a-review-of</x:v>
      </x:c>
      <x:c r="P6" s="96" t="str">
        <x:v>待评审</x:v>
      </x:c>
    </x:row>
    <x:row r="7">
      <x:c r="A7" s="94" t="str">
        <x:v>T0003</x:v>
      </x:c>
      <x:c r="B7" s="95" t="str">
        <x:v>科研闭环与自主架构</x:v>
      </x:c>
      <x:c r="C7" s="95" t="str">
        <x:v>科学闭环与自主科研范式</x:v>
      </x:c>
      <x:c r="D7" s="95" t="str">
        <x:v>核心必需</x:v>
      </x:c>
      <x:c r="E7" s="100" t="n">
        <x:v>12</x:v>
      </x:c>
      <x:c r="F7" s="95" t="str">
        <x:v>迁移发现</x:v>
      </x:c>
      <x:c r="G7" s="95" t="str">
        <x:v>A 证据、假设与科学闭环</x:v>
      </x:c>
      <x:c r="H7" s="95" t="str">
        <x:v>文献证据检索</x:v>
      </x:c>
      <x:c r="I7" s="95" t="str">
        <x:v>把“提出假设—选实验—更新判断—停止/复现”变成可审计的科学闭环。</x:v>
      </x:c>
      <x:c r="J7" s="95" t="str">
        <x:v>落实为假设卡、替代解释、可证伪预测、停止规则和证据更新记录。</x:v>
      </x:c>
      <x:c r="K7" s="95" t="str">
        <x:v>可直接支撑当前EIS-only闭环。</x:v>
      </x:c>
      <x:c r="L7" s="95" t="str">
        <x:v>M0 主流程接入（0–2月）</x:v>
      </x:c>
      <x:c r="M7" s="95" t="str">
        <x:v>首批接入</x:v>
      </x:c>
      <x:c r="N7" s="95" t="str">
        <x:v>P0</x:v>
      </x:c>
      <x:c r="O7" s="95" t="str">
        <x:v>https://www.science.org/doi/10.1126/scirobotics.aat5559</x:v>
      </x:c>
      <x:c r="P7" s="96" t="str">
        <x:v>待评审</x:v>
      </x:c>
    </x:row>
    <x:row r="8">
      <x:c r="A8" s="94" t="str">
        <x:v>T0004</x:v>
      </x:c>
      <x:c r="B8" s="95" t="str">
        <x:v>科研闭环与自主架构</x:v>
      </x:c>
      <x:c r="C8" s="95" t="str">
        <x:v>科学闭环与自主科研范式</x:v>
      </x:c>
      <x:c r="D8" s="95" t="str">
        <x:v>核心必需</x:v>
      </x:c>
      <x:c r="E8" s="100" t="n">
        <x:v>11</x:v>
      </x:c>
      <x:c r="F8" s="95" t="str">
        <x:v>迁移发现</x:v>
      </x:c>
      <x:c r="G8" s="95" t="str">
        <x:v>A 证据、假设与科学闭环</x:v>
      </x:c>
      <x:c r="H8" s="95" t="str">
        <x:v>知识缺口识别</x:v>
      </x:c>
      <x:c r="I8" s="95" t="str">
        <x:v>把“提出假设—选实验—更新判断—停止/复现”变成可审计的科学闭环。</x:v>
      </x:c>
      <x:c r="J8" s="95" t="str">
        <x:v>落实为假设卡、替代解释、可证伪预测、停止规则和证据更新记录。</x:v>
      </x:c>
      <x:c r="K8" s="95" t="str">
        <x:v>可直接支撑当前EIS-only闭环。</x:v>
      </x:c>
      <x:c r="L8" s="95" t="str">
        <x:v>M1 前瞻验证（2–5月）</x:v>
      </x:c>
      <x:c r="M8" s="95" t="str">
        <x:v>第二批接入</x:v>
      </x:c>
      <x:c r="N8" s="95" t="str">
        <x:v>P0</x:v>
      </x:c>
      <x:c r="O8" s="95" t="str">
        <x:v>https://www.nature.com/articles/s41586-023-06734-w</x:v>
      </x:c>
      <x:c r="P8" s="96" t="str">
        <x:v>待评审</x:v>
      </x:c>
    </x:row>
    <x:row r="9">
      <x:c r="A9" s="94" t="str">
        <x:v>T0005</x:v>
      </x:c>
      <x:c r="B9" s="95" t="str">
        <x:v>科研闭环与自主架构</x:v>
      </x:c>
      <x:c r="C9" s="95" t="str">
        <x:v>科学闭环与自主科研范式</x:v>
      </x:c>
      <x:c r="D9" s="95" t="str">
        <x:v>核心必需</x:v>
      </x:c>
      <x:c r="E9" s="100" t="n">
        <x:v>12</x:v>
      </x:c>
      <x:c r="F9" s="95" t="str">
        <x:v>迁移发现</x:v>
      </x:c>
      <x:c r="G9" s="95" t="str">
        <x:v>A 证据、假设与科学闭环</x:v>
      </x:c>
      <x:c r="H9" s="95" t="str">
        <x:v>目标—约束翻译</x:v>
      </x:c>
      <x:c r="I9" s="95" t="str">
        <x:v>把“提出假设—选实验—更新判断—停止/复现”变成可审计的科学闭环。</x:v>
      </x:c>
      <x:c r="J9" s="95" t="str">
        <x:v>落实为假设卡、替代解释、可证伪预测、停止规则和证据更新记录。</x:v>
      </x:c>
      <x:c r="K9" s="95" t="str">
        <x:v>可直接支撑当前EIS-only闭环。</x:v>
      </x:c>
      <x:c r="L9" s="95" t="str">
        <x:v>M0 主流程接入（0–2月）</x:v>
      </x:c>
      <x:c r="M9" s="95" t="str">
        <x:v>首批接入</x:v>
      </x:c>
      <x:c r="N9" s="95" t="str">
        <x:v>P0</x:v>
      </x:c>
      <x:c r="O9" s="95" t="str">
        <x:v>https://www.nature.com/articles/s41586-023-06792-0</x:v>
      </x:c>
      <x:c r="P9" s="96" t="str">
        <x:v>待评审</x:v>
      </x:c>
    </x:row>
    <x:row r="10">
      <x:c r="A10" s="94" t="str">
        <x:v>T0006</x:v>
      </x:c>
      <x:c r="B10" s="95" t="str">
        <x:v>科研闭环与自主架构</x:v>
      </x:c>
      <x:c r="C10" s="95" t="str">
        <x:v>科学闭环与自主科研范式</x:v>
      </x:c>
      <x:c r="D10" s="95" t="str">
        <x:v>核心必需</x:v>
      </x:c>
      <x:c r="E10" s="100" t="n">
        <x:v>11</x:v>
      </x:c>
      <x:c r="F10" s="95" t="str">
        <x:v>迁移发现</x:v>
      </x:c>
      <x:c r="G10" s="95" t="str">
        <x:v>A 证据、假设与科学闭环</x:v>
      </x:c>
      <x:c r="H10" s="95" t="str">
        <x:v>实验空间定义</x:v>
      </x:c>
      <x:c r="I10" s="95" t="str">
        <x:v>把“提出假设—选实验—更新判断—停止/复现”变成可审计的科学闭环。</x:v>
      </x:c>
      <x:c r="J10" s="95" t="str">
        <x:v>落实为假设卡、替代解释、可证伪预测、停止规则和证据更新记录。</x:v>
      </x:c>
      <x:c r="K10" s="95" t="str">
        <x:v>可直接支撑当前EIS-only闭环。</x:v>
      </x:c>
      <x:c r="L10" s="95" t="str">
        <x:v>M1 前瞻验证（2–5月）</x:v>
      </x:c>
      <x:c r="M10" s="95" t="str">
        <x:v>第二批接入</x:v>
      </x:c>
      <x:c r="N10" s="95" t="str">
        <x:v>P0</x:v>
      </x:c>
      <x:c r="O10" s="95" t="str">
        <x:v>https://pubs.acs.org/doi/10.1021/acs.chemrev.4c00055</x:v>
      </x:c>
      <x:c r="P10" s="96" t="str">
        <x:v>待评审</x:v>
      </x:c>
    </x:row>
    <x:row r="11">
      <x:c r="A11" s="94" t="str">
        <x:v>T0007</x:v>
      </x:c>
      <x:c r="B11" s="95" t="str">
        <x:v>科研闭环与自主架构</x:v>
      </x:c>
      <x:c r="C11" s="95" t="str">
        <x:v>科学闭环与自主科研范式</x:v>
      </x:c>
      <x:c r="D11" s="95" t="str">
        <x:v>关键支撑</x:v>
      </x:c>
      <x:c r="E11" s="100" t="n">
        <x:v>8</x:v>
      </x:c>
      <x:c r="F11" s="95" t="str">
        <x:v>迁移发现</x:v>
      </x:c>
      <x:c r="G11" s="95" t="str">
        <x:v>A 证据、假设与科学闭环</x:v>
      </x:c>
      <x:c r="H11" s="95" t="str">
        <x:v>候选生成</x:v>
      </x:c>
      <x:c r="I11" s="95" t="str">
        <x:v>把“提出假设—选实验—更新判断—停止/复现”变成可审计的科学闭环。</x:v>
      </x:c>
      <x:c r="J11" s="95" t="str">
        <x:v>落实为假设卡、替代解释、可证伪预测、停止规则和证据更新记录。</x:v>
      </x:c>
      <x:c r="K11" s="95" t="str">
        <x:v>可直接支撑当前EIS-only闭环。</x:v>
      </x:c>
      <x:c r="L11" s="95" t="str">
        <x:v>M2 扩展与复现（5–12月）</x:v>
      </x:c>
      <x:c r="M11" s="95" t="str">
        <x:v>按瓶颈接入</x:v>
      </x:c>
      <x:c r="N11" s="95" t="str">
        <x:v>P0</x:v>
      </x:c>
      <x:c r="O11" s="95" t="str">
        <x:v>https://royalsocietypublishing.org/rsos/article/12/7/250646/235354/Autonomous-self-driving-laboratories-a-review-of</x:v>
      </x:c>
      <x:c r="P11" s="96" t="str">
        <x:v>待评审</x:v>
      </x:c>
    </x:row>
    <x:row r="12">
      <x:c r="A12" s="94" t="str">
        <x:v>T0008</x:v>
      </x:c>
      <x:c r="B12" s="95" t="str">
        <x:v>科研闭环与自主架构</x:v>
      </x:c>
      <x:c r="C12" s="95" t="str">
        <x:v>科学闭环与自主科研范式</x:v>
      </x:c>
      <x:c r="D12" s="95" t="str">
        <x:v>关键支撑</x:v>
      </x:c>
      <x:c r="E12" s="100" t="n">
        <x:v>8</x:v>
      </x:c>
      <x:c r="F12" s="95" t="str">
        <x:v>迁移发现</x:v>
      </x:c>
      <x:c r="G12" s="95" t="str">
        <x:v>A 证据、假设与科学闭环</x:v>
      </x:c>
      <x:c r="H12" s="95" t="str">
        <x:v>实验协议生成</x:v>
      </x:c>
      <x:c r="I12" s="95" t="str">
        <x:v>把“提出假设—选实验—更新判断—停止/复现”变成可审计的科学闭环。</x:v>
      </x:c>
      <x:c r="J12" s="95" t="str">
        <x:v>落实为假设卡、替代解释、可证伪预测、停止规则和证据更新记录。</x:v>
      </x:c>
      <x:c r="K12" s="95" t="str">
        <x:v>可直接支撑当前EIS-only闭环。</x:v>
      </x:c>
      <x:c r="L12" s="95" t="str">
        <x:v>M2 扩展与复现（5–12月）</x:v>
      </x:c>
      <x:c r="M12" s="95" t="str">
        <x:v>按瓶颈接入</x:v>
      </x:c>
      <x:c r="N12" s="95" t="str">
        <x:v>P0</x:v>
      </x:c>
      <x:c r="O12" s="95" t="str">
        <x:v>https://www.science.org/doi/10.1126/scirobotics.aat5559</x:v>
      </x:c>
      <x:c r="P12" s="96" t="str">
        <x:v>待评审</x:v>
      </x:c>
    </x:row>
    <x:row r="13">
      <x:c r="A13" s="94" t="str">
        <x:v>T0009</x:v>
      </x:c>
      <x:c r="B13" s="95" t="str">
        <x:v>科研闭环与自主架构</x:v>
      </x:c>
      <x:c r="C13" s="95" t="str">
        <x:v>科学闭环与自主科研范式</x:v>
      </x:c>
      <x:c r="D13" s="95" t="str">
        <x:v>核心必需</x:v>
      </x:c>
      <x:c r="E13" s="100" t="n">
        <x:v>11</x:v>
      </x:c>
      <x:c r="F13" s="95" t="str">
        <x:v>迁移发现</x:v>
      </x:c>
      <x:c r="G13" s="95" t="str">
        <x:v>A 证据、假设与科学闭环</x:v>
      </x:c>
      <x:c r="H13" s="95" t="str">
        <x:v>试验设计</x:v>
      </x:c>
      <x:c r="I13" s="95" t="str">
        <x:v>把“提出假设—选实验—更新判断—停止/复现”变成可审计的科学闭环。</x:v>
      </x:c>
      <x:c r="J13" s="95" t="str">
        <x:v>落实为假设卡、替代解释、可证伪预测、停止规则和证据更新记录。</x:v>
      </x:c>
      <x:c r="K13" s="95" t="str">
        <x:v>可直接支撑当前EIS-only闭环。</x:v>
      </x:c>
      <x:c r="L13" s="95" t="str">
        <x:v>M1 前瞻验证（2–5月）</x:v>
      </x:c>
      <x:c r="M13" s="95" t="str">
        <x:v>第二批接入</x:v>
      </x:c>
      <x:c r="N13" s="95" t="str">
        <x:v>P0</x:v>
      </x:c>
      <x:c r="O13" s="95" t="str">
        <x:v>https://www.nature.com/articles/s41586-023-06734-w</x:v>
      </x:c>
      <x:c r="P13" s="96" t="str">
        <x:v>待评审</x:v>
      </x:c>
    </x:row>
    <x:row r="14">
      <x:c r="A14" s="94" t="str">
        <x:v>T0010</x:v>
      </x:c>
      <x:c r="B14" s="95" t="str">
        <x:v>科研闭环与自主架构</x:v>
      </x:c>
      <x:c r="C14" s="95" t="str">
        <x:v>科学闭环与自主科研范式</x:v>
      </x:c>
      <x:c r="D14" s="95" t="str">
        <x:v>关键支撑</x:v>
      </x:c>
      <x:c r="E14" s="100" t="n">
        <x:v>8</x:v>
      </x:c>
      <x:c r="F14" s="95" t="str">
        <x:v>迁移发现</x:v>
      </x:c>
      <x:c r="G14" s="95" t="str">
        <x:v>A 证据、假设与科学闭环</x:v>
      </x:c>
      <x:c r="H14" s="95" t="str">
        <x:v>仿真预筛</x:v>
      </x:c>
      <x:c r="I14" s="95" t="str">
        <x:v>把“提出假设—选实验—更新判断—停止/复现”变成可审计的科学闭环。</x:v>
      </x:c>
      <x:c r="J14" s="95" t="str">
        <x:v>落实为假设卡、替代解释、可证伪预测、停止规则和证据更新记录。</x:v>
      </x:c>
      <x:c r="K14" s="95" t="str">
        <x:v>可直接支撑当前EIS-only闭环。</x:v>
      </x:c>
      <x:c r="L14" s="95" t="str">
        <x:v>M2 扩展与复现（5–12月）</x:v>
      </x:c>
      <x:c r="M14" s="95" t="str">
        <x:v>按瓶颈接入</x:v>
      </x:c>
      <x:c r="N14" s="95" t="str">
        <x:v>P0</x:v>
      </x:c>
      <x:c r="O14" s="95" t="str">
        <x:v>https://www.nature.com/articles/s41586-023-06792-0</x:v>
      </x:c>
      <x:c r="P14" s="96" t="str">
        <x:v>待评审</x:v>
      </x:c>
    </x:row>
    <x:row r="15">
      <x:c r="A15" s="94" t="str">
        <x:v>T0011</x:v>
      </x:c>
      <x:c r="B15" s="95" t="str">
        <x:v>科研闭环与自主架构</x:v>
      </x:c>
      <x:c r="C15" s="95" t="str">
        <x:v>科学闭环与自主科研范式</x:v>
      </x:c>
      <x:c r="D15" s="95" t="str">
        <x:v>关键支撑</x:v>
      </x:c>
      <x:c r="E15" s="100" t="n">
        <x:v>8</x:v>
      </x:c>
      <x:c r="F15" s="95" t="str">
        <x:v>迁移发现</x:v>
      </x:c>
      <x:c r="G15" s="95" t="str">
        <x:v>A 证据、假设与科学闭环</x:v>
      </x:c>
      <x:c r="H15" s="95" t="str">
        <x:v>自动执行</x:v>
      </x:c>
      <x:c r="I15" s="95" t="str">
        <x:v>把“提出假设—选实验—更新判断—停止/复现”变成可审计的科学闭环。</x:v>
      </x:c>
      <x:c r="J15" s="95" t="str">
        <x:v>落实为假设卡、替代解释、可证伪预测、停止规则和证据更新记录。</x:v>
      </x:c>
      <x:c r="K15" s="95" t="str">
        <x:v>可直接支撑当前EIS-only闭环。</x:v>
      </x:c>
      <x:c r="L15" s="95" t="str">
        <x:v>M2 扩展与复现（5–12月）</x:v>
      </x:c>
      <x:c r="M15" s="95" t="str">
        <x:v>按瓶颈接入</x:v>
      </x:c>
      <x:c r="N15" s="95" t="str">
        <x:v>P1</x:v>
      </x:c>
      <x:c r="O15" s="95" t="str">
        <x:v>https://pubs.acs.org/doi/10.1021/acs.chemrev.4c00055</x:v>
      </x:c>
      <x:c r="P15" s="96" t="str">
        <x:v>待评审</x:v>
      </x:c>
    </x:row>
    <x:row r="16">
      <x:c r="A16" s="94" t="str">
        <x:v>T0012</x:v>
      </x:c>
      <x:c r="B16" s="95" t="str">
        <x:v>科研闭环与自主架构</x:v>
      </x:c>
      <x:c r="C16" s="95" t="str">
        <x:v>科学闭环与自主科研范式</x:v>
      </x:c>
      <x:c r="D16" s="95" t="str">
        <x:v>关键支撑</x:v>
      </x:c>
      <x:c r="E16" s="100" t="n">
        <x:v>8</x:v>
      </x:c>
      <x:c r="F16" s="95" t="str">
        <x:v>迁移发现</x:v>
      </x:c>
      <x:c r="G16" s="95" t="str">
        <x:v>A 证据、假设与科学闭环</x:v>
      </x:c>
      <x:c r="H16" s="95" t="str">
        <x:v>在线感知</x:v>
      </x:c>
      <x:c r="I16" s="95" t="str">
        <x:v>把“提出假设—选实验—更新判断—停止/复现”变成可审计的科学闭环。</x:v>
      </x:c>
      <x:c r="J16" s="95" t="str">
        <x:v>落实为假设卡、替代解释、可证伪预测、停止规则和证据更新记录。</x:v>
      </x:c>
      <x:c r="K16" s="95" t="str">
        <x:v>可直接支撑当前EIS-only闭环。</x:v>
      </x:c>
      <x:c r="L16" s="95" t="str">
        <x:v>M2 扩展与复现（5–12月）</x:v>
      </x:c>
      <x:c r="M16" s="95" t="str">
        <x:v>按瓶颈接入</x:v>
      </x:c>
      <x:c r="N16" s="95" t="str">
        <x:v>P1</x:v>
      </x:c>
      <x:c r="O16" s="95" t="str">
        <x:v>https://royalsocietypublishing.org/rsos/article/12/7/250646/235354/Autonomous-self-driving-laboratories-a-review-of</x:v>
      </x:c>
      <x:c r="P16" s="96" t="str">
        <x:v>待评审</x:v>
      </x:c>
    </x:row>
    <x:row r="17">
      <x:c r="A17" s="94" t="str">
        <x:v>T0013</x:v>
      </x:c>
      <x:c r="B17" s="95" t="str">
        <x:v>科研闭环与自主架构</x:v>
      </x:c>
      <x:c r="C17" s="95" t="str">
        <x:v>科学闭环与自主科研范式</x:v>
      </x:c>
      <x:c r="D17" s="95" t="str">
        <x:v>关键支撑</x:v>
      </x:c>
      <x:c r="E17" s="100" t="n">
        <x:v>8</x:v>
      </x:c>
      <x:c r="F17" s="95" t="str">
        <x:v>迁移发现</x:v>
      </x:c>
      <x:c r="G17" s="95" t="str">
        <x:v>A 证据、假设与科学闭环</x:v>
      </x:c>
      <x:c r="H17" s="95" t="str">
        <x:v>自动数据分析</x:v>
      </x:c>
      <x:c r="I17" s="95" t="str">
        <x:v>把“提出假设—选实验—更新判断—停止/复现”变成可审计的科学闭环。</x:v>
      </x:c>
      <x:c r="J17" s="95" t="str">
        <x:v>落实为假设卡、替代解释、可证伪预测、停止规则和证据更新记录。</x:v>
      </x:c>
      <x:c r="K17" s="95" t="str">
        <x:v>可直接支撑当前EIS-only闭环。</x:v>
      </x:c>
      <x:c r="L17" s="95" t="str">
        <x:v>M2 扩展与复现（5–12月）</x:v>
      </x:c>
      <x:c r="M17" s="95" t="str">
        <x:v>按瓶颈接入</x:v>
      </x:c>
      <x:c r="N17" s="95" t="str">
        <x:v>P1</x:v>
      </x:c>
      <x:c r="O17" s="95" t="str">
        <x:v>https://www.science.org/doi/10.1126/scirobotics.aat5559</x:v>
      </x:c>
      <x:c r="P17" s="96" t="str">
        <x:v>待评审</x:v>
      </x:c>
    </x:row>
    <x:row r="18">
      <x:c r="A18" s="94" t="str">
        <x:v>T0014</x:v>
      </x:c>
      <x:c r="B18" s="95" t="str">
        <x:v>科研闭环与自主架构</x:v>
      </x:c>
      <x:c r="C18" s="95" t="str">
        <x:v>科学闭环与自主科研范式</x:v>
      </x:c>
      <x:c r="D18" s="95" t="str">
        <x:v>核心必需</x:v>
      </x:c>
      <x:c r="E18" s="100" t="n">
        <x:v>11</x:v>
      </x:c>
      <x:c r="F18" s="95" t="str">
        <x:v>迁移发现</x:v>
      </x:c>
      <x:c r="G18" s="95" t="str">
        <x:v>A 证据、假设与科学闭环</x:v>
      </x:c>
      <x:c r="H18" s="95" t="str">
        <x:v>模型更新</x:v>
      </x:c>
      <x:c r="I18" s="95" t="str">
        <x:v>把“提出假设—选实验—更新判断—停止/复现”变成可审计的科学闭环。</x:v>
      </x:c>
      <x:c r="J18" s="95" t="str">
        <x:v>落实为假设卡、替代解释、可证伪预测、停止规则和证据更新记录。</x:v>
      </x:c>
      <x:c r="K18" s="95" t="str">
        <x:v>可直接支撑当前EIS-only闭环。</x:v>
      </x:c>
      <x:c r="L18" s="95" t="str">
        <x:v>M1 前瞻验证（2–5月）</x:v>
      </x:c>
      <x:c r="M18" s="95" t="str">
        <x:v>第二批接入</x:v>
      </x:c>
      <x:c r="N18" s="95" t="str">
        <x:v>P1</x:v>
      </x:c>
      <x:c r="O18" s="95" t="str">
        <x:v>https://www.nature.com/articles/s41586-023-06734-w</x:v>
      </x:c>
      <x:c r="P18" s="96" t="str">
        <x:v>待评审</x:v>
      </x:c>
    </x:row>
    <x:row r="19">
      <x:c r="A19" s="94" t="str">
        <x:v>T0015</x:v>
      </x:c>
      <x:c r="B19" s="95" t="str">
        <x:v>科研闭环与自主架构</x:v>
      </x:c>
      <x:c r="C19" s="95" t="str">
        <x:v>科学闭环与自主科研范式</x:v>
      </x:c>
      <x:c r="D19" s="95" t="str">
        <x:v>核心必需</x:v>
      </x:c>
      <x:c r="E19" s="100" t="n">
        <x:v>12</x:v>
      </x:c>
      <x:c r="F19" s="95" t="str">
        <x:v>迁移发现</x:v>
      </x:c>
      <x:c r="G19" s="95" t="str">
        <x:v>A 证据、假设与科学闭环</x:v>
      </x:c>
      <x:c r="H19" s="95" t="str">
        <x:v>假设修正</x:v>
      </x:c>
      <x:c r="I19" s="95" t="str">
        <x:v>把“提出假设—选实验—更新判断—停止/复现”变成可审计的科学闭环。</x:v>
      </x:c>
      <x:c r="J19" s="95" t="str">
        <x:v>落实为假设卡、替代解释、可证伪预测、停止规则和证据更新记录。</x:v>
      </x:c>
      <x:c r="K19" s="95" t="str">
        <x:v>可直接支撑当前EIS-only闭环。</x:v>
      </x:c>
      <x:c r="L19" s="95" t="str">
        <x:v>M0 主流程接入（0–2月）</x:v>
      </x:c>
      <x:c r="M19" s="95" t="str">
        <x:v>首批接入</x:v>
      </x:c>
      <x:c r="N19" s="95" t="str">
        <x:v>P1</x:v>
      </x:c>
      <x:c r="O19" s="95" t="str">
        <x:v>https://www.nature.com/articles/s41586-023-06792-0</x:v>
      </x:c>
      <x:c r="P19" s="96" t="str">
        <x:v>待评审</x:v>
      </x:c>
    </x:row>
    <x:row r="20">
      <x:c r="A20" s="94" t="str">
        <x:v>T0016</x:v>
      </x:c>
      <x:c r="B20" s="95" t="str">
        <x:v>科研闭环与自主架构</x:v>
      </x:c>
      <x:c r="C20" s="95" t="str">
        <x:v>科学闭环与自主科研范式</x:v>
      </x:c>
      <x:c r="D20" s="95" t="str">
        <x:v>核心必需</x:v>
      </x:c>
      <x:c r="E20" s="100" t="n">
        <x:v>12</x:v>
      </x:c>
      <x:c r="F20" s="95" t="str">
        <x:v>迁移发现</x:v>
      </x:c>
      <x:c r="G20" s="95" t="str">
        <x:v>A 证据、假设与科学闭环</x:v>
      </x:c>
      <x:c r="H20" s="95" t="str">
        <x:v>停止准则</x:v>
      </x:c>
      <x:c r="I20" s="95" t="str">
        <x:v>把“提出假设—选实验—更新判断—停止/复现”变成可审计的科学闭环。</x:v>
      </x:c>
      <x:c r="J20" s="95" t="str">
        <x:v>落实为假设卡、替代解释、可证伪预测、停止规则和证据更新记录。</x:v>
      </x:c>
      <x:c r="K20" s="95" t="str">
        <x:v>可直接支撑当前EIS-only闭环。</x:v>
      </x:c>
      <x:c r="L20" s="95" t="str">
        <x:v>M0 主流程接入（0–2月）</x:v>
      </x:c>
      <x:c r="M20" s="95" t="str">
        <x:v>首批接入</x:v>
      </x:c>
      <x:c r="N20" s="95" t="str">
        <x:v>P1</x:v>
      </x:c>
      <x:c r="O20" s="95" t="str">
        <x:v>https://pubs.acs.org/doi/10.1021/acs.chemrev.4c00055</x:v>
      </x:c>
      <x:c r="P20" s="96" t="str">
        <x:v>待评审</x:v>
      </x:c>
    </x:row>
    <x:row r="21">
      <x:c r="A21" s="94" t="str">
        <x:v>T0017</x:v>
      </x:c>
      <x:c r="B21" s="95" t="str">
        <x:v>科研闭环与自主架构</x:v>
      </x:c>
      <x:c r="C21" s="95" t="str">
        <x:v>科学闭环与自主科研范式</x:v>
      </x:c>
      <x:c r="D21" s="95" t="str">
        <x:v>核心必需</x:v>
      </x:c>
      <x:c r="E21" s="100" t="n">
        <x:v>11</x:v>
      </x:c>
      <x:c r="F21" s="95" t="str">
        <x:v>迁移发现</x:v>
      </x:c>
      <x:c r="G21" s="95" t="str">
        <x:v>A 证据、假设与科学闭环</x:v>
      </x:c>
      <x:c r="H21" s="95" t="str">
        <x:v>发现确认</x:v>
      </x:c>
      <x:c r="I21" s="95" t="str">
        <x:v>把“提出假设—选实验—更新判断—停止/复现”变成可审计的科学闭环。</x:v>
      </x:c>
      <x:c r="J21" s="95" t="str">
        <x:v>落实为假设卡、替代解释、可证伪预测、停止规则和证据更新记录。</x:v>
      </x:c>
      <x:c r="K21" s="95" t="str">
        <x:v>可直接支撑当前EIS-only闭环。</x:v>
      </x:c>
      <x:c r="L21" s="95" t="str">
        <x:v>M1 前瞻验证（2–5月）</x:v>
      </x:c>
      <x:c r="M21" s="95" t="str">
        <x:v>第二批接入</x:v>
      </x:c>
      <x:c r="N21" s="95" t="str">
        <x:v>P1</x:v>
      </x:c>
      <x:c r="O21" s="95" t="str">
        <x:v>https://royalsocietypublishing.org/rsos/article/12/7/250646/235354/Autonomous-self-driving-laboratories-a-review-of</x:v>
      </x:c>
      <x:c r="P21" s="96" t="str">
        <x:v>待评审</x:v>
      </x:c>
    </x:row>
    <x:row r="22">
      <x:c r="A22" s="94" t="str">
        <x:v>T0018</x:v>
      </x:c>
      <x:c r="B22" s="95" t="str">
        <x:v>科研闭环与自主架构</x:v>
      </x:c>
      <x:c r="C22" s="95" t="str">
        <x:v>科学闭环与自主科研范式</x:v>
      </x:c>
      <x:c r="D22" s="95" t="str">
        <x:v>核心必需</x:v>
      </x:c>
      <x:c r="E22" s="100" t="n">
        <x:v>12</x:v>
      </x:c>
      <x:c r="F22" s="95" t="str">
        <x:v>迁移发现</x:v>
      </x:c>
      <x:c r="G22" s="95" t="str">
        <x:v>A 证据、假设与科学闭环</x:v>
      </x:c>
      <x:c r="H22" s="95" t="str">
        <x:v>独立重复</x:v>
      </x:c>
      <x:c r="I22" s="95" t="str">
        <x:v>把“提出假设—选实验—更新判断—停止/复现”变成可审计的科学闭环。</x:v>
      </x:c>
      <x:c r="J22" s="95" t="str">
        <x:v>落实为假设卡、替代解释、可证伪预测、停止规则和证据更新记录。</x:v>
      </x:c>
      <x:c r="K22" s="95" t="str">
        <x:v>可直接支撑当前EIS-only闭环。</x:v>
      </x:c>
      <x:c r="L22" s="95" t="str">
        <x:v>M0 主流程接入（0–2月）</x:v>
      </x:c>
      <x:c r="M22" s="95" t="str">
        <x:v>首批接入</x:v>
      </x:c>
      <x:c r="N22" s="95" t="str">
        <x:v>P1</x:v>
      </x:c>
      <x:c r="O22" s="95" t="str">
        <x:v>https://www.science.org/doi/10.1126/scirobotics.aat5559</x:v>
      </x:c>
      <x:c r="P22" s="96" t="str">
        <x:v>待评审</x:v>
      </x:c>
    </x:row>
    <x:row r="23">
      <x:c r="A23" s="94" t="str">
        <x:v>T0019</x:v>
      </x:c>
      <x:c r="B23" s="95" t="str">
        <x:v>科研闭环与自主架构</x:v>
      </x:c>
      <x:c r="C23" s="95" t="str">
        <x:v>科学闭环与自主科研范式</x:v>
      </x:c>
      <x:c r="D23" s="95" t="str">
        <x:v>核心必需</x:v>
      </x:c>
      <x:c r="E23" s="100" t="n">
        <x:v>12</x:v>
      </x:c>
      <x:c r="F23" s="95" t="str">
        <x:v>迁移发现</x:v>
      </x:c>
      <x:c r="G23" s="95" t="str">
        <x:v>A 证据、假设与科学闭环</x:v>
      </x:c>
      <x:c r="H23" s="95" t="str">
        <x:v>负结果捕获</x:v>
      </x:c>
      <x:c r="I23" s="95" t="str">
        <x:v>把“提出假设—选实验—更新判断—停止/复现”变成可审计的科学闭环。</x:v>
      </x:c>
      <x:c r="J23" s="95" t="str">
        <x:v>落实为假设卡、替代解释、可证伪预测、停止规则和证据更新记录。</x:v>
      </x:c>
      <x:c r="K23" s="95" t="str">
        <x:v>可直接支撑当前EIS-only闭环。</x:v>
      </x:c>
      <x:c r="L23" s="95" t="str">
        <x:v>M0 主流程接入（0–2月）</x:v>
      </x:c>
      <x:c r="M23" s="95" t="str">
        <x:v>首批接入</x:v>
      </x:c>
      <x:c r="N23" s="95" t="str">
        <x:v>P1</x:v>
      </x:c>
      <x:c r="O23" s="95" t="str">
        <x:v>https://www.nature.com/articles/s41586-023-06734-w</x:v>
      </x:c>
      <x:c r="P23" s="96" t="str">
        <x:v>待评审</x:v>
      </x:c>
    </x:row>
    <x:row r="24">
      <x:c r="A24" s="94" t="str">
        <x:v>T0020</x:v>
      </x:c>
      <x:c r="B24" s="95" t="str">
        <x:v>科研闭环与自主架构</x:v>
      </x:c>
      <x:c r="C24" s="95" t="str">
        <x:v>科学闭环与自主科研范式</x:v>
      </x:c>
      <x:c r="D24" s="95" t="str">
        <x:v>核心必需</x:v>
      </x:c>
      <x:c r="E24" s="100" t="n">
        <x:v>11</x:v>
      </x:c>
      <x:c r="F24" s="95" t="str">
        <x:v>迁移发现</x:v>
      </x:c>
      <x:c r="G24" s="95" t="str">
        <x:v>A 证据、假设与科学闭环</x:v>
      </x:c>
      <x:c r="H24" s="95" t="str">
        <x:v>因果机制搜索</x:v>
      </x:c>
      <x:c r="I24" s="95" t="str">
        <x:v>把“提出假设—选实验—更新判断—停止/复现”变成可审计的科学闭环。</x:v>
      </x:c>
      <x:c r="J24" s="95" t="str">
        <x:v>落实为假设卡、替代解释、可证伪预测、停止规则和证据更新记录。</x:v>
      </x:c>
      <x:c r="K24" s="95" t="str">
        <x:v>可直接支撑当前EIS-only闭环。</x:v>
      </x:c>
      <x:c r="L24" s="95" t="str">
        <x:v>M1 前瞻验证（2–5月）</x:v>
      </x:c>
      <x:c r="M24" s="95" t="str">
        <x:v>第二批接入</x:v>
      </x:c>
      <x:c r="N24" s="95" t="str">
        <x:v>P1</x:v>
      </x:c>
      <x:c r="O24" s="95" t="str">
        <x:v>https://www.nature.com/articles/s41586-023-06792-0</x:v>
      </x:c>
      <x:c r="P24" s="96" t="str">
        <x:v>待评审</x:v>
      </x:c>
    </x:row>
    <x:row r="25">
      <x:c r="A25" s="94" t="str">
        <x:v>T0021</x:v>
      </x:c>
      <x:c r="B25" s="95" t="str">
        <x:v>科研闭环与自主架构</x:v>
      </x:c>
      <x:c r="C25" s="95" t="str">
        <x:v>科学闭环与自主科研范式</x:v>
      </x:c>
      <x:c r="D25" s="95" t="str">
        <x:v>关键支撑</x:v>
      </x:c>
      <x:c r="E25" s="100" t="n">
        <x:v>8</x:v>
      </x:c>
      <x:c r="F25" s="95" t="str">
        <x:v>迁移发现</x:v>
      </x:c>
      <x:c r="G25" s="95" t="str">
        <x:v>A 证据、假设与科学闭环</x:v>
      </x:c>
      <x:c r="H25" s="95" t="str">
        <x:v>理论—实验闭环</x:v>
      </x:c>
      <x:c r="I25" s="95" t="str">
        <x:v>把“提出假设—选实验—更新判断—停止/复现”变成可审计的科学闭环。</x:v>
      </x:c>
      <x:c r="J25" s="95" t="str">
        <x:v>落实为假设卡、替代解释、可证伪预测、停止规则和证据更新记录。</x:v>
      </x:c>
      <x:c r="K25" s="95" t="str">
        <x:v>可直接支撑当前EIS-only闭环。</x:v>
      </x:c>
      <x:c r="L25" s="95" t="str">
        <x:v>M2 扩展与复现（5–12月）</x:v>
      </x:c>
      <x:c r="M25" s="95" t="str">
        <x:v>按瓶颈接入</x:v>
      </x:c>
      <x:c r="N25" s="95" t="str">
        <x:v>P1</x:v>
      </x:c>
      <x:c r="O25" s="95" t="str">
        <x:v>https://pubs.acs.org/doi/10.1021/acs.chemrev.4c00055</x:v>
      </x:c>
      <x:c r="P25" s="96" t="str">
        <x:v>待评审</x:v>
      </x:c>
    </x:row>
    <x:row r="26">
      <x:c r="A26" s="94" t="str">
        <x:v>T0022</x:v>
      </x:c>
      <x:c r="B26" s="95" t="str">
        <x:v>科研闭环与自主架构</x:v>
      </x:c>
      <x:c r="C26" s="95" t="str">
        <x:v>科学闭环与自主科研范式</x:v>
      </x:c>
      <x:c r="D26" s="95" t="str">
        <x:v>关键支撑</x:v>
      </x:c>
      <x:c r="E26" s="100" t="n">
        <x:v>8</x:v>
      </x:c>
      <x:c r="F26" s="95" t="str">
        <x:v>迁移发现</x:v>
      </x:c>
      <x:c r="G26" s="95" t="str">
        <x:v>A 证据、假设与科学闭环</x:v>
      </x:c>
      <x:c r="H26" s="95" t="str">
        <x:v>多尺度闭环</x:v>
      </x:c>
      <x:c r="I26" s="95" t="str">
        <x:v>把“提出假设—选实验—更新判断—停止/复现”变成可审计的科学闭环。</x:v>
      </x:c>
      <x:c r="J26" s="95" t="str">
        <x:v>落实为假设卡、替代解释、可证伪预测、停止规则和证据更新记录。</x:v>
      </x:c>
      <x:c r="K26" s="95" t="str">
        <x:v>可直接支撑当前EIS-only闭环。</x:v>
      </x:c>
      <x:c r="L26" s="95" t="str">
        <x:v>M2 扩展与复现（5–12月）</x:v>
      </x:c>
      <x:c r="M26" s="95" t="str">
        <x:v>按瓶颈接入</x:v>
      </x:c>
      <x:c r="N26" s="95" t="str">
        <x:v>P1</x:v>
      </x:c>
      <x:c r="O26" s="95" t="str">
        <x:v>https://royalsocietypublishing.org/rsos/article/12/7/250646/235354/Autonomous-self-driving-laboratories-a-review-of</x:v>
      </x:c>
      <x:c r="P26" s="96" t="str">
        <x:v>待评审</x:v>
      </x:c>
    </x:row>
    <x:row r="27">
      <x:c r="A27" s="94" t="str">
        <x:v>T0023</x:v>
      </x:c>
      <x:c r="B27" s="95" t="str">
        <x:v>科研闭环与自主架构</x:v>
      </x:c>
      <x:c r="C27" s="95" t="str">
        <x:v>科学闭环与自主科研范式</x:v>
      </x:c>
      <x:c r="D27" s="95" t="str">
        <x:v>关键支撑</x:v>
      </x:c>
      <x:c r="E27" s="100" t="n">
        <x:v>8</x:v>
      </x:c>
      <x:c r="F27" s="95" t="str">
        <x:v>迁移发现</x:v>
      </x:c>
      <x:c r="G27" s="95" t="str">
        <x:v>A 证据、假设与科学闭环</x:v>
      </x:c>
      <x:c r="H27" s="95" t="str">
        <x:v>跨学科闭环</x:v>
      </x:c>
      <x:c r="I27" s="95" t="str">
        <x:v>把“提出假设—选实验—更新判断—停止/复现”变成可审计的科学闭环。</x:v>
      </x:c>
      <x:c r="J27" s="95" t="str">
        <x:v>落实为假设卡、替代解释、可证伪预测、停止规则和证据更新记录。</x:v>
      </x:c>
      <x:c r="K27" s="95" t="str">
        <x:v>可直接支撑当前EIS-only闭环。</x:v>
      </x:c>
      <x:c r="L27" s="95" t="str">
        <x:v>M2 扩展与复现（5–12月）</x:v>
      </x:c>
      <x:c r="M27" s="95" t="str">
        <x:v>按瓶颈接入</x:v>
      </x:c>
      <x:c r="N27" s="95" t="str">
        <x:v>P1</x:v>
      </x:c>
      <x:c r="O27" s="95" t="str">
        <x:v>https://www.science.org/doi/10.1126/scirobotics.aat5559</x:v>
      </x:c>
      <x:c r="P27" s="96" t="str">
        <x:v>待评审</x:v>
      </x:c>
    </x:row>
    <x:row r="28">
      <x:c r="A28" s="94" t="str">
        <x:v>T0024</x:v>
      </x:c>
      <x:c r="B28" s="95" t="str">
        <x:v>科研闭环与自主架构</x:v>
      </x:c>
      <x:c r="C28" s="95" t="str">
        <x:v>科学闭环与自主科研范式</x:v>
      </x:c>
      <x:c r="D28" s="95" t="str">
        <x:v>关键支撑</x:v>
      </x:c>
      <x:c r="E28" s="100" t="n">
        <x:v>8</x:v>
      </x:c>
      <x:c r="F28" s="95" t="str">
        <x:v>迁移发现</x:v>
      </x:c>
      <x:c r="G28" s="95" t="str">
        <x:v>A 证据、假设与科学闭环</x:v>
      </x:c>
      <x:c r="H28" s="95" t="str">
        <x:v>样本效率</x:v>
      </x:c>
      <x:c r="I28" s="95" t="str">
        <x:v>把“提出假设—选实验—更新判断—停止/复现”变成可审计的科学闭环。</x:v>
      </x:c>
      <x:c r="J28" s="95" t="str">
        <x:v>落实为假设卡、替代解释、可证伪预测、停止规则和证据更新记录。</x:v>
      </x:c>
      <x:c r="K28" s="95" t="str">
        <x:v>可直接支撑当前EIS-only闭环。</x:v>
      </x:c>
      <x:c r="L28" s="95" t="str">
        <x:v>M2 扩展与复现（5–12月）</x:v>
      </x:c>
      <x:c r="M28" s="95" t="str">
        <x:v>按瓶颈接入</x:v>
      </x:c>
      <x:c r="N28" s="95" t="str">
        <x:v>P1</x:v>
      </x:c>
      <x:c r="O28" s="95" t="str">
        <x:v>https://www.nature.com/articles/s41586-023-06734-w</x:v>
      </x:c>
      <x:c r="P28" s="96" t="str">
        <x:v>待评审</x:v>
      </x:c>
    </x:row>
    <x:row r="29">
      <x:c r="A29" s="94" t="str">
        <x:v>T0025</x:v>
      </x:c>
      <x:c r="B29" s="95" t="str">
        <x:v>科研闭环与自主架构</x:v>
      </x:c>
      <x:c r="C29" s="95" t="str">
        <x:v>科学闭环与自主科研范式</x:v>
      </x:c>
      <x:c r="D29" s="95" t="str">
        <x:v>核心必需</x:v>
      </x:c>
      <x:c r="E29" s="100" t="n">
        <x:v>11</x:v>
      </x:c>
      <x:c r="F29" s="95" t="str">
        <x:v>迁移发现</x:v>
      </x:c>
      <x:c r="G29" s="95" t="str">
        <x:v>A 证据、假设与科学闭环</x:v>
      </x:c>
      <x:c r="H29" s="95" t="str">
        <x:v>信息价值</x:v>
      </x:c>
      <x:c r="I29" s="95" t="str">
        <x:v>把“提出假设—选实验—更新判断—停止/复现”变成可审计的科学闭环。</x:v>
      </x:c>
      <x:c r="J29" s="95" t="str">
        <x:v>落实为假设卡、替代解释、可证伪预测、停止规则和证据更新记录。</x:v>
      </x:c>
      <x:c r="K29" s="95" t="str">
        <x:v>可直接支撑当前EIS-only闭环。</x:v>
      </x:c>
      <x:c r="L29" s="95" t="str">
        <x:v>M1 前瞻验证（2–5月）</x:v>
      </x:c>
      <x:c r="M29" s="95" t="str">
        <x:v>第二批接入</x:v>
      </x:c>
      <x:c r="N29" s="95" t="str">
        <x:v>P1</x:v>
      </x:c>
      <x:c r="O29" s="95" t="str">
        <x:v>https://www.nature.com/articles/s41586-023-06792-0</x:v>
      </x:c>
      <x:c r="P29" s="96" t="str">
        <x:v>待评审</x:v>
      </x:c>
    </x:row>
    <x:row r="30">
      <x:c r="A30" s="94" t="str">
        <x:v>T0026</x:v>
      </x:c>
      <x:c r="B30" s="95" t="str">
        <x:v>科研闭环与自主架构</x:v>
      </x:c>
      <x:c r="C30" s="95" t="str">
        <x:v>科学闭环与自主科研范式</x:v>
      </x:c>
      <x:c r="D30" s="95" t="str">
        <x:v>核心必需</x:v>
      </x:c>
      <x:c r="E30" s="100" t="n">
        <x:v>11</x:v>
      </x:c>
      <x:c r="F30" s="95" t="str">
        <x:v>迁移发现</x:v>
      </x:c>
      <x:c r="G30" s="95" t="str">
        <x:v>A 证据、假设与科学闭环</x:v>
      </x:c>
      <x:c r="H30" s="95" t="str">
        <x:v>探索—利用平衡</x:v>
      </x:c>
      <x:c r="I30" s="95" t="str">
        <x:v>把“提出假设—选实验—更新判断—停止/复现”变成可审计的科学闭环。</x:v>
      </x:c>
      <x:c r="J30" s="95" t="str">
        <x:v>落实为假设卡、替代解释、可证伪预测、停止规则和证据更新记录。</x:v>
      </x:c>
      <x:c r="K30" s="95" t="str">
        <x:v>可直接支撑当前EIS-only闭环。</x:v>
      </x:c>
      <x:c r="L30" s="95" t="str">
        <x:v>M1 前瞻验证（2–5月）</x:v>
      </x:c>
      <x:c r="M30" s="95" t="str">
        <x:v>第二批接入</x:v>
      </x:c>
      <x:c r="N30" s="95" t="str">
        <x:v>P1</x:v>
      </x:c>
      <x:c r="O30" s="95" t="str">
        <x:v>https://pubs.acs.org/doi/10.1021/acs.chemrev.4c00055</x:v>
      </x:c>
      <x:c r="P30" s="96" t="str">
        <x:v>待评审</x:v>
      </x:c>
    </x:row>
    <x:row r="31">
      <x:c r="A31" s="94" t="str">
        <x:v>T0027</x:v>
      </x:c>
      <x:c r="B31" s="95" t="str">
        <x:v>科研闭环与自主架构</x:v>
      </x:c>
      <x:c r="C31" s="95" t="str">
        <x:v>科学闭环与自主科研范式</x:v>
      </x:c>
      <x:c r="D31" s="95" t="str">
        <x:v>关键支撑</x:v>
      </x:c>
      <x:c r="E31" s="100" t="n">
        <x:v>8</x:v>
      </x:c>
      <x:c r="F31" s="95" t="str">
        <x:v>迁移发现</x:v>
      </x:c>
      <x:c r="G31" s="95" t="str">
        <x:v>A 证据、假设与科学闭环</x:v>
      </x:c>
      <x:c r="H31" s="95" t="str">
        <x:v>新颖性—效用平衡</x:v>
      </x:c>
      <x:c r="I31" s="95" t="str">
        <x:v>把“提出假设—选实验—更新判断—停止/复现”变成可审计的科学闭环。</x:v>
      </x:c>
      <x:c r="J31" s="95" t="str">
        <x:v>落实为假设卡、替代解释、可证伪预测、停止规则和证据更新记录。</x:v>
      </x:c>
      <x:c r="K31" s="95" t="str">
        <x:v>可直接支撑当前EIS-only闭环。</x:v>
      </x:c>
      <x:c r="L31" s="95" t="str">
        <x:v>M2 扩展与复现（5–12月）</x:v>
      </x:c>
      <x:c r="M31" s="95" t="str">
        <x:v>按瓶颈接入</x:v>
      </x:c>
      <x:c r="N31" s="95" t="str">
        <x:v>P1</x:v>
      </x:c>
      <x:c r="O31" s="95" t="str">
        <x:v>https://royalsocietypublishing.org/rsos/article/12/7/250646/235354/Autonomous-self-driving-laboratories-a-review-of</x:v>
      </x:c>
      <x:c r="P31" s="96" t="str">
        <x:v>待评审</x:v>
      </x:c>
    </x:row>
    <x:row r="32">
      <x:c r="A32" s="94" t="str">
        <x:v>T0028</x:v>
      </x:c>
      <x:c r="B32" s="95" t="str">
        <x:v>科研闭环与自主架构</x:v>
      </x:c>
      <x:c r="C32" s="95" t="str">
        <x:v>科学闭环与自主科研范式</x:v>
      </x:c>
      <x:c r="D32" s="95" t="str">
        <x:v>核心必需</x:v>
      </x:c>
      <x:c r="E32" s="100" t="n">
        <x:v>11</x:v>
      </x:c>
      <x:c r="F32" s="95" t="str">
        <x:v>迁移发现</x:v>
      </x:c>
      <x:c r="G32" s="95" t="str">
        <x:v>A 证据、假设与科学闭环</x:v>
      </x:c>
      <x:c r="H32" s="95" t="str">
        <x:v>不确定性驱动实验</x:v>
      </x:c>
      <x:c r="I32" s="95" t="str">
        <x:v>把“提出假设—选实验—更新判断—停止/复现”变成可审计的科学闭环。</x:v>
      </x:c>
      <x:c r="J32" s="95" t="str">
        <x:v>落实为假设卡、替代解释、可证伪预测、停止规则和证据更新记录。</x:v>
      </x:c>
      <x:c r="K32" s="95" t="str">
        <x:v>可直接支撑当前EIS-only闭环。</x:v>
      </x:c>
      <x:c r="L32" s="95" t="str">
        <x:v>M1 前瞻验证（2–5月）</x:v>
      </x:c>
      <x:c r="M32" s="95" t="str">
        <x:v>第二批接入</x:v>
      </x:c>
      <x:c r="N32" s="95" t="str">
        <x:v>P1</x:v>
      </x:c>
      <x:c r="O32" s="95" t="str">
        <x:v>https://www.science.org/doi/10.1126/scirobotics.aat5559</x:v>
      </x:c>
      <x:c r="P32" s="96" t="str">
        <x:v>待评审</x:v>
      </x:c>
    </x:row>
    <x:row r="33">
      <x:c r="A33" s="94" t="str">
        <x:v>T0029</x:v>
      </x:c>
      <x:c r="B33" s="95" t="str">
        <x:v>科研闭环与自主架构</x:v>
      </x:c>
      <x:c r="C33" s="95" t="str">
        <x:v>科学闭环与自主科研范式</x:v>
      </x:c>
      <x:c r="D33" s="95" t="str">
        <x:v>核心必需</x:v>
      </x:c>
      <x:c r="E33" s="100" t="n">
        <x:v>11</x:v>
      </x:c>
      <x:c r="F33" s="95" t="str">
        <x:v>迁移发现</x:v>
      </x:c>
      <x:c r="G33" s="95" t="str">
        <x:v>A 证据、假设与科学闭环</x:v>
      </x:c>
      <x:c r="H33" s="95" t="str">
        <x:v>风险感知实验</x:v>
      </x:c>
      <x:c r="I33" s="95" t="str">
        <x:v>把“提出假设—选实验—更新判断—停止/复现”变成可审计的科学闭环。</x:v>
      </x:c>
      <x:c r="J33" s="95" t="str">
        <x:v>落实为假设卡、替代解释、可证伪预测、停止规则和证据更新记录。</x:v>
      </x:c>
      <x:c r="K33" s="95" t="str">
        <x:v>可直接支撑当前EIS-only闭环。</x:v>
      </x:c>
      <x:c r="L33" s="95" t="str">
        <x:v>M1 前瞻验证（2–5月）</x:v>
      </x:c>
      <x:c r="M33" s="95" t="str">
        <x:v>第二批接入</x:v>
      </x:c>
      <x:c r="N33" s="95" t="str">
        <x:v>P2</x:v>
      </x:c>
      <x:c r="O33" s="95" t="str">
        <x:v>https://www.nature.com/articles/s41586-023-06734-w</x:v>
      </x:c>
      <x:c r="P33" s="96" t="str">
        <x:v>待评审</x:v>
      </x:c>
    </x:row>
    <x:row r="34">
      <x:c r="A34" s="94" t="str">
        <x:v>T0030</x:v>
      </x:c>
      <x:c r="B34" s="95" t="str">
        <x:v>科研闭环与自主架构</x:v>
      </x:c>
      <x:c r="C34" s="95" t="str">
        <x:v>科学闭环与自主科研范式</x:v>
      </x:c>
      <x:c r="D34" s="95" t="str">
        <x:v>关键支撑</x:v>
      </x:c>
      <x:c r="E34" s="100" t="n">
        <x:v>8</x:v>
      </x:c>
      <x:c r="F34" s="95" t="str">
        <x:v>迁移发现</x:v>
      </x:c>
      <x:c r="G34" s="95" t="str">
        <x:v>A 证据、假设与科学闭环</x:v>
      </x:c>
      <x:c r="H34" s="95" t="str">
        <x:v>Human-in-the-loop</x:v>
      </x:c>
      <x:c r="I34" s="95" t="str">
        <x:v>把“提出假设—选实验—更新判断—停止/复现”变成可审计的科学闭环。</x:v>
      </x:c>
      <x:c r="J34" s="95" t="str">
        <x:v>落实为假设卡、替代解释、可证伪预测、停止规则和证据更新记录。</x:v>
      </x:c>
      <x:c r="K34" s="95" t="str">
        <x:v>可直接支撑当前EIS-only闭环。</x:v>
      </x:c>
      <x:c r="L34" s="95" t="str">
        <x:v>M2 扩展与复现（5–12月）</x:v>
      </x:c>
      <x:c r="M34" s="95" t="str">
        <x:v>按瓶颈接入</x:v>
      </x:c>
      <x:c r="N34" s="95" t="str">
        <x:v>P2</x:v>
      </x:c>
      <x:c r="O34" s="95" t="str">
        <x:v>https://www.nature.com/articles/s41586-023-06792-0</x:v>
      </x:c>
      <x:c r="P34" s="96" t="str">
        <x:v>待评审</x:v>
      </x:c>
    </x:row>
    <x:row r="35">
      <x:c r="A35" s="94" t="str">
        <x:v>T0031</x:v>
      </x:c>
      <x:c r="B35" s="95" t="str">
        <x:v>科研闭环与自主架构</x:v>
      </x:c>
      <x:c r="C35" s="95" t="str">
        <x:v>科学闭环与自主科研范式</x:v>
      </x:c>
      <x:c r="D35" s="95" t="str">
        <x:v>关键支撑</x:v>
      </x:c>
      <x:c r="E35" s="100" t="n">
        <x:v>8</x:v>
      </x:c>
      <x:c r="F35" s="95" t="str">
        <x:v>迁移发现</x:v>
      </x:c>
      <x:c r="G35" s="95" t="str">
        <x:v>A 证据、假设与科学闭环</x:v>
      </x:c>
      <x:c r="H35" s="95" t="str">
        <x:v>Human-on-the-loop</x:v>
      </x:c>
      <x:c r="I35" s="95" t="str">
        <x:v>把“提出假设—选实验—更新判断—停止/复现”变成可审计的科学闭环。</x:v>
      </x:c>
      <x:c r="J35" s="95" t="str">
        <x:v>落实为假设卡、替代解释、可证伪预测、停止规则和证据更新记录。</x:v>
      </x:c>
      <x:c r="K35" s="95" t="str">
        <x:v>可直接支撑当前EIS-only闭环。</x:v>
      </x:c>
      <x:c r="L35" s="95" t="str">
        <x:v>M2 扩展与复现（5–12月）</x:v>
      </x:c>
      <x:c r="M35" s="95" t="str">
        <x:v>按瓶颈接入</x:v>
      </x:c>
      <x:c r="N35" s="95" t="str">
        <x:v>P2</x:v>
      </x:c>
      <x:c r="O35" s="95" t="str">
        <x:v>https://pubs.acs.org/doi/10.1021/acs.chemrev.4c00055</x:v>
      </x:c>
      <x:c r="P35" s="96" t="str">
        <x:v>待评审</x:v>
      </x:c>
    </x:row>
    <x:row r="36">
      <x:c r="A36" s="94" t="str">
        <x:v>T0032</x:v>
      </x:c>
      <x:c r="B36" s="95" t="str">
        <x:v>科研闭环与自主架构</x:v>
      </x:c>
      <x:c r="C36" s="95" t="str">
        <x:v>科学闭环与自主科研范式</x:v>
      </x:c>
      <x:c r="D36" s="95" t="str">
        <x:v>关键支撑</x:v>
      </x:c>
      <x:c r="E36" s="100" t="n">
        <x:v>8</x:v>
      </x:c>
      <x:c r="F36" s="95" t="str">
        <x:v>迁移发现</x:v>
      </x:c>
      <x:c r="G36" s="95" t="str">
        <x:v>A 证据、假设与科学闭环</x:v>
      </x:c>
      <x:c r="H36" s="95" t="str">
        <x:v>异常升级</x:v>
      </x:c>
      <x:c r="I36" s="95" t="str">
        <x:v>把“提出假设—选实验—更新判断—停止/复现”变成可审计的科学闭环。</x:v>
      </x:c>
      <x:c r="J36" s="95" t="str">
        <x:v>落实为假设卡、替代解释、可证伪预测、停止规则和证据更新记录。</x:v>
      </x:c>
      <x:c r="K36" s="95" t="str">
        <x:v>可直接支撑当前EIS-only闭环。</x:v>
      </x:c>
      <x:c r="L36" s="95" t="str">
        <x:v>M2 扩展与复现（5–12月）</x:v>
      </x:c>
      <x:c r="M36" s="95" t="str">
        <x:v>按瓶颈接入</x:v>
      </x:c>
      <x:c r="N36" s="95" t="str">
        <x:v>P2</x:v>
      </x:c>
      <x:c r="O36" s="95" t="str">
        <x:v>https://royalsocietypublishing.org/rsos/article/12/7/250646/235354/Autonomous-self-driving-laboratories-a-review-of</x:v>
      </x:c>
      <x:c r="P36" s="96" t="str">
        <x:v>待评审</x:v>
      </x:c>
    </x:row>
    <x:row r="37">
      <x:c r="A37" s="94" t="str">
        <x:v>T0033</x:v>
      </x:c>
      <x:c r="B37" s="95" t="str">
        <x:v>科研闭环与自主架构</x:v>
      </x:c>
      <x:c r="C37" s="95" t="str">
        <x:v>科学闭环与自主科研范式</x:v>
      </x:c>
      <x:c r="D37" s="95" t="str">
        <x:v>关键支撑</x:v>
      </x:c>
      <x:c r="E37" s="100" t="n">
        <x:v>8</x:v>
      </x:c>
      <x:c r="F37" s="95" t="str">
        <x:v>迁移发现</x:v>
      </x:c>
      <x:c r="G37" s="95" t="str">
        <x:v>A 证据、假设与科学闭环</x:v>
      </x:c>
      <x:c r="H37" s="95" t="str">
        <x:v>自主运行包络</x:v>
      </x:c>
      <x:c r="I37" s="95" t="str">
        <x:v>把“提出假设—选实验—更新判断—停止/复现”变成可审计的科学闭环。</x:v>
      </x:c>
      <x:c r="J37" s="95" t="str">
        <x:v>落实为假设卡、替代解释、可证伪预测、停止规则和证据更新记录。</x:v>
      </x:c>
      <x:c r="K37" s="95" t="str">
        <x:v>可直接支撑当前EIS-only闭环。</x:v>
      </x:c>
      <x:c r="L37" s="95" t="str">
        <x:v>M2 扩展与复现（5–12月）</x:v>
      </x:c>
      <x:c r="M37" s="95" t="str">
        <x:v>按瓶颈接入</x:v>
      </x:c>
      <x:c r="N37" s="95" t="str">
        <x:v>P2</x:v>
      </x:c>
      <x:c r="O37" s="95" t="str">
        <x:v>https://www.science.org/doi/10.1126/scirobotics.aat5559</x:v>
      </x:c>
      <x:c r="P37" s="96" t="str">
        <x:v>待评审</x:v>
      </x:c>
    </x:row>
    <x:row r="38">
      <x:c r="A38" s="94" t="str">
        <x:v>T0034</x:v>
      </x:c>
      <x:c r="B38" s="95" t="str">
        <x:v>科研闭环与自主架构</x:v>
      </x:c>
      <x:c r="C38" s="95" t="str">
        <x:v>科学闭环与自主科研范式</x:v>
      </x:c>
      <x:c r="D38" s="95" t="str">
        <x:v>关键支撑</x:v>
      </x:c>
      <x:c r="E38" s="100" t="n">
        <x:v>8</x:v>
      </x:c>
      <x:c r="F38" s="95" t="str">
        <x:v>迁移发现</x:v>
      </x:c>
      <x:c r="G38" s="95" t="str">
        <x:v>A 证据、假设与科学闭环</x:v>
      </x:c>
      <x:c r="H38" s="95" t="str">
        <x:v>持续学习</x:v>
      </x:c>
      <x:c r="I38" s="95" t="str">
        <x:v>把“提出假设—选实验—更新判断—停止/复现”变成可审计的科学闭环。</x:v>
      </x:c>
      <x:c r="J38" s="95" t="str">
        <x:v>落实为假设卡、替代解释、可证伪预测、停止规则和证据更新记录。</x:v>
      </x:c>
      <x:c r="K38" s="95" t="str">
        <x:v>可直接支撑当前EIS-only闭环。</x:v>
      </x:c>
      <x:c r="L38" s="95" t="str">
        <x:v>M2 扩展与复现（5–12月）</x:v>
      </x:c>
      <x:c r="M38" s="95" t="str">
        <x:v>按瓶颈接入</x:v>
      </x:c>
      <x:c r="N38" s="95" t="str">
        <x:v>P2</x:v>
      </x:c>
      <x:c r="O38" s="95" t="str">
        <x:v>https://www.nature.com/articles/s41586-023-06734-w</x:v>
      </x:c>
      <x:c r="P38" s="96" t="str">
        <x:v>待评审</x:v>
      </x:c>
    </x:row>
    <x:row r="39">
      <x:c r="A39" s="94" t="str">
        <x:v>T0035</x:v>
      </x:c>
      <x:c r="B39" s="95" t="str">
        <x:v>科研闭环与自主架构</x:v>
      </x:c>
      <x:c r="C39" s="95" t="str">
        <x:v>科学闭环与自主科研范式</x:v>
      </x:c>
      <x:c r="D39" s="95" t="str">
        <x:v>关键支撑</x:v>
      </x:c>
      <x:c r="E39" s="100" t="n">
        <x:v>8</x:v>
      </x:c>
      <x:c r="F39" s="95" t="str">
        <x:v>迁移发现</x:v>
      </x:c>
      <x:c r="G39" s="95" t="str">
        <x:v>A 证据、假设与科学闭环</x:v>
      </x:c>
      <x:c r="H39" s="95" t="str">
        <x:v>元学习</x:v>
      </x:c>
      <x:c r="I39" s="95" t="str">
        <x:v>把“提出假设—选实验—更新判断—停止/复现”变成可审计的科学闭环。</x:v>
      </x:c>
      <x:c r="J39" s="95" t="str">
        <x:v>落实为假设卡、替代解释、可证伪预测、停止规则和证据更新记录。</x:v>
      </x:c>
      <x:c r="K39" s="95" t="str">
        <x:v>可直接支撑当前EIS-only闭环。</x:v>
      </x:c>
      <x:c r="L39" s="95" t="str">
        <x:v>M2 扩展与复现（5–12月）</x:v>
      </x:c>
      <x:c r="M39" s="95" t="str">
        <x:v>按瓶颈接入</x:v>
      </x:c>
      <x:c r="N39" s="95" t="str">
        <x:v>P2</x:v>
      </x:c>
      <x:c r="O39" s="95" t="str">
        <x:v>https://www.nature.com/articles/s41586-023-06792-0</x:v>
      </x:c>
      <x:c r="P39" s="96" t="str">
        <x:v>待评审</x:v>
      </x:c>
    </x:row>
    <x:row r="40">
      <x:c r="A40" s="94" t="str">
        <x:v>T0036</x:v>
      </x:c>
      <x:c r="B40" s="95" t="str">
        <x:v>科研闭环与自主架构</x:v>
      </x:c>
      <x:c r="C40" s="95" t="str">
        <x:v>科学闭环与自主科研范式</x:v>
      </x:c>
      <x:c r="D40" s="95" t="str">
        <x:v>核心必需</x:v>
      </x:c>
      <x:c r="E40" s="100" t="n">
        <x:v>11</x:v>
      </x:c>
      <x:c r="F40" s="95" t="str">
        <x:v>迁移发现</x:v>
      </x:c>
      <x:c r="G40" s="95" t="str">
        <x:v>A 证据、假设与科学闭环</x:v>
      </x:c>
      <x:c r="H40" s="95" t="str">
        <x:v>自评估</x:v>
      </x:c>
      <x:c r="I40" s="95" t="str">
        <x:v>把“提出假设—选实验—更新判断—停止/复现”变成可审计的科学闭环。</x:v>
      </x:c>
      <x:c r="J40" s="95" t="str">
        <x:v>落实为假设卡、替代解释、可证伪预测、停止规则和证据更新记录。</x:v>
      </x:c>
      <x:c r="K40" s="95" t="str">
        <x:v>可直接支撑当前EIS-only闭环。</x:v>
      </x:c>
      <x:c r="L40" s="95" t="str">
        <x:v>M1 前瞻验证（2–5月）</x:v>
      </x:c>
      <x:c r="M40" s="95" t="str">
        <x:v>第二批接入</x:v>
      </x:c>
      <x:c r="N40" s="95" t="str">
        <x:v>P2</x:v>
      </x:c>
      <x:c r="O40" s="95" t="str">
        <x:v>https://pubs.acs.org/doi/10.1021/acs.chemrev.4c00055</x:v>
      </x:c>
      <x:c r="P40" s="96" t="str">
        <x:v>待评审</x:v>
      </x:c>
    </x:row>
    <x:row r="41">
      <x:c r="A41" s="94" t="str">
        <x:v>T0037</x:v>
      </x:c>
      <x:c r="B41" s="95" t="str">
        <x:v>科研闭环与自主架构</x:v>
      </x:c>
      <x:c r="C41" s="95" t="str">
        <x:v>科学闭环与自主科研范式</x:v>
      </x:c>
      <x:c r="D41" s="95" t="str">
        <x:v>核心必需</x:v>
      </x:c>
      <x:c r="E41" s="100" t="n">
        <x:v>11</x:v>
      </x:c>
      <x:c r="F41" s="95" t="str">
        <x:v>迁移发现</x:v>
      </x:c>
      <x:c r="G41" s="95" t="str">
        <x:v>A 证据、假设与科学闭环</x:v>
      </x:c>
      <x:c r="H41" s="95" t="str">
        <x:v>自纠错</x:v>
      </x:c>
      <x:c r="I41" s="95" t="str">
        <x:v>把“提出假设—选实验—更新判断—停止/复现”变成可审计的科学闭环。</x:v>
      </x:c>
      <x:c r="J41" s="95" t="str">
        <x:v>落实为假设卡、替代解释、可证伪预测、停止规则和证据更新记录。</x:v>
      </x:c>
      <x:c r="K41" s="95" t="str">
        <x:v>可直接支撑当前EIS-only闭环。</x:v>
      </x:c>
      <x:c r="L41" s="95" t="str">
        <x:v>M1 前瞻验证（2–5月）</x:v>
      </x:c>
      <x:c r="M41" s="95" t="str">
        <x:v>第二批接入</x:v>
      </x:c>
      <x:c r="N41" s="95" t="str">
        <x:v>P2</x:v>
      </x:c>
      <x:c r="O41" s="95" t="str">
        <x:v>https://royalsocietypublishing.org/rsos/article/12/7/250646/235354/Autonomous-self-driving-laboratories-a-review-of</x:v>
      </x:c>
      <x:c r="P41" s="96" t="str">
        <x:v>待评审</x:v>
      </x:c>
    </x:row>
    <x:row r="42">
      <x:c r="A42" s="94" t="str">
        <x:v>T0038</x:v>
      </x:c>
      <x:c r="B42" s="95" t="str">
        <x:v>科研闭环与自主架构</x:v>
      </x:c>
      <x:c r="C42" s="95" t="str">
        <x:v>科学闭环与自主科研范式</x:v>
      </x:c>
      <x:c r="D42" s="95" t="str">
        <x:v>核心必需</x:v>
      </x:c>
      <x:c r="E42" s="100" t="n">
        <x:v>11</x:v>
      </x:c>
      <x:c r="F42" s="95" t="str">
        <x:v>迁移发现</x:v>
      </x:c>
      <x:c r="G42" s="95" t="str">
        <x:v>A 证据、假设与科学闭环</x:v>
      </x:c>
      <x:c r="H42" s="95" t="str">
        <x:v>科学记忆</x:v>
      </x:c>
      <x:c r="I42" s="95" t="str">
        <x:v>把“提出假设—选实验—更新判断—停止/复现”变成可审计的科学闭环。</x:v>
      </x:c>
      <x:c r="J42" s="95" t="str">
        <x:v>落实为假设卡、替代解释、可证伪预测、停止规则和证据更新记录。</x:v>
      </x:c>
      <x:c r="K42" s="95" t="str">
        <x:v>可直接支撑当前EIS-only闭环。</x:v>
      </x:c>
      <x:c r="L42" s="95" t="str">
        <x:v>M1 前瞻验证（2–5月）</x:v>
      </x:c>
      <x:c r="M42" s="95" t="str">
        <x:v>第二批接入</x:v>
      </x:c>
      <x:c r="N42" s="95" t="str">
        <x:v>P2</x:v>
      </x:c>
      <x:c r="O42" s="95" t="str">
        <x:v>https://www.science.org/doi/10.1126/scirobotics.aat5559</x:v>
      </x:c>
      <x:c r="P42" s="96" t="str">
        <x:v>待评审</x:v>
      </x:c>
    </x:row>
    <x:row r="43">
      <x:c r="A43" s="94" t="str">
        <x:v>T0039</x:v>
      </x:c>
      <x:c r="B43" s="95" t="str">
        <x:v>科研闭环与自主架构</x:v>
      </x:c>
      <x:c r="C43" s="95" t="str">
        <x:v>科学闭环与自主科研范式</x:v>
      </x:c>
      <x:c r="D43" s="95" t="str">
        <x:v>核心必需</x:v>
      </x:c>
      <x:c r="E43" s="100" t="n">
        <x:v>11</x:v>
      </x:c>
      <x:c r="F43" s="95" t="str">
        <x:v>迁移发现</x:v>
      </x:c>
      <x:c r="G43" s="95" t="str">
        <x:v>A 证据、假设与科学闭环</x:v>
      </x:c>
      <x:c r="H43" s="95" t="str">
        <x:v>机器可检验证据</x:v>
      </x:c>
      <x:c r="I43" s="95" t="str">
        <x:v>把“提出假设—选实验—更新判断—停止/复现”变成可审计的科学闭环。</x:v>
      </x:c>
      <x:c r="J43" s="95" t="str">
        <x:v>落实为假设卡、替代解释、可证伪预测、停止规则和证据更新记录。</x:v>
      </x:c>
      <x:c r="K43" s="95" t="str">
        <x:v>可直接支撑当前EIS-only闭环。</x:v>
      </x:c>
      <x:c r="L43" s="95" t="str">
        <x:v>M1 前瞻验证（2–5月）</x:v>
      </x:c>
      <x:c r="M43" s="95" t="str">
        <x:v>第二批接入</x:v>
      </x:c>
      <x:c r="N43" s="95" t="str">
        <x:v>P2</x:v>
      </x:c>
      <x:c r="O43" s="95" t="str">
        <x:v>https://www.nature.com/articles/s41586-023-06734-w</x:v>
      </x:c>
      <x:c r="P43" s="96" t="str">
        <x:v>待评审</x:v>
      </x:c>
    </x:row>
    <x:row r="44">
      <x:c r="A44" s="94" t="str">
        <x:v>T0040</x:v>
      </x:c>
      <x:c r="B44" s="95" t="str">
        <x:v>科研闭环与自主架构</x:v>
      </x:c>
      <x:c r="C44" s="95" t="str">
        <x:v>科学闭环与自主科研范式</x:v>
      </x:c>
      <x:c r="D44" s="95" t="str">
        <x:v>核心必需</x:v>
      </x:c>
      <x:c r="E44" s="100" t="n">
        <x:v>11</x:v>
      </x:c>
      <x:c r="F44" s="95" t="str">
        <x:v>迁移发现</x:v>
      </x:c>
      <x:c r="G44" s="95" t="str">
        <x:v>A 证据、假设与科学闭环</x:v>
      </x:c>
      <x:c r="H44" s="95" t="str">
        <x:v>可发表溯源链</x:v>
      </x:c>
      <x:c r="I44" s="95" t="str">
        <x:v>把“提出假设—选实验—更新判断—停止/复现”变成可审计的科学闭环。</x:v>
      </x:c>
      <x:c r="J44" s="95" t="str">
        <x:v>落实为假设卡、替代解释、可证伪预测、停止规则和证据更新记录。</x:v>
      </x:c>
      <x:c r="K44" s="95" t="str">
        <x:v>可直接支撑当前EIS-only闭环。</x:v>
      </x:c>
      <x:c r="L44" s="95" t="str">
        <x:v>M1 前瞻验证（2–5月）</x:v>
      </x:c>
      <x:c r="M44" s="95" t="str">
        <x:v>第二批接入</x:v>
      </x:c>
      <x:c r="N44" s="95" t="str">
        <x:v>P2</x:v>
      </x:c>
      <x:c r="O44" s="95" t="str">
        <x:v>https://www.nature.com/articles/s41586-023-06792-0</x:v>
      </x:c>
      <x:c r="P44" s="96" t="str">
        <x:v>待评审</x:v>
      </x:c>
    </x:row>
    <x:row r="45">
      <x:c r="A45" s="94" t="str">
        <x:v>T0041</x:v>
      </x:c>
      <x:c r="B45" s="95" t="str">
        <x:v>科研闭环与自主架构</x:v>
      </x:c>
      <x:c r="C45" s="95" t="str">
        <x:v>自主等级与系统架构</x:v>
      </x:c>
      <x:c r="D45" s="95" t="str">
        <x:v>研究储备</x:v>
      </x:c>
      <x:c r="E45" s="100" t="n">
        <x:v>6</x:v>
      </x:c>
      <x:c r="F45" s="95" t="str">
        <x:v>两线共用</x:v>
      </x:c>
      <x:c r="G45" s="95" t="str">
        <x:v>E 可信智能体与控制架构</x:v>
      </x:c>
      <x:c r="H45" s="95" t="str">
        <x:v>任务自动化等级</x:v>
      </x:c>
      <x:c r="I45" s="95" t="str">
        <x:v>隔离语言推理、数值决策和仪器执行，限制自主权并支持回滚。</x:v>
      </x:c>
      <x:c r="J45" s="95" t="str">
        <x:v>接入外部验证器、结构化输出、置信校准、拒答、权限与人工门禁。</x:v>
      </x:c>
      <x:c r="K45" s="95" t="str">
        <x:v>可直接支撑当前EIS-only闭环。</x:v>
      </x:c>
      <x:c r="L45" s="95" t="str">
        <x:v>M3 研究储备</x:v>
      </x:c>
      <x:c r="M45" s="95" t="str">
        <x:v>条件具备后</x:v>
      </x:c>
      <x:c r="N45" s="95" t="str">
        <x:v>P0</x:v>
      </x:c>
      <x:c r="O45" s="95" t="str">
        <x:v>https://pubs.acs.org/doi/10.1021/acs.chemrev.4c00055</x:v>
      </x:c>
      <x:c r="P45" s="96" t="str">
        <x:v>待评审</x:v>
      </x:c>
    </x:row>
    <x:row r="46">
      <x:c r="A46" s="94" t="str">
        <x:v>T0042</x:v>
      </x:c>
      <x:c r="B46" s="95" t="str">
        <x:v>科研闭环与自主架构</x:v>
      </x:c>
      <x:c r="C46" s="95" t="str">
        <x:v>自主等级与系统架构</x:v>
      </x:c>
      <x:c r="D46" s="95" t="str">
        <x:v>研究储备</x:v>
      </x:c>
      <x:c r="E46" s="100" t="n">
        <x:v>6</x:v>
      </x:c>
      <x:c r="F46" s="95" t="str">
        <x:v>两线共用</x:v>
      </x:c>
      <x:c r="G46" s="95" t="str">
        <x:v>E 可信智能体与控制架构</x:v>
      </x:c>
      <x:c r="H46" s="95" t="str">
        <x:v>软件自主度</x:v>
      </x:c>
      <x:c r="I46" s="95" t="str">
        <x:v>隔离语言推理、数值决策和仪器执行，限制自主权并支持回滚。</x:v>
      </x:c>
      <x:c r="J46" s="95" t="str">
        <x:v>接入外部验证器、结构化输出、置信校准、拒答、权限与人工门禁。</x:v>
      </x:c>
      <x:c r="K46" s="95" t="str">
        <x:v>可直接支撑当前EIS-only闭环。</x:v>
      </x:c>
      <x:c r="L46" s="95" t="str">
        <x:v>M3 研究储备</x:v>
      </x:c>
      <x:c r="M46" s="95" t="str">
        <x:v>条件具备后</x:v>
      </x:c>
      <x:c r="N46" s="95" t="str">
        <x:v>P0</x:v>
      </x:c>
      <x:c r="O46" s="95" t="str">
        <x:v>https://royalsocietypublishing.org/rsos/article/12/7/250646/235354/Autonomous-self-driving-laboratories-a-review-of</x:v>
      </x:c>
      <x:c r="P46" s="96" t="str">
        <x:v>待评审</x:v>
      </x:c>
    </x:row>
    <x:row r="47">
      <x:c r="A47" s="94" t="str">
        <x:v>T0043</x:v>
      </x:c>
      <x:c r="B47" s="95" t="str">
        <x:v>科研闭环与自主架构</x:v>
      </x:c>
      <x:c r="C47" s="95" t="str">
        <x:v>自主等级与系统架构</x:v>
      </x:c>
      <x:c r="D47" s="95" t="str">
        <x:v>研究储备</x:v>
      </x:c>
      <x:c r="E47" s="100" t="n">
        <x:v>6</x:v>
      </x:c>
      <x:c r="F47" s="95" t="str">
        <x:v>两线共用</x:v>
      </x:c>
      <x:c r="G47" s="95" t="str">
        <x:v>E 可信智能体与控制架构</x:v>
      </x:c>
      <x:c r="H47" s="95" t="str">
        <x:v>硬件自主度</x:v>
      </x:c>
      <x:c r="I47" s="95" t="str">
        <x:v>隔离语言推理、数值决策和仪器执行，限制自主权并支持回滚。</x:v>
      </x:c>
      <x:c r="J47" s="95" t="str">
        <x:v>接入外部验证器、结构化输出、置信校准、拒答、权限与人工门禁。</x:v>
      </x:c>
      <x:c r="K47" s="95" t="str">
        <x:v>可直接支撑当前EIS-only闭环。</x:v>
      </x:c>
      <x:c r="L47" s="95" t="str">
        <x:v>M3 研究储备</x:v>
      </x:c>
      <x:c r="M47" s="95" t="str">
        <x:v>条件具备后</x:v>
      </x:c>
      <x:c r="N47" s="95" t="str">
        <x:v>P0</x:v>
      </x:c>
      <x:c r="O47" s="95" t="str">
        <x:v>https://www.nature.com/articles/s42004-026-01932-9</x:v>
      </x:c>
      <x:c r="P47" s="96" t="str">
        <x:v>待评审</x:v>
      </x:c>
    </x:row>
    <x:row r="48">
      <x:c r="A48" s="94" t="str">
        <x:v>T0044</x:v>
      </x:c>
      <x:c r="B48" s="95" t="str">
        <x:v>科研闭环与自主架构</x:v>
      </x:c>
      <x:c r="C48" s="95" t="str">
        <x:v>自主等级与系统架构</x:v>
      </x:c>
      <x:c r="D48" s="95" t="str">
        <x:v>研究储备</x:v>
      </x:c>
      <x:c r="E48" s="100" t="n">
        <x:v>6</x:v>
      </x:c>
      <x:c r="F48" s="95" t="str">
        <x:v>两线共用</x:v>
      </x:c>
      <x:c r="G48" s="95" t="str">
        <x:v>E 可信智能体与控制架构</x:v>
      </x:c>
      <x:c r="H48" s="95" t="str">
        <x:v>决策自主度</x:v>
      </x:c>
      <x:c r="I48" s="95" t="str">
        <x:v>隔离语言推理、数值决策和仪器执行，限制自主权并支持回滚。</x:v>
      </x:c>
      <x:c r="J48" s="95" t="str">
        <x:v>接入外部验证器、结构化输出、置信校准、拒答、权限与人工门禁。</x:v>
      </x:c>
      <x:c r="K48" s="95" t="str">
        <x:v>可直接支撑当前EIS-only闭环。</x:v>
      </x:c>
      <x:c r="L48" s="95" t="str">
        <x:v>M3 研究储备</x:v>
      </x:c>
      <x:c r="M48" s="95" t="str">
        <x:v>条件具备后</x:v>
      </x:c>
      <x:c r="N48" s="95" t="str">
        <x:v>P0</x:v>
      </x:c>
      <x:c r="O48" s="95" t="str">
        <x:v>https://www.science.org/doi/10.1126/scirobotics.aat5559</x:v>
      </x:c>
      <x:c r="P48" s="96" t="str">
        <x:v>待评审</x:v>
      </x:c>
    </x:row>
    <x:row r="49">
      <x:c r="A49" s="94" t="str">
        <x:v>T0045</x:v>
      </x:c>
      <x:c r="B49" s="95" t="str">
        <x:v>科研闭环与自主架构</x:v>
      </x:c>
      <x:c r="C49" s="95" t="str">
        <x:v>自主等级与系统架构</x:v>
      </x:c>
      <x:c r="D49" s="95" t="str">
        <x:v>核心必需</x:v>
      </x:c>
      <x:c r="E49" s="100" t="n">
        <x:v>12</x:v>
      </x:c>
      <x:c r="F49" s="95" t="str">
        <x:v>两线共用</x:v>
      </x:c>
      <x:c r="G49" s="95" t="str">
        <x:v>E 可信智能体与控制架构</x:v>
      </x:c>
      <x:c r="H49" s="95" t="str">
        <x:v>自适应自主权</x:v>
      </x:c>
      <x:c r="I49" s="95" t="str">
        <x:v>隔离语言推理、数值决策和仪器执行，限制自主权并支持回滚。</x:v>
      </x:c>
      <x:c r="J49" s="95" t="str">
        <x:v>接入外部验证器、结构化输出、置信校准、拒答、权限与人工门禁。</x:v>
      </x:c>
      <x:c r="K49" s="95" t="str">
        <x:v>可直接支撑当前EIS-only闭环。</x:v>
      </x:c>
      <x:c r="L49" s="95" t="str">
        <x:v>M0 主流程接入（0–2月）</x:v>
      </x:c>
      <x:c r="M49" s="95" t="str">
        <x:v>首批接入</x:v>
      </x:c>
      <x:c r="N49" s="95" t="str">
        <x:v>P0</x:v>
      </x:c>
      <x:c r="O49" s="95" t="str">
        <x:v>https://www.science.org/doi/10.1126/scirobotics.adm6991</x:v>
      </x:c>
      <x:c r="P49" s="96" t="str">
        <x:v>待评审</x:v>
      </x:c>
    </x:row>
    <x:row r="50">
      <x:c r="A50" s="94" t="str">
        <x:v>T0046</x:v>
      </x:c>
      <x:c r="B50" s="95" t="str">
        <x:v>科研闭环与自主架构</x:v>
      </x:c>
      <x:c r="C50" s="95" t="str">
        <x:v>自主等级与系统架构</x:v>
      </x:c>
      <x:c r="D50" s="95" t="str">
        <x:v>关键支撑</x:v>
      </x:c>
      <x:c r="E50" s="100" t="n">
        <x:v>9</x:v>
      </x:c>
      <x:c r="F50" s="95" t="str">
        <x:v>两线共用</x:v>
      </x:c>
      <x:c r="G50" s="95" t="str">
        <x:v>E 可信智能体与控制架构</x:v>
      </x:c>
      <x:c r="H50" s="95" t="str">
        <x:v>混合主动权</x:v>
      </x:c>
      <x:c r="I50" s="95" t="str">
        <x:v>隔离语言推理、数值决策和仪器执行，限制自主权并支持回滚。</x:v>
      </x:c>
      <x:c r="J50" s="95" t="str">
        <x:v>接入外部验证器、结构化输出、置信校准、拒答、权限与人工门禁。</x:v>
      </x:c>
      <x:c r="K50" s="95" t="str">
        <x:v>可直接支撑当前EIS-only闭环。</x:v>
      </x:c>
      <x:c r="L50" s="95" t="str">
        <x:v>M2 扩展与复现（5–12月）</x:v>
      </x:c>
      <x:c r="M50" s="95" t="str">
        <x:v>按瓶颈接入</x:v>
      </x:c>
      <x:c r="N50" s="95" t="str">
        <x:v>P0</x:v>
      </x:c>
      <x:c r="O50" s="95" t="str">
        <x:v>https://pubs.acs.org/doi/10.1021/acs.chemrev.4c00055</x:v>
      </x:c>
      <x:c r="P50" s="96" t="str">
        <x:v>待评审</x:v>
      </x:c>
    </x:row>
    <x:row r="51">
      <x:c r="A51" s="94" t="str">
        <x:v>T0047</x:v>
      </x:c>
      <x:c r="B51" s="95" t="str">
        <x:v>科研闭环与自主架构</x:v>
      </x:c>
      <x:c r="C51" s="95" t="str">
        <x:v>自主等级与系统架构</x:v>
      </x:c>
      <x:c r="D51" s="95" t="str">
        <x:v>关键支撑</x:v>
      </x:c>
      <x:c r="E51" s="100" t="n">
        <x:v>9</x:v>
      </x:c>
      <x:c r="F51" s="95" t="str">
        <x:v>两线共用</x:v>
      </x:c>
      <x:c r="G51" s="95" t="str">
        <x:v>E 可信智能体与控制架构</x:v>
      </x:c>
      <x:c r="H51" s="95" t="str">
        <x:v>分层控制</x:v>
      </x:c>
      <x:c r="I51" s="95" t="str">
        <x:v>隔离语言推理、数值决策和仪器执行，限制自主权并支持回滚。</x:v>
      </x:c>
      <x:c r="J51" s="95" t="str">
        <x:v>接入外部验证器、结构化输出、置信校准、拒答、权限与人工门禁。</x:v>
      </x:c>
      <x:c r="K51" s="95" t="str">
        <x:v>可直接支撑当前EIS-only闭环。</x:v>
      </x:c>
      <x:c r="L51" s="95" t="str">
        <x:v>M2 扩展与复现（5–12月）</x:v>
      </x:c>
      <x:c r="M51" s="95" t="str">
        <x:v>按瓶颈接入</x:v>
      </x:c>
      <x:c r="N51" s="95" t="str">
        <x:v>P0</x:v>
      </x:c>
      <x:c r="O51" s="95" t="str">
        <x:v>https://royalsocietypublishing.org/rsos/article/12/7/250646/235354/Autonomous-self-driving-laboratories-a-review-of</x:v>
      </x:c>
      <x:c r="P51" s="96" t="str">
        <x:v>待评审</x:v>
      </x:c>
    </x:row>
    <x:row r="52">
      <x:c r="A52" s="94" t="str">
        <x:v>T0048</x:v>
      </x:c>
      <x:c r="B52" s="95" t="str">
        <x:v>科研闭环与自主架构</x:v>
      </x:c>
      <x:c r="C52" s="95" t="str">
        <x:v>自主等级与系统架构</x:v>
      </x:c>
      <x:c r="D52" s="95" t="str">
        <x:v>研究储备</x:v>
      </x:c>
      <x:c r="E52" s="100" t="n">
        <x:v>6</x:v>
      </x:c>
      <x:c r="F52" s="95" t="str">
        <x:v>两线共用</x:v>
      </x:c>
      <x:c r="G52" s="95" t="str">
        <x:v>E 可信智能体与控制架构</x:v>
      </x:c>
      <x:c r="H52" s="95" t="str">
        <x:v>Sense-Plan-Act</x:v>
      </x:c>
      <x:c r="I52" s="95" t="str">
        <x:v>隔离语言推理、数值决策和仪器执行，限制自主权并支持回滚。</x:v>
      </x:c>
      <x:c r="J52" s="95" t="str">
        <x:v>接入外部验证器、结构化输出、置信校准、拒答、权限与人工门禁。</x:v>
      </x:c>
      <x:c r="K52" s="95" t="str">
        <x:v>可直接支撑当前EIS-only闭环。</x:v>
      </x:c>
      <x:c r="L52" s="95" t="str">
        <x:v>M3 研究储备</x:v>
      </x:c>
      <x:c r="M52" s="95" t="str">
        <x:v>条件具备后</x:v>
      </x:c>
      <x:c r="N52" s="95" t="str">
        <x:v>P0</x:v>
      </x:c>
      <x:c r="O52" s="95" t="str">
        <x:v>https://www.nature.com/articles/s42004-026-01932-9</x:v>
      </x:c>
      <x:c r="P52" s="96" t="str">
        <x:v>待评审</x:v>
      </x:c>
    </x:row>
    <x:row r="53">
      <x:c r="A53" s="94" t="str">
        <x:v>T0049</x:v>
      </x:c>
      <x:c r="B53" s="95" t="str">
        <x:v>科研闭环与自主架构</x:v>
      </x:c>
      <x:c r="C53" s="95" t="str">
        <x:v>自主等级与系统架构</x:v>
      </x:c>
      <x:c r="D53" s="95" t="str">
        <x:v>研究储备</x:v>
      </x:c>
      <x:c r="E53" s="100" t="n">
        <x:v>6</x:v>
      </x:c>
      <x:c r="F53" s="95" t="str">
        <x:v>两线共用</x:v>
      </x:c>
      <x:c r="G53" s="95" t="str">
        <x:v>E 可信智能体与控制架构</x:v>
      </x:c>
      <x:c r="H53" s="95" t="str">
        <x:v>MAPE-K</x:v>
      </x:c>
      <x:c r="I53" s="95" t="str">
        <x:v>隔离语言推理、数值决策和仪器执行，限制自主权并支持回滚。</x:v>
      </x:c>
      <x:c r="J53" s="95" t="str">
        <x:v>接入外部验证器、结构化输出、置信校准、拒答、权限与人工门禁。</x:v>
      </x:c>
      <x:c r="K53" s="95" t="str">
        <x:v>可直接支撑当前EIS-only闭环。</x:v>
      </x:c>
      <x:c r="L53" s="95" t="str">
        <x:v>M3 研究储备</x:v>
      </x:c>
      <x:c r="M53" s="95" t="str">
        <x:v>条件具备后</x:v>
      </x:c>
      <x:c r="N53" s="95" t="str">
        <x:v>P0</x:v>
      </x:c>
      <x:c r="O53" s="95" t="str">
        <x:v>https://www.science.org/doi/10.1126/scirobotics.aat5559</x:v>
      </x:c>
      <x:c r="P53" s="96" t="str">
        <x:v>待评审</x:v>
      </x:c>
    </x:row>
    <x:row r="54">
      <x:c r="A54" s="94" t="str">
        <x:v>T0050</x:v>
      </x:c>
      <x:c r="B54" s="95" t="str">
        <x:v>科研闭环与自主架构</x:v>
      </x:c>
      <x:c r="C54" s="95" t="str">
        <x:v>自主等级与系统架构</x:v>
      </x:c>
      <x:c r="D54" s="95" t="str">
        <x:v>研究储备</x:v>
      </x:c>
      <x:c r="E54" s="100" t="n">
        <x:v>6</x:v>
      </x:c>
      <x:c r="F54" s="95" t="str">
        <x:v>两线共用</x:v>
      </x:c>
      <x:c r="G54" s="95" t="str">
        <x:v>E 可信智能体与控制架构</x:v>
      </x:c>
      <x:c r="H54" s="95" t="str">
        <x:v>OODA</x:v>
      </x:c>
      <x:c r="I54" s="95" t="str">
        <x:v>隔离语言推理、数值决策和仪器执行，限制自主权并支持回滚。</x:v>
      </x:c>
      <x:c r="J54" s="95" t="str">
        <x:v>接入外部验证器、结构化输出、置信校准、拒答、权限与人工门禁。</x:v>
      </x:c>
      <x:c r="K54" s="95" t="str">
        <x:v>可直接支撑当前EIS-only闭环。</x:v>
      </x:c>
      <x:c r="L54" s="95" t="str">
        <x:v>M3 研究储备</x:v>
      </x:c>
      <x:c r="M54" s="95" t="str">
        <x:v>条件具备后</x:v>
      </x:c>
      <x:c r="N54" s="95" t="str">
        <x:v>P0</x:v>
      </x:c>
      <x:c r="O54" s="95" t="str">
        <x:v>https://www.science.org/doi/10.1126/scirobotics.adm6991</x:v>
      </x:c>
      <x:c r="P54" s="96" t="str">
        <x:v>待评审</x:v>
      </x:c>
    </x:row>
    <x:row r="55">
      <x:c r="A55" s="94" t="str">
        <x:v>T0051</x:v>
      </x:c>
      <x:c r="B55" s="95" t="str">
        <x:v>科研闭环与自主架构</x:v>
      </x:c>
      <x:c r="C55" s="95" t="str">
        <x:v>自主等级与系统架构</x:v>
      </x:c>
      <x:c r="D55" s="95" t="str">
        <x:v>研究储备</x:v>
      </x:c>
      <x:c r="E55" s="100" t="n">
        <x:v>6</x:v>
      </x:c>
      <x:c r="F55" s="95" t="str">
        <x:v>两线共用</x:v>
      </x:c>
      <x:c r="G55" s="95" t="str">
        <x:v>E 可信智能体与控制架构</x:v>
      </x:c>
      <x:c r="H55" s="95" t="str">
        <x:v>感知—规划—控制解耦</x:v>
      </x:c>
      <x:c r="I55" s="95" t="str">
        <x:v>隔离语言推理、数值决策和仪器执行，限制自主权并支持回滚。</x:v>
      </x:c>
      <x:c r="J55" s="95" t="str">
        <x:v>接入外部验证器、结构化输出、置信校准、拒答、权限与人工门禁。</x:v>
      </x:c>
      <x:c r="K55" s="95" t="str">
        <x:v>可直接支撑当前EIS-only闭环。</x:v>
      </x:c>
      <x:c r="L55" s="95" t="str">
        <x:v>M3 研究储备</x:v>
      </x:c>
      <x:c r="M55" s="95" t="str">
        <x:v>条件具备后</x:v>
      </x:c>
      <x:c r="N55" s="95" t="str">
        <x:v>P1</x:v>
      </x:c>
      <x:c r="O55" s="95" t="str">
        <x:v>https://pubs.acs.org/doi/10.1021/acs.chemrev.4c00055</x:v>
      </x:c>
      <x:c r="P55" s="96" t="str">
        <x:v>待评审</x:v>
      </x:c>
    </x:row>
    <x:row r="56">
      <x:c r="A56" s="94" t="str">
        <x:v>T0052</x:v>
      </x:c>
      <x:c r="B56" s="95" t="str">
        <x:v>科研闭环与自主架构</x:v>
      </x:c>
      <x:c r="C56" s="95" t="str">
        <x:v>自主等级与系统架构</x:v>
      </x:c>
      <x:c r="D56" s="95" t="str">
        <x:v>研究储备</x:v>
      </x:c>
      <x:c r="E56" s="100" t="n">
        <x:v>6</x:v>
      </x:c>
      <x:c r="F56" s="95" t="str">
        <x:v>两线共用</x:v>
      </x:c>
      <x:c r="G56" s="95" t="str">
        <x:v>E 可信智能体与控制架构</x:v>
      </x:c>
      <x:c r="H56" s="95" t="str">
        <x:v>事件驱动架构</x:v>
      </x:c>
      <x:c r="I56" s="95" t="str">
        <x:v>隔离语言推理、数值决策和仪器执行，限制自主权并支持回滚。</x:v>
      </x:c>
      <x:c r="J56" s="95" t="str">
        <x:v>接入外部验证器、结构化输出、置信校准、拒答、权限与人工门禁。</x:v>
      </x:c>
      <x:c r="K56" s="95" t="str">
        <x:v>可直接支撑当前EIS-only闭环。</x:v>
      </x:c>
      <x:c r="L56" s="95" t="str">
        <x:v>M3 研究储备</x:v>
      </x:c>
      <x:c r="M56" s="95" t="str">
        <x:v>条件具备后</x:v>
      </x:c>
      <x:c r="N56" s="95" t="str">
        <x:v>P1</x:v>
      </x:c>
      <x:c r="O56" s="95" t="str">
        <x:v>https://royalsocietypublishing.org/rsos/article/12/7/250646/235354/Autonomous-self-driving-laboratories-a-review-of</x:v>
      </x:c>
      <x:c r="P56" s="96" t="str">
        <x:v>待评审</x:v>
      </x:c>
    </x:row>
    <x:row r="57">
      <x:c r="A57" s="94" t="str">
        <x:v>T0053</x:v>
      </x:c>
      <x:c r="B57" s="95" t="str">
        <x:v>科研闭环与自主架构</x:v>
      </x:c>
      <x:c r="C57" s="95" t="str">
        <x:v>自主等级与系统架构</x:v>
      </x:c>
      <x:c r="D57" s="95" t="str">
        <x:v>研究储备</x:v>
      </x:c>
      <x:c r="E57" s="100" t="n">
        <x:v>6</x:v>
      </x:c>
      <x:c r="F57" s="95" t="str">
        <x:v>两线共用</x:v>
      </x:c>
      <x:c r="G57" s="95" t="str">
        <x:v>E 可信智能体与控制架构</x:v>
      </x:c>
      <x:c r="H57" s="95" t="str">
        <x:v>服务化架构</x:v>
      </x:c>
      <x:c r="I57" s="95" t="str">
        <x:v>隔离语言推理、数值决策和仪器执行，限制自主权并支持回滚。</x:v>
      </x:c>
      <x:c r="J57" s="95" t="str">
        <x:v>接入外部验证器、结构化输出、置信校准、拒答、权限与人工门禁。</x:v>
      </x:c>
      <x:c r="K57" s="95" t="str">
        <x:v>可直接支撑当前EIS-only闭环。</x:v>
      </x:c>
      <x:c r="L57" s="95" t="str">
        <x:v>M3 研究储备</x:v>
      </x:c>
      <x:c r="M57" s="95" t="str">
        <x:v>条件具备后</x:v>
      </x:c>
      <x:c r="N57" s="95" t="str">
        <x:v>P1</x:v>
      </x:c>
      <x:c r="O57" s="95" t="str">
        <x:v>https://www.nature.com/articles/s42004-026-01932-9</x:v>
      </x:c>
      <x:c r="P57" s="96" t="str">
        <x:v>待评审</x:v>
      </x:c>
    </x:row>
    <x:row r="58">
      <x:c r="A58" s="94" t="str">
        <x:v>T0054</x:v>
      </x:c>
      <x:c r="B58" s="95" t="str">
        <x:v>科研闭环与自主架构</x:v>
      </x:c>
      <x:c r="C58" s="95" t="str">
        <x:v>自主等级与系统架构</x:v>
      </x:c>
      <x:c r="D58" s="95" t="str">
        <x:v>研究储备</x:v>
      </x:c>
      <x:c r="E58" s="100" t="n">
        <x:v>6</x:v>
      </x:c>
      <x:c r="F58" s="95" t="str">
        <x:v>两线共用</x:v>
      </x:c>
      <x:c r="G58" s="95" t="str">
        <x:v>E 可信智能体与控制架构</x:v>
      </x:c>
      <x:c r="H58" s="95" t="str">
        <x:v>微服务架构</x:v>
      </x:c>
      <x:c r="I58" s="95" t="str">
        <x:v>隔离语言推理、数值决策和仪器执行，限制自主权并支持回滚。</x:v>
      </x:c>
      <x:c r="J58" s="95" t="str">
        <x:v>接入外部验证器、结构化输出、置信校准、拒答、权限与人工门禁。</x:v>
      </x:c>
      <x:c r="K58" s="95" t="str">
        <x:v>可直接支撑当前EIS-only闭环。</x:v>
      </x:c>
      <x:c r="L58" s="95" t="str">
        <x:v>M3 研究储备</x:v>
      </x:c>
      <x:c r="M58" s="95" t="str">
        <x:v>条件具备后</x:v>
      </x:c>
      <x:c r="N58" s="95" t="str">
        <x:v>P1</x:v>
      </x:c>
      <x:c r="O58" s="95" t="str">
        <x:v>https://www.science.org/doi/10.1126/scirobotics.aat5559</x:v>
      </x:c>
      <x:c r="P58" s="96" t="str">
        <x:v>待评审</x:v>
      </x:c>
    </x:row>
    <x:row r="59">
      <x:c r="A59" s="94" t="str">
        <x:v>T0055</x:v>
      </x:c>
      <x:c r="B59" s="95" t="str">
        <x:v>科研闭环与自主架构</x:v>
      </x:c>
      <x:c r="C59" s="95" t="str">
        <x:v>自主等级与系统架构</x:v>
      </x:c>
      <x:c r="D59" s="95" t="str">
        <x:v>研究储备</x:v>
      </x:c>
      <x:c r="E59" s="100" t="n">
        <x:v>6</x:v>
      </x:c>
      <x:c r="F59" s="95" t="str">
        <x:v>两线共用</x:v>
      </x:c>
      <x:c r="G59" s="95" t="str">
        <x:v>E 可信智能体与控制架构</x:v>
      </x:c>
      <x:c r="H59" s="95" t="str">
        <x:v>模块化即插即用</x:v>
      </x:c>
      <x:c r="I59" s="95" t="str">
        <x:v>隔离语言推理、数值决策和仪器执行，限制自主权并支持回滚。</x:v>
      </x:c>
      <x:c r="J59" s="95" t="str">
        <x:v>接入外部验证器、结构化输出、置信校准、拒答、权限与人工门禁。</x:v>
      </x:c>
      <x:c r="K59" s="95" t="str">
        <x:v>可直接支撑当前EIS-only闭环。</x:v>
      </x:c>
      <x:c r="L59" s="95" t="str">
        <x:v>M3 研究储备</x:v>
      </x:c>
      <x:c r="M59" s="95" t="str">
        <x:v>条件具备后</x:v>
      </x:c>
      <x:c r="N59" s="95" t="str">
        <x:v>P1</x:v>
      </x:c>
      <x:c r="O59" s="95" t="str">
        <x:v>https://www.science.org/doi/10.1126/scirobotics.adm6991</x:v>
      </x:c>
      <x:c r="P59" s="96" t="str">
        <x:v>待评审</x:v>
      </x:c>
    </x:row>
    <x:row r="60">
      <x:c r="A60" s="94" t="str">
        <x:v>T0056</x:v>
      </x:c>
      <x:c r="B60" s="95" t="str">
        <x:v>科研闭环与自主架构</x:v>
      </x:c>
      <x:c r="C60" s="95" t="str">
        <x:v>自主等级与系统架构</x:v>
      </x:c>
      <x:c r="D60" s="95" t="str">
        <x:v>研究储备</x:v>
      </x:c>
      <x:c r="E60" s="100" t="n">
        <x:v>6</x:v>
      </x:c>
      <x:c r="F60" s="95" t="str">
        <x:v>两线共用</x:v>
      </x:c>
      <x:c r="G60" s="95" t="str">
        <x:v>E 可信智能体与控制架构</x:v>
      </x:c>
      <x:c r="H60" s="95" t="str">
        <x:v>有限状态机</x:v>
      </x:c>
      <x:c r="I60" s="95" t="str">
        <x:v>隔离语言推理、数值决策和仪器执行，限制自主权并支持回滚。</x:v>
      </x:c>
      <x:c r="J60" s="95" t="str">
        <x:v>接入外部验证器、结构化输出、置信校准、拒答、权限与人工门禁。</x:v>
      </x:c>
      <x:c r="K60" s="95" t="str">
        <x:v>可直接支撑当前EIS-only闭环。</x:v>
      </x:c>
      <x:c r="L60" s="95" t="str">
        <x:v>M3 研究储备</x:v>
      </x:c>
      <x:c r="M60" s="95" t="str">
        <x:v>条件具备后</x:v>
      </x:c>
      <x:c r="N60" s="95" t="str">
        <x:v>P1</x:v>
      </x:c>
      <x:c r="O60" s="95" t="str">
        <x:v>https://pubs.acs.org/doi/10.1021/acs.chemrev.4c00055</x:v>
      </x:c>
      <x:c r="P60" s="96" t="str">
        <x:v>待评审</x:v>
      </x:c>
    </x:row>
    <x:row r="61">
      <x:c r="A61" s="94" t="str">
        <x:v>T0057</x:v>
      </x:c>
      <x:c r="B61" s="95" t="str">
        <x:v>科研闭环与自主架构</x:v>
      </x:c>
      <x:c r="C61" s="95" t="str">
        <x:v>自主等级与系统架构</x:v>
      </x:c>
      <x:c r="D61" s="95" t="str">
        <x:v>研究储备</x:v>
      </x:c>
      <x:c r="E61" s="100" t="n">
        <x:v>6</x:v>
      </x:c>
      <x:c r="F61" s="95" t="str">
        <x:v>两线共用</x:v>
      </x:c>
      <x:c r="G61" s="95" t="str">
        <x:v>E 可信智能体与控制架构</x:v>
      </x:c>
      <x:c r="H61" s="95" t="str">
        <x:v>行为树</x:v>
      </x:c>
      <x:c r="I61" s="95" t="str">
        <x:v>隔离语言推理、数值决策和仪器执行，限制自主权并支持回滚。</x:v>
      </x:c>
      <x:c r="J61" s="95" t="str">
        <x:v>接入外部验证器、结构化输出、置信校准、拒答、权限与人工门禁。</x:v>
      </x:c>
      <x:c r="K61" s="95" t="str">
        <x:v>可直接支撑当前EIS-only闭环。</x:v>
      </x:c>
      <x:c r="L61" s="95" t="str">
        <x:v>M3 研究储备</x:v>
      </x:c>
      <x:c r="M61" s="95" t="str">
        <x:v>条件具备后</x:v>
      </x:c>
      <x:c r="N61" s="95" t="str">
        <x:v>P1</x:v>
      </x:c>
      <x:c r="O61" s="95" t="str">
        <x:v>https://royalsocietypublishing.org/rsos/article/12/7/250646/235354/Autonomous-self-driving-laboratories-a-review-of</x:v>
      </x:c>
      <x:c r="P61" s="96" t="str">
        <x:v>待评审</x:v>
      </x:c>
    </x:row>
    <x:row r="62">
      <x:c r="A62" s="94" t="str">
        <x:v>T0058</x:v>
      </x:c>
      <x:c r="B62" s="95" t="str">
        <x:v>科研闭环与自主架构</x:v>
      </x:c>
      <x:c r="C62" s="95" t="str">
        <x:v>自主等级与系统架构</x:v>
      </x:c>
      <x:c r="D62" s="95" t="str">
        <x:v>核心必需</x:v>
      </x:c>
      <x:c r="E62" s="100" t="n">
        <x:v>12</x:v>
      </x:c>
      <x:c r="F62" s="95" t="str">
        <x:v>两线共用</x:v>
      </x:c>
      <x:c r="G62" s="95" t="str">
        <x:v>E 可信智能体与控制架构</x:v>
      </x:c>
      <x:c r="H62" s="95" t="str">
        <x:v>工作流DAG</x:v>
      </x:c>
      <x:c r="I62" s="95" t="str">
        <x:v>隔离语言推理、数值决策和仪器执行，限制自主权并支持回滚。</x:v>
      </x:c>
      <x:c r="J62" s="95" t="str">
        <x:v>接入外部验证器、结构化输出、置信校准、拒答、权限与人工门禁。</x:v>
      </x:c>
      <x:c r="K62" s="95" t="str">
        <x:v>可直接支撑当前EIS-only闭环。</x:v>
      </x:c>
      <x:c r="L62" s="95" t="str">
        <x:v>M0 主流程接入（0–2月）</x:v>
      </x:c>
      <x:c r="M62" s="95" t="str">
        <x:v>首批接入</x:v>
      </x:c>
      <x:c r="N62" s="95" t="str">
        <x:v>P1</x:v>
      </x:c>
      <x:c r="O62" s="95" t="str">
        <x:v>https://www.nature.com/articles/s42004-026-01932-9</x:v>
      </x:c>
      <x:c r="P62" s="96" t="str">
        <x:v>待评审</x:v>
      </x:c>
    </x:row>
    <x:row r="63">
      <x:c r="A63" s="94" t="str">
        <x:v>T0059</x:v>
      </x:c>
      <x:c r="B63" s="95" t="str">
        <x:v>科研闭环与自主架构</x:v>
      </x:c>
      <x:c r="C63" s="95" t="str">
        <x:v>自主等级与系统架构</x:v>
      </x:c>
      <x:c r="D63" s="95" t="str">
        <x:v>研究储备</x:v>
      </x:c>
      <x:c r="E63" s="100" t="n">
        <x:v>6</x:v>
      </x:c>
      <x:c r="F63" s="95" t="str">
        <x:v>两线共用</x:v>
      </x:c>
      <x:c r="G63" s="95" t="str">
        <x:v>E 可信智能体与控制架构</x:v>
      </x:c>
      <x:c r="H63" s="95" t="str">
        <x:v>Petri网</x:v>
      </x:c>
      <x:c r="I63" s="95" t="str">
        <x:v>隔离语言推理、数值决策和仪器执行，限制自主权并支持回滚。</x:v>
      </x:c>
      <x:c r="J63" s="95" t="str">
        <x:v>接入外部验证器、结构化输出、置信校准、拒答、权限与人工门禁。</x:v>
      </x:c>
      <x:c r="K63" s="95" t="str">
        <x:v>可直接支撑当前EIS-only闭环。</x:v>
      </x:c>
      <x:c r="L63" s="95" t="str">
        <x:v>M3 研究储备</x:v>
      </x:c>
      <x:c r="M63" s="95" t="str">
        <x:v>条件具备后</x:v>
      </x:c>
      <x:c r="N63" s="95" t="str">
        <x:v>P1</x:v>
      </x:c>
      <x:c r="O63" s="95" t="str">
        <x:v>https://www.science.org/doi/10.1126/scirobotics.aat5559</x:v>
      </x:c>
      <x:c r="P63" s="96" t="str">
        <x:v>待评审</x:v>
      </x:c>
    </x:row>
    <x:row r="64">
      <x:c r="A64" s="94" t="str">
        <x:v>T0060</x:v>
      </x:c>
      <x:c r="B64" s="95" t="str">
        <x:v>科研闭环与自主架构</x:v>
      </x:c>
      <x:c r="C64" s="95" t="str">
        <x:v>自主等级与系统架构</x:v>
      </x:c>
      <x:c r="D64" s="95" t="str">
        <x:v>研究储备</x:v>
      </x:c>
      <x:c r="E64" s="100" t="n">
        <x:v>6</x:v>
      </x:c>
      <x:c r="F64" s="95" t="str">
        <x:v>两线共用</x:v>
      </x:c>
      <x:c r="G64" s="95" t="str">
        <x:v>E 可信智能体与控制架构</x:v>
      </x:c>
      <x:c r="H64" s="95" t="str">
        <x:v>黑板架构</x:v>
      </x:c>
      <x:c r="I64" s="95" t="str">
        <x:v>隔离语言推理、数值决策和仪器执行，限制自主权并支持回滚。</x:v>
      </x:c>
      <x:c r="J64" s="95" t="str">
        <x:v>接入外部验证器、结构化输出、置信校准、拒答、权限与人工门禁。</x:v>
      </x:c>
      <x:c r="K64" s="95" t="str">
        <x:v>可直接支撑当前EIS-only闭环。</x:v>
      </x:c>
      <x:c r="L64" s="95" t="str">
        <x:v>M3 研究储备</x:v>
      </x:c>
      <x:c r="M64" s="95" t="str">
        <x:v>条件具备后</x:v>
      </x:c>
      <x:c r="N64" s="95" t="str">
        <x:v>P1</x:v>
      </x:c>
      <x:c r="O64" s="95" t="str">
        <x:v>https://www.science.org/doi/10.1126/scirobotics.adm6991</x:v>
      </x:c>
      <x:c r="P64" s="96" t="str">
        <x:v>待评审</x:v>
      </x:c>
    </x:row>
    <x:row r="65">
      <x:c r="A65" s="94" t="str">
        <x:v>T0061</x:v>
      </x:c>
      <x:c r="B65" s="95" t="str">
        <x:v>科研闭环与自主架构</x:v>
      </x:c>
      <x:c r="C65" s="95" t="str">
        <x:v>自主等级与系统架构</x:v>
      </x:c>
      <x:c r="D65" s="95" t="str">
        <x:v>关键支撑</x:v>
      </x:c>
      <x:c r="E65" s="100" t="n">
        <x:v>9</x:v>
      </x:c>
      <x:c r="F65" s="95" t="str">
        <x:v>两线共用</x:v>
      </x:c>
      <x:c r="G65" s="95" t="str">
        <x:v>E 可信智能体与控制架构</x:v>
      </x:c>
      <x:c r="H65" s="95" t="str">
        <x:v>数字线程</x:v>
      </x:c>
      <x:c r="I65" s="95" t="str">
        <x:v>隔离语言推理、数值决策和仪器执行，限制自主权并支持回滚。</x:v>
      </x:c>
      <x:c r="J65" s="95" t="str">
        <x:v>接入外部验证器、结构化输出、置信校准、拒答、权限与人工门禁。</x:v>
      </x:c>
      <x:c r="K65" s="95" t="str">
        <x:v>可直接支撑当前EIS-only闭环。</x:v>
      </x:c>
      <x:c r="L65" s="95" t="str">
        <x:v>M2 扩展与复现（5–12月）</x:v>
      </x:c>
      <x:c r="M65" s="95" t="str">
        <x:v>按瓶颈接入</x:v>
      </x:c>
      <x:c r="N65" s="95" t="str">
        <x:v>P1</x:v>
      </x:c>
      <x:c r="O65" s="95" t="str">
        <x:v>https://pubs.acs.org/doi/10.1021/acs.chemrev.4c00055</x:v>
      </x:c>
      <x:c r="P65" s="96" t="str">
        <x:v>待评审</x:v>
      </x:c>
    </x:row>
    <x:row r="66">
      <x:c r="A66" s="94" t="str">
        <x:v>T0062</x:v>
      </x:c>
      <x:c r="B66" s="95" t="str">
        <x:v>科研闭环与自主架构</x:v>
      </x:c>
      <x:c r="C66" s="95" t="str">
        <x:v>自主等级与系统架构</x:v>
      </x:c>
      <x:c r="D66" s="95" t="str">
        <x:v>研究储备</x:v>
      </x:c>
      <x:c r="E66" s="100" t="n">
        <x:v>7</x:v>
      </x:c>
      <x:c r="F66" s="95" t="str">
        <x:v>两线共用</x:v>
      </x:c>
      <x:c r="G66" s="95" t="str">
        <x:v>E 可信智能体与控制架构</x:v>
      </x:c>
      <x:c r="H66" s="95" t="str">
        <x:v>架构级数字孪生</x:v>
      </x:c>
      <x:c r="I66" s="95" t="str">
        <x:v>隔离语言推理、数值决策和仪器执行，限制自主权并支持回滚。</x:v>
      </x:c>
      <x:c r="J66" s="95" t="str">
        <x:v>接入外部验证器、结构化输出、置信校准、拒答、权限与人工门禁。</x:v>
      </x:c>
      <x:c r="K66" s="95" t="str">
        <x:v>可直接支撑当前EIS-only闭环。</x:v>
      </x:c>
      <x:c r="L66" s="95" t="str">
        <x:v>M3 研究储备</x:v>
      </x:c>
      <x:c r="M66" s="95" t="str">
        <x:v>条件具备后</x:v>
      </x:c>
      <x:c r="N66" s="95" t="str">
        <x:v>P1</x:v>
      </x:c>
      <x:c r="O66" s="95" t="str">
        <x:v>https://royalsocietypublishing.org/rsos/article/12/7/250646/235354/Autonomous-self-driving-laboratories-a-review-of</x:v>
      </x:c>
      <x:c r="P66" s="96" t="str">
        <x:v>待评审</x:v>
      </x:c>
    </x:row>
    <x:row r="67">
      <x:c r="A67" s="94" t="str">
        <x:v>T0063</x:v>
      </x:c>
      <x:c r="B67" s="95" t="str">
        <x:v>科研闭环与自主架构</x:v>
      </x:c>
      <x:c r="C67" s="95" t="str">
        <x:v>自主等级与系统架构</x:v>
      </x:c>
      <x:c r="D67" s="95" t="str">
        <x:v>研究储备</x:v>
      </x:c>
      <x:c r="E67" s="100" t="n">
        <x:v>6</x:v>
      </x:c>
      <x:c r="F67" s="95" t="str">
        <x:v>两线共用</x:v>
      </x:c>
      <x:c r="G67" s="95" t="str">
        <x:v>E 可信智能体与控制架构</x:v>
      </x:c>
      <x:c r="H67" s="95" t="str">
        <x:v>边缘—云协同</x:v>
      </x:c>
      <x:c r="I67" s="95" t="str">
        <x:v>隔离语言推理、数值决策和仪器执行，限制自主权并支持回滚。</x:v>
      </x:c>
      <x:c r="J67" s="95" t="str">
        <x:v>接入外部验证器、结构化输出、置信校准、拒答、权限与人工门禁。</x:v>
      </x:c>
      <x:c r="K67" s="95" t="str">
        <x:v>可直接支撑当前EIS-only闭环。</x:v>
      </x:c>
      <x:c r="L67" s="95" t="str">
        <x:v>M3 研究储备</x:v>
      </x:c>
      <x:c r="M67" s="95" t="str">
        <x:v>条件具备后</x:v>
      </x:c>
      <x:c r="N67" s="95" t="str">
        <x:v>P1</x:v>
      </x:c>
      <x:c r="O67" s="95" t="str">
        <x:v>https://www.nature.com/articles/s42004-026-01932-9</x:v>
      </x:c>
      <x:c r="P67" s="96" t="str">
        <x:v>待评审</x:v>
      </x:c>
    </x:row>
    <x:row r="68">
      <x:c r="A68" s="94" t="str">
        <x:v>T0064</x:v>
      </x:c>
      <x:c r="B68" s="95" t="str">
        <x:v>科研闭环与自主架构</x:v>
      </x:c>
      <x:c r="C68" s="95" t="str">
        <x:v>自主等级与系统架构</x:v>
      </x:c>
      <x:c r="D68" s="95" t="str">
        <x:v>研究储备</x:v>
      </x:c>
      <x:c r="E68" s="100" t="n">
        <x:v>6</x:v>
      </x:c>
      <x:c r="F68" s="95" t="str">
        <x:v>两线共用</x:v>
      </x:c>
      <x:c r="G68" s="95" t="str">
        <x:v>E 可信智能体与控制架构</x:v>
      </x:c>
      <x:c r="H68" s="95" t="str">
        <x:v>实时系统</x:v>
      </x:c>
      <x:c r="I68" s="95" t="str">
        <x:v>隔离语言推理、数值决策和仪器执行，限制自主权并支持回滚。</x:v>
      </x:c>
      <x:c r="J68" s="95" t="str">
        <x:v>接入外部验证器、结构化输出、置信校准、拒答、权限与人工门禁。</x:v>
      </x:c>
      <x:c r="K68" s="95" t="str">
        <x:v>可直接支撑当前EIS-only闭环。</x:v>
      </x:c>
      <x:c r="L68" s="95" t="str">
        <x:v>M3 研究储备</x:v>
      </x:c>
      <x:c r="M68" s="95" t="str">
        <x:v>条件具备后</x:v>
      </x:c>
      <x:c r="N68" s="95" t="str">
        <x:v>P1</x:v>
      </x:c>
      <x:c r="O68" s="95" t="str">
        <x:v>https://www.science.org/doi/10.1126/scirobotics.aat5559</x:v>
      </x:c>
      <x:c r="P68" s="96" t="str">
        <x:v>待评审</x:v>
      </x:c>
    </x:row>
    <x:row r="69">
      <x:c r="A69" s="94" t="str">
        <x:v>T0065</x:v>
      </x:c>
      <x:c r="B69" s="95" t="str">
        <x:v>科研闭环与自主架构</x:v>
      </x:c>
      <x:c r="C69" s="95" t="str">
        <x:v>自主等级与系统架构</x:v>
      </x:c>
      <x:c r="D69" s="95" t="str">
        <x:v>研究储备</x:v>
      </x:c>
      <x:c r="E69" s="100" t="n">
        <x:v>6</x:v>
      </x:c>
      <x:c r="F69" s="95" t="str">
        <x:v>两线共用</x:v>
      </x:c>
      <x:c r="G69" s="95" t="str">
        <x:v>E 可信智能体与控制架构</x:v>
      </x:c>
      <x:c r="H69" s="95" t="str">
        <x:v>确定性控制</x:v>
      </x:c>
      <x:c r="I69" s="95" t="str">
        <x:v>隔离语言推理、数值决策和仪器执行，限制自主权并支持回滚。</x:v>
      </x:c>
      <x:c r="J69" s="95" t="str">
        <x:v>接入外部验证器、结构化输出、置信校准、拒答、权限与人工门禁。</x:v>
      </x:c>
      <x:c r="K69" s="95" t="str">
        <x:v>可直接支撑当前EIS-only闭环。</x:v>
      </x:c>
      <x:c r="L69" s="95" t="str">
        <x:v>M3 研究储备</x:v>
      </x:c>
      <x:c r="M69" s="95" t="str">
        <x:v>条件具备后</x:v>
      </x:c>
      <x:c r="N69" s="95" t="str">
        <x:v>P1</x:v>
      </x:c>
      <x:c r="O69" s="95" t="str">
        <x:v>https://www.science.org/doi/10.1126/scirobotics.adm6991</x:v>
      </x:c>
      <x:c r="P69" s="96" t="str">
        <x:v>待评审</x:v>
      </x:c>
    </x:row>
    <x:row r="70">
      <x:c r="A70" s="94" t="str">
        <x:v>T0066</x:v>
      </x:c>
      <x:c r="B70" s="95" t="str">
        <x:v>科研闭环与自主架构</x:v>
      </x:c>
      <x:c r="C70" s="95" t="str">
        <x:v>自主等级与系统架构</x:v>
      </x:c>
      <x:c r="D70" s="95" t="str">
        <x:v>研究储备</x:v>
      </x:c>
      <x:c r="E70" s="100" t="n">
        <x:v>6</x:v>
      </x:c>
      <x:c r="F70" s="95" t="str">
        <x:v>两线共用</x:v>
      </x:c>
      <x:c r="G70" s="95" t="str">
        <x:v>E 可信智能体与控制架构</x:v>
      </x:c>
      <x:c r="H70" s="95" t="str">
        <x:v>异步编排</x:v>
      </x:c>
      <x:c r="I70" s="95" t="str">
        <x:v>隔离语言推理、数值决策和仪器执行，限制自主权并支持回滚。</x:v>
      </x:c>
      <x:c r="J70" s="95" t="str">
        <x:v>接入外部验证器、结构化输出、置信校准、拒答、权限与人工门禁。</x:v>
      </x:c>
      <x:c r="K70" s="95" t="str">
        <x:v>可直接支撑当前EIS-only闭环。</x:v>
      </x:c>
      <x:c r="L70" s="95" t="str">
        <x:v>M3 研究储备</x:v>
      </x:c>
      <x:c r="M70" s="95" t="str">
        <x:v>条件具备后</x:v>
      </x:c>
      <x:c r="N70" s="95" t="str">
        <x:v>P1</x:v>
      </x:c>
      <x:c r="O70" s="95" t="str">
        <x:v>https://pubs.acs.org/doi/10.1021/acs.chemrev.4c00055</x:v>
      </x:c>
      <x:c r="P70" s="96" t="str">
        <x:v>待评审</x:v>
      </x:c>
    </x:row>
    <x:row r="71">
      <x:c r="A71" s="94" t="str">
        <x:v>T0067</x:v>
      </x:c>
      <x:c r="B71" s="95" t="str">
        <x:v>科研闭环与自主架构</x:v>
      </x:c>
      <x:c r="C71" s="95" t="str">
        <x:v>自主等级与系统架构</x:v>
      </x:c>
      <x:c r="D71" s="95" t="str">
        <x:v>研究储备</x:v>
      </x:c>
      <x:c r="E71" s="100" t="n">
        <x:v>6</x:v>
      </x:c>
      <x:c r="F71" s="95" t="str">
        <x:v>两线共用</x:v>
      </x:c>
      <x:c r="G71" s="95" t="str">
        <x:v>E 可信智能体与控制架构</x:v>
      </x:c>
      <x:c r="H71" s="95" t="str">
        <x:v>分布式自主</x:v>
      </x:c>
      <x:c r="I71" s="95" t="str">
        <x:v>隔离语言推理、数值决策和仪器执行，限制自主权并支持回滚。</x:v>
      </x:c>
      <x:c r="J71" s="95" t="str">
        <x:v>接入外部验证器、结构化输出、置信校准、拒答、权限与人工门禁。</x:v>
      </x:c>
      <x:c r="K71" s="95" t="str">
        <x:v>可直接支撑当前EIS-only闭环。</x:v>
      </x:c>
      <x:c r="L71" s="95" t="str">
        <x:v>M3 研究储备</x:v>
      </x:c>
      <x:c r="M71" s="95" t="str">
        <x:v>条件具备后</x:v>
      </x:c>
      <x:c r="N71" s="95" t="str">
        <x:v>P1</x:v>
      </x:c>
      <x:c r="O71" s="95" t="str">
        <x:v>https://royalsocietypublishing.org/rsos/article/12/7/250646/235354/Autonomous-self-driving-laboratories-a-review-of</x:v>
      </x:c>
      <x:c r="P71" s="96" t="str">
        <x:v>待评审</x:v>
      </x:c>
    </x:row>
    <x:row r="72">
      <x:c r="A72" s="94" t="str">
        <x:v>T0068</x:v>
      </x:c>
      <x:c r="B72" s="95" t="str">
        <x:v>科研闭环与自主架构</x:v>
      </x:c>
      <x:c r="C72" s="95" t="str">
        <x:v>自主等级与系统架构</x:v>
      </x:c>
      <x:c r="D72" s="95" t="str">
        <x:v>研究储备</x:v>
      </x:c>
      <x:c r="E72" s="100" t="n">
        <x:v>6</x:v>
      </x:c>
      <x:c r="F72" s="95" t="str">
        <x:v>两线共用</x:v>
      </x:c>
      <x:c r="G72" s="95" t="str">
        <x:v>E 可信智能体与控制架构</x:v>
      </x:c>
      <x:c r="H72" s="95" t="str">
        <x:v>联邦实验室</x:v>
      </x:c>
      <x:c r="I72" s="95" t="str">
        <x:v>隔离语言推理、数值决策和仪器执行，限制自主权并支持回滚。</x:v>
      </x:c>
      <x:c r="J72" s="95" t="str">
        <x:v>接入外部验证器、结构化输出、置信校准、拒答、权限与人工门禁。</x:v>
      </x:c>
      <x:c r="K72" s="95" t="str">
        <x:v>可直接支撑当前EIS-only闭环。</x:v>
      </x:c>
      <x:c r="L72" s="95" t="str">
        <x:v>M3 研究储备</x:v>
      </x:c>
      <x:c r="M72" s="95" t="str">
        <x:v>条件具备后</x:v>
      </x:c>
      <x:c r="N72" s="95" t="str">
        <x:v>P1</x:v>
      </x:c>
      <x:c r="O72" s="95" t="str">
        <x:v>https://www.nature.com/articles/s42004-026-01932-9</x:v>
      </x:c>
      <x:c r="P72" s="96" t="str">
        <x:v>待评审</x:v>
      </x:c>
    </x:row>
    <x:row r="73">
      <x:c r="A73" s="94" t="str">
        <x:v>T0069</x:v>
      </x:c>
      <x:c r="B73" s="95" t="str">
        <x:v>科研闭环与自主架构</x:v>
      </x:c>
      <x:c r="C73" s="95" t="str">
        <x:v>自主等级与系统架构</x:v>
      </x:c>
      <x:c r="D73" s="95" t="str">
        <x:v>研究储备</x:v>
      </x:c>
      <x:c r="E73" s="100" t="n">
        <x:v>6</x:v>
      </x:c>
      <x:c r="F73" s="95" t="str">
        <x:v>两线共用</x:v>
      </x:c>
      <x:c r="G73" s="95" t="str">
        <x:v>E 可信智能体与控制架构</x:v>
      </x:c>
      <x:c r="H73" s="95" t="str">
        <x:v>远程/云实验室</x:v>
      </x:c>
      <x:c r="I73" s="95" t="str">
        <x:v>隔离语言推理、数值决策和仪器执行，限制自主权并支持回滚。</x:v>
      </x:c>
      <x:c r="J73" s="95" t="str">
        <x:v>接入外部验证器、结构化输出、置信校准、拒答、权限与人工门禁。</x:v>
      </x:c>
      <x:c r="K73" s="95" t="str">
        <x:v>可直接支撑当前EIS-only闭环。</x:v>
      </x:c>
      <x:c r="L73" s="95" t="str">
        <x:v>M3 研究储备</x:v>
      </x:c>
      <x:c r="M73" s="95" t="str">
        <x:v>条件具备后</x:v>
      </x:c>
      <x:c r="N73" s="95" t="str">
        <x:v>P2</x:v>
      </x:c>
      <x:c r="O73" s="95" t="str">
        <x:v>https://www.science.org/doi/10.1126/scirobotics.aat5559</x:v>
      </x:c>
      <x:c r="P73" s="96" t="str">
        <x:v>待评审</x:v>
      </x:c>
    </x:row>
    <x:row r="74">
      <x:c r="A74" s="94" t="str">
        <x:v>T0070</x:v>
      </x:c>
      <x:c r="B74" s="95" t="str">
        <x:v>科研闭环与自主架构</x:v>
      </x:c>
      <x:c r="C74" s="95" t="str">
        <x:v>自主等级与系统架构</x:v>
      </x:c>
      <x:c r="D74" s="95" t="str">
        <x:v>研究储备</x:v>
      </x:c>
      <x:c r="E74" s="100" t="n">
        <x:v>6</x:v>
      </x:c>
      <x:c r="F74" s="95" t="str">
        <x:v>两线共用</x:v>
      </x:c>
      <x:c r="G74" s="95" t="str">
        <x:v>E 可信智能体与控制架构</x:v>
      </x:c>
      <x:c r="H74" s="95" t="str">
        <x:v>资源抽象</x:v>
      </x:c>
      <x:c r="I74" s="95" t="str">
        <x:v>隔离语言推理、数值决策和仪器执行，限制自主权并支持回滚。</x:v>
      </x:c>
      <x:c r="J74" s="95" t="str">
        <x:v>接入外部验证器、结构化输出、置信校准、拒答、权限与人工门禁。</x:v>
      </x:c>
      <x:c r="K74" s="95" t="str">
        <x:v>可直接支撑当前EIS-only闭环。</x:v>
      </x:c>
      <x:c r="L74" s="95" t="str">
        <x:v>M3 研究储备</x:v>
      </x:c>
      <x:c r="M74" s="95" t="str">
        <x:v>条件具备后</x:v>
      </x:c>
      <x:c r="N74" s="95" t="str">
        <x:v>P2</x:v>
      </x:c>
      <x:c r="O74" s="95" t="str">
        <x:v>https://www.science.org/doi/10.1126/scirobotics.adm6991</x:v>
      </x:c>
      <x:c r="P74" s="96" t="str">
        <x:v>待评审</x:v>
      </x:c>
    </x:row>
    <x:row r="75">
      <x:c r="A75" s="94" t="str">
        <x:v>T0071</x:v>
      </x:c>
      <x:c r="B75" s="95" t="str">
        <x:v>科研闭环与自主架构</x:v>
      </x:c>
      <x:c r="C75" s="95" t="str">
        <x:v>自主等级与系统架构</x:v>
      </x:c>
      <x:c r="D75" s="95" t="str">
        <x:v>研究储备</x:v>
      </x:c>
      <x:c r="E75" s="100" t="n">
        <x:v>6</x:v>
      </x:c>
      <x:c r="F75" s="95" t="str">
        <x:v>两线共用</x:v>
      </x:c>
      <x:c r="G75" s="95" t="str">
        <x:v>E 可信智能体与控制架构</x:v>
      </x:c>
      <x:c r="H75" s="95" t="str">
        <x:v>能力注册表</x:v>
      </x:c>
      <x:c r="I75" s="95" t="str">
        <x:v>隔离语言推理、数值决策和仪器执行，限制自主权并支持回滚。</x:v>
      </x:c>
      <x:c r="J75" s="95" t="str">
        <x:v>接入外部验证器、结构化输出、置信校准、拒答、权限与人工门禁。</x:v>
      </x:c>
      <x:c r="K75" s="95" t="str">
        <x:v>可直接支撑当前EIS-only闭环。</x:v>
      </x:c>
      <x:c r="L75" s="95" t="str">
        <x:v>M3 研究储备</x:v>
      </x:c>
      <x:c r="M75" s="95" t="str">
        <x:v>条件具备后</x:v>
      </x:c>
      <x:c r="N75" s="95" t="str">
        <x:v>P2</x:v>
      </x:c>
      <x:c r="O75" s="95" t="str">
        <x:v>https://pubs.acs.org/doi/10.1021/acs.chemrev.4c00055</x:v>
      </x:c>
      <x:c r="P75" s="96" t="str">
        <x:v>待评审</x:v>
      </x:c>
    </x:row>
    <x:row r="76">
      <x:c r="A76" s="94" t="str">
        <x:v>T0072</x:v>
      </x:c>
      <x:c r="B76" s="95" t="str">
        <x:v>科研闭环与自主架构</x:v>
      </x:c>
      <x:c r="C76" s="95" t="str">
        <x:v>自主等级与系统架构</x:v>
      </x:c>
      <x:c r="D76" s="95" t="str">
        <x:v>研究储备</x:v>
      </x:c>
      <x:c r="E76" s="100" t="n">
        <x:v>6</x:v>
      </x:c>
      <x:c r="F76" s="95" t="str">
        <x:v>两线共用</x:v>
      </x:c>
      <x:c r="G76" s="95" t="str">
        <x:v>E 可信智能体与控制架构</x:v>
      </x:c>
      <x:c r="H76" s="95" t="str">
        <x:v>配方—设备分离</x:v>
      </x:c>
      <x:c r="I76" s="95" t="str">
        <x:v>隔离语言推理、数值决策和仪器执行，限制自主权并支持回滚。</x:v>
      </x:c>
      <x:c r="J76" s="95" t="str">
        <x:v>接入外部验证器、结构化输出、置信校准、拒答、权限与人工门禁。</x:v>
      </x:c>
      <x:c r="K76" s="95" t="str">
        <x:v>可直接支撑当前EIS-only闭环。</x:v>
      </x:c>
      <x:c r="L76" s="95" t="str">
        <x:v>M3 研究储备</x:v>
      </x:c>
      <x:c r="M76" s="95" t="str">
        <x:v>条件具备后</x:v>
      </x:c>
      <x:c r="N76" s="95" t="str">
        <x:v>P2</x:v>
      </x:c>
      <x:c r="O76" s="95" t="str">
        <x:v>https://royalsocietypublishing.org/rsos/article/12/7/250646/235354/Autonomous-self-driving-laboratories-a-review-of</x:v>
      </x:c>
      <x:c r="P76" s="96" t="str">
        <x:v>待评审</x:v>
      </x:c>
    </x:row>
    <x:row r="77">
      <x:c r="A77" s="94" t="str">
        <x:v>T0073</x:v>
      </x:c>
      <x:c r="B77" s="95" t="str">
        <x:v>科研闭环与自主架构</x:v>
      </x:c>
      <x:c r="C77" s="95" t="str">
        <x:v>自主等级与系统架构</x:v>
      </x:c>
      <x:c r="D77" s="95" t="str">
        <x:v>核心必需</x:v>
      </x:c>
      <x:c r="E77" s="100" t="n">
        <x:v>12</x:v>
      </x:c>
      <x:c r="F77" s="95" t="str">
        <x:v>两线共用</x:v>
      </x:c>
      <x:c r="G77" s="95" t="str">
        <x:v>E 可信智能体与控制架构</x:v>
      </x:c>
      <x:c r="H77" s="95" t="str">
        <x:v>策略—执行分离</x:v>
      </x:c>
      <x:c r="I77" s="95" t="str">
        <x:v>隔离语言推理、数值决策和仪器执行，限制自主权并支持回滚。</x:v>
      </x:c>
      <x:c r="J77" s="95" t="str">
        <x:v>接入外部验证器、结构化输出、置信校准、拒答、权限与人工门禁。</x:v>
      </x:c>
      <x:c r="K77" s="95" t="str">
        <x:v>可直接支撑当前EIS-only闭环。</x:v>
      </x:c>
      <x:c r="L77" s="95" t="str">
        <x:v>M0 主流程接入（0–2月）</x:v>
      </x:c>
      <x:c r="M77" s="95" t="str">
        <x:v>首批接入</x:v>
      </x:c>
      <x:c r="N77" s="95" t="str">
        <x:v>P2</x:v>
      </x:c>
      <x:c r="O77" s="95" t="str">
        <x:v>https://www.nature.com/articles/s42004-026-01932-9</x:v>
      </x:c>
      <x:c r="P77" s="96" t="str">
        <x:v>待评审</x:v>
      </x:c>
    </x:row>
    <x:row r="78">
      <x:c r="A78" s="94" t="str">
        <x:v>T0074</x:v>
      </x:c>
      <x:c r="B78" s="95" t="str">
        <x:v>科研闭环与自主架构</x:v>
      </x:c>
      <x:c r="C78" s="95" t="str">
        <x:v>自主等级与系统架构</x:v>
      </x:c>
      <x:c r="D78" s="95" t="str">
        <x:v>核心必需</x:v>
      </x:c>
      <x:c r="E78" s="100" t="n">
        <x:v>12</x:v>
      </x:c>
      <x:c r="F78" s="95" t="str">
        <x:v>两线共用</x:v>
      </x:c>
      <x:c r="G78" s="95" t="str">
        <x:v>E 可信智能体与控制架构</x:v>
      </x:c>
      <x:c r="H78" s="95" t="str">
        <x:v>模型—实验分离</x:v>
      </x:c>
      <x:c r="I78" s="95" t="str">
        <x:v>隔离语言推理、数值决策和仪器执行，限制自主权并支持回滚。</x:v>
      </x:c>
      <x:c r="J78" s="95" t="str">
        <x:v>接入外部验证器、结构化输出、置信校准、拒答、权限与人工门禁。</x:v>
      </x:c>
      <x:c r="K78" s="95" t="str">
        <x:v>可直接支撑当前EIS-only闭环。</x:v>
      </x:c>
      <x:c r="L78" s="95" t="str">
        <x:v>M0 主流程接入（0–2月）</x:v>
      </x:c>
      <x:c r="M78" s="95" t="str">
        <x:v>首批接入</x:v>
      </x:c>
      <x:c r="N78" s="95" t="str">
        <x:v>P2</x:v>
      </x:c>
      <x:c r="O78" s="95" t="str">
        <x:v>https://www.science.org/doi/10.1126/scirobotics.aat5559</x:v>
      </x:c>
      <x:c r="P78" s="96" t="str">
        <x:v>待评审</x:v>
      </x:c>
    </x:row>
    <x:row r="79">
      <x:c r="A79" s="94" t="str">
        <x:v>T0075</x:v>
      </x:c>
      <x:c r="B79" s="95" t="str">
        <x:v>科研闭环与自主架构</x:v>
      </x:c>
      <x:c r="C79" s="95" t="str">
        <x:v>自主等级与系统架构</x:v>
      </x:c>
      <x:c r="D79" s="95" t="str">
        <x:v>核心必需</x:v>
      </x:c>
      <x:c r="E79" s="100" t="n">
        <x:v>12</x:v>
      </x:c>
      <x:c r="F79" s="95" t="str">
        <x:v>两线共用</x:v>
      </x:c>
      <x:c r="G79" s="95" t="str">
        <x:v>E 可信智能体与控制架构</x:v>
      </x:c>
      <x:c r="H79" s="95" t="str">
        <x:v>沙箱执行</x:v>
      </x:c>
      <x:c r="I79" s="95" t="str">
        <x:v>隔离语言推理、数值决策和仪器执行，限制自主权并支持回滚。</x:v>
      </x:c>
      <x:c r="J79" s="95" t="str">
        <x:v>接入外部验证器、结构化输出、置信校准、拒答、权限与人工门禁。</x:v>
      </x:c>
      <x:c r="K79" s="95" t="str">
        <x:v>可直接支撑当前EIS-only闭环。</x:v>
      </x:c>
      <x:c r="L79" s="95" t="str">
        <x:v>M0 主流程接入（0–2月）</x:v>
      </x:c>
      <x:c r="M79" s="95" t="str">
        <x:v>首批接入</x:v>
      </x:c>
      <x:c r="N79" s="95" t="str">
        <x:v>P2</x:v>
      </x:c>
      <x:c r="O79" s="95" t="str">
        <x:v>https://www.science.org/doi/10.1126/scirobotics.adm6991</x:v>
      </x:c>
      <x:c r="P79" s="96" t="str">
        <x:v>待评审</x:v>
      </x:c>
    </x:row>
    <x:row r="80">
      <x:c r="A80" s="94" t="str">
        <x:v>T0076</x:v>
      </x:c>
      <x:c r="B80" s="95" t="str">
        <x:v>科研闭环与自主架构</x:v>
      </x:c>
      <x:c r="C80" s="95" t="str">
        <x:v>自主等级与系统架构</x:v>
      </x:c>
      <x:c r="D80" s="95" t="str">
        <x:v>关键支撑</x:v>
      </x:c>
      <x:c r="E80" s="100" t="n">
        <x:v>9</x:v>
      </x:c>
      <x:c r="F80" s="95" t="str">
        <x:v>两线共用</x:v>
      </x:c>
      <x:c r="G80" s="95" t="str">
        <x:v>E 可信智能体与控制架构</x:v>
      </x:c>
      <x:c r="H80" s="95" t="str">
        <x:v>失效安全状态</x:v>
      </x:c>
      <x:c r="I80" s="95" t="str">
        <x:v>隔离语言推理、数值决策和仪器执行，限制自主权并支持回滚。</x:v>
      </x:c>
      <x:c r="J80" s="95" t="str">
        <x:v>接入外部验证器、结构化输出、置信校准、拒答、权限与人工门禁。</x:v>
      </x:c>
      <x:c r="K80" s="95" t="str">
        <x:v>可直接支撑当前EIS-only闭环。</x:v>
      </x:c>
      <x:c r="L80" s="95" t="str">
        <x:v>M2 扩展与复现（5–12月）</x:v>
      </x:c>
      <x:c r="M80" s="95" t="str">
        <x:v>按瓶颈接入</x:v>
      </x:c>
      <x:c r="N80" s="95" t="str">
        <x:v>P2</x:v>
      </x:c>
      <x:c r="O80" s="95" t="str">
        <x:v>https://pubs.acs.org/doi/10.1021/acs.chemrev.4c00055</x:v>
      </x:c>
      <x:c r="P80" s="96" t="str">
        <x:v>待评审</x:v>
      </x:c>
    </x:row>
    <x:row r="81">
      <x:c r="A81" s="94" t="str">
        <x:v>T0077</x:v>
      </x:c>
      <x:c r="B81" s="95" t="str">
        <x:v>科研闭环与自主架构</x:v>
      </x:c>
      <x:c r="C81" s="95" t="str">
        <x:v>自主等级与系统架构</x:v>
      </x:c>
      <x:c r="D81" s="95" t="str">
        <x:v>关键支撑</x:v>
      </x:c>
      <x:c r="E81" s="100" t="n">
        <x:v>9</x:v>
      </x:c>
      <x:c r="F81" s="95" t="str">
        <x:v>两线共用</x:v>
      </x:c>
      <x:c r="G81" s="95" t="str">
        <x:v>E 可信智能体与控制架构</x:v>
      </x:c>
      <x:c r="H81" s="95" t="str">
        <x:v>架构优雅降级</x:v>
      </x:c>
      <x:c r="I81" s="95" t="str">
        <x:v>隔离语言推理、数值决策和仪器执行，限制自主权并支持回滚。</x:v>
      </x:c>
      <x:c r="J81" s="95" t="str">
        <x:v>接入外部验证器、结构化输出、置信校准、拒答、权限与人工门禁。</x:v>
      </x:c>
      <x:c r="K81" s="95" t="str">
        <x:v>可直接支撑当前EIS-only闭环。</x:v>
      </x:c>
      <x:c r="L81" s="95" t="str">
        <x:v>M2 扩展与复现（5–12月）</x:v>
      </x:c>
      <x:c r="M81" s="95" t="str">
        <x:v>按瓶颈接入</x:v>
      </x:c>
      <x:c r="N81" s="95" t="str">
        <x:v>P2</x:v>
      </x:c>
      <x:c r="O81" s="95" t="str">
        <x:v>https://royalsocietypublishing.org/rsos/article/12/7/250646/235354/Autonomous-self-driving-laboratories-a-review-of</x:v>
      </x:c>
      <x:c r="P81" s="96" t="str">
        <x:v>待评审</x:v>
      </x:c>
    </x:row>
    <x:row r="82">
      <x:c r="A82" s="94" t="str">
        <x:v>T0078</x:v>
      </x:c>
      <x:c r="B82" s="95" t="str">
        <x:v>科研闭环与自主架构</x:v>
      </x:c>
      <x:c r="C82" s="95" t="str">
        <x:v>自主等级与系统架构</x:v>
      </x:c>
      <x:c r="D82" s="95" t="str">
        <x:v>研究储备</x:v>
      </x:c>
      <x:c r="E82" s="100" t="n">
        <x:v>6</x:v>
      </x:c>
      <x:c r="F82" s="95" t="str">
        <x:v>两线共用</x:v>
      </x:c>
      <x:c r="G82" s="95" t="str">
        <x:v>E 可信智能体与控制架构</x:v>
      </x:c>
      <x:c r="H82" s="95" t="str">
        <x:v>冗余架构</x:v>
      </x:c>
      <x:c r="I82" s="95" t="str">
        <x:v>隔离语言推理、数值决策和仪器执行，限制自主权并支持回滚。</x:v>
      </x:c>
      <x:c r="J82" s="95" t="str">
        <x:v>接入外部验证器、结构化输出、置信校准、拒答、权限与人工门禁。</x:v>
      </x:c>
      <x:c r="K82" s="95" t="str">
        <x:v>可直接支撑当前EIS-only闭环。</x:v>
      </x:c>
      <x:c r="L82" s="95" t="str">
        <x:v>M3 研究储备</x:v>
      </x:c>
      <x:c r="M82" s="95" t="str">
        <x:v>条件具备后</x:v>
      </x:c>
      <x:c r="N82" s="95" t="str">
        <x:v>P2</x:v>
      </x:c>
      <x:c r="O82" s="95" t="str">
        <x:v>https://www.nature.com/articles/s42004-026-01932-9</x:v>
      </x:c>
      <x:c r="P82" s="96" t="str">
        <x:v>待评审</x:v>
      </x:c>
    </x:row>
    <x:row r="83">
      <x:c r="A83" s="94" t="str">
        <x:v>T0079</x:v>
      </x:c>
      <x:c r="B83" s="95" t="str">
        <x:v>科研闭环与自主架构</x:v>
      </x:c>
      <x:c r="C83" s="95" t="str">
        <x:v>自主等级与系统架构</x:v>
      </x:c>
      <x:c r="D83" s="95" t="str">
        <x:v>核心必需</x:v>
      </x:c>
      <x:c r="E83" s="100" t="n">
        <x:v>12</x:v>
      </x:c>
      <x:c r="F83" s="95" t="str">
        <x:v>两线共用</x:v>
      </x:c>
      <x:c r="G83" s="95" t="str">
        <x:v>E 可信智能体与控制架构</x:v>
      </x:c>
      <x:c r="H83" s="95" t="str">
        <x:v>全栈可观测性</x:v>
      </x:c>
      <x:c r="I83" s="95" t="str">
        <x:v>隔离语言推理、数值决策和仪器执行，限制自主权并支持回滚。</x:v>
      </x:c>
      <x:c r="J83" s="95" t="str">
        <x:v>接入外部验证器、结构化输出、置信校准、拒答、权限与人工门禁。</x:v>
      </x:c>
      <x:c r="K83" s="95" t="str">
        <x:v>可直接支撑当前EIS-only闭环。</x:v>
      </x:c>
      <x:c r="L83" s="95" t="str">
        <x:v>M0 主流程接入（0–2月）</x:v>
      </x:c>
      <x:c r="M83" s="95" t="str">
        <x:v>首批接入</x:v>
      </x:c>
      <x:c r="N83" s="95" t="str">
        <x:v>P2</x:v>
      </x:c>
      <x:c r="O83" s="95" t="str">
        <x:v>https://www.science.org/doi/10.1126/scirobotics.aat5559</x:v>
      </x:c>
      <x:c r="P83" s="96" t="str">
        <x:v>待评审</x:v>
      </x:c>
    </x:row>
    <x:row r="84">
      <x:c r="A84" s="94" t="str">
        <x:v>T0080</x:v>
      </x:c>
      <x:c r="B84" s="95" t="str">
        <x:v>科研闭环与自主架构</x:v>
      </x:c>
      <x:c r="C84" s="95" t="str">
        <x:v>自主等级与系统架构</x:v>
      </x:c>
      <x:c r="D84" s="95" t="str">
        <x:v>研究储备</x:v>
      </x:c>
      <x:c r="E84" s="100" t="n">
        <x:v>6</x:v>
      </x:c>
      <x:c r="F84" s="95" t="str">
        <x:v>两线共用</x:v>
      </x:c>
      <x:c r="G84" s="95" t="str">
        <x:v>E 可信智能体与控制架构</x:v>
      </x:c>
      <x:c r="H84" s="95" t="str">
        <x:v>自主成熟度评估</x:v>
      </x:c>
      <x:c r="I84" s="95" t="str">
        <x:v>隔离语言推理、数值决策和仪器执行，限制自主权并支持回滚。</x:v>
      </x:c>
      <x:c r="J84" s="95" t="str">
        <x:v>接入外部验证器、结构化输出、置信校准、拒答、权限与人工门禁。</x:v>
      </x:c>
      <x:c r="K84" s="95" t="str">
        <x:v>可直接支撑当前EIS-only闭环。</x:v>
      </x:c>
      <x:c r="L84" s="95" t="str">
        <x:v>M3 研究储备</x:v>
      </x:c>
      <x:c r="M84" s="95" t="str">
        <x:v>条件具备后</x:v>
      </x:c>
      <x:c r="N84" s="95" t="str">
        <x:v>P2</x:v>
      </x:c>
      <x:c r="O84" s="95" t="str">
        <x:v>https://www.science.org/doi/10.1126/scirobotics.adm6991</x:v>
      </x:c>
      <x:c r="P84" s="96" t="str">
        <x:v>待评审</x:v>
      </x:c>
    </x:row>
    <x:row r="85">
      <x:c r="A85" s="94" t="str">
        <x:v>T0081</x:v>
      </x:c>
      <x:c r="B85" s="95" t="str">
        <x:v>实验执行与具身自动化</x:v>
      </x:c>
      <x:c r="C85" s="95" t="str">
        <x:v>实验流程与机器可执行协议</x:v>
      </x:c>
      <x:c r="D85" s="95" t="str">
        <x:v>关键支撑</x:v>
      </x:c>
      <x:c r="E85" s="100" t="n">
        <x:v>9</x:v>
      </x:c>
      <x:c r="F85" s="95" t="str">
        <x:v>两线共用</x:v>
      </x:c>
      <x:c r="G85" s="95" t="str">
        <x:v>F 数据、协议与复现</x:v>
      </x:c>
      <x:c r="H85" s="95" t="str">
        <x:v>SOP数字化</x:v>
      </x:c>
      <x:c r="I85" s="95" t="str">
        <x:v>把配方、温控、EIS流程和验收条件转成可执行、可版本化协议。</x:v>
      </x:c>
      <x:c r="J85" s="95" t="str">
        <x:v>建立统一ID、原始数据不可变、协议/代码版本、W3C PROV/RO-Crate复现包。</x:v>
      </x:c>
      <x:c r="K85" s="95" t="str">
        <x:v>可直接支撑当前EIS-only闭环。</x:v>
      </x:c>
      <x:c r="L85" s="95" t="str">
        <x:v>M2 扩展与复现（5–12月）</x:v>
      </x:c>
      <x:c r="M85" s="95" t="str">
        <x:v>按瓶颈接入</x:v>
      </x:c>
      <x:c r="N85" s="95" t="str">
        <x:v>P0</x:v>
      </x:c>
      <x:c r="O85" s="95" t="str">
        <x:v>https://pubs.acs.org/doi/10.1021/acs.chemrev.4c00055</x:v>
      </x:c>
      <x:c r="P85" s="96" t="str">
        <x:v>待评审</x:v>
      </x:c>
    </x:row>
    <x:row r="86">
      <x:c r="A86" s="94" t="str">
        <x:v>T0082</x:v>
      </x:c>
      <x:c r="B86" s="95" t="str">
        <x:v>实验执行与具身自动化</x:v>
      </x:c>
      <x:c r="C86" s="95" t="str">
        <x:v>实验流程与机器可执行协议</x:v>
      </x:c>
      <x:c r="D86" s="95" t="str">
        <x:v>核心必需</x:v>
      </x:c>
      <x:c r="E86" s="100" t="n">
        <x:v>12</x:v>
      </x:c>
      <x:c r="F86" s="95" t="str">
        <x:v>两线共用</x:v>
      </x:c>
      <x:c r="G86" s="95" t="str">
        <x:v>F 数据、协议与复现</x:v>
      </x:c>
      <x:c r="H86" s="95" t="str">
        <x:v>机器可读协议</x:v>
      </x:c>
      <x:c r="I86" s="95" t="str">
        <x:v>把配方、温控、EIS流程和验收条件转成可执行、可版本化协议。</x:v>
      </x:c>
      <x:c r="J86" s="95" t="str">
        <x:v>建立统一ID、原始数据不可变、协议/代码版本、W3C PROV/RO-Crate复现包。</x:v>
      </x:c>
      <x:c r="K86" s="95" t="str">
        <x:v>可直接支撑当前EIS-only闭环。</x:v>
      </x:c>
      <x:c r="L86" s="95" t="str">
        <x:v>M0 主流程接入（0–2月）</x:v>
      </x:c>
      <x:c r="M86" s="95" t="str">
        <x:v>首批接入</x:v>
      </x:c>
      <x:c r="N86" s="95" t="str">
        <x:v>P0</x:v>
      </x:c>
      <x:c r="O86" s="95" t="str">
        <x:v>https://www.science.org/doi/10.1126/scirobotics.aat5559</x:v>
      </x:c>
      <x:c r="P86" s="96" t="str">
        <x:v>待评审</x:v>
      </x:c>
    </x:row>
    <x:row r="87">
      <x:c r="A87" s="94" t="str">
        <x:v>T0083</x:v>
      </x:c>
      <x:c r="B87" s="95" t="str">
        <x:v>实验执行与具身自动化</x:v>
      </x:c>
      <x:c r="C87" s="95" t="str">
        <x:v>实验流程与机器可执行协议</x:v>
      </x:c>
      <x:c r="D87" s="95" t="str">
        <x:v>关键支撑</x:v>
      </x:c>
      <x:c r="E87" s="100" t="n">
        <x:v>9</x:v>
      </x:c>
      <x:c r="F87" s="95" t="str">
        <x:v>两线共用</x:v>
      </x:c>
      <x:c r="G87" s="95" t="str">
        <x:v>F 数据、协议与复现</x:v>
      </x:c>
      <x:c r="H87" s="95" t="str">
        <x:v>实验DSL</x:v>
      </x:c>
      <x:c r="I87" s="95" t="str">
        <x:v>把配方、温控、EIS流程和验收条件转成可执行、可版本化协议。</x:v>
      </x:c>
      <x:c r="J87" s="95" t="str">
        <x:v>建立统一ID、原始数据不可变、协议/代码版本、W3C PROV/RO-Crate复现包。</x:v>
      </x:c>
      <x:c r="K87" s="95" t="str">
        <x:v>可直接支撑当前EIS-only闭环。</x:v>
      </x:c>
      <x:c r="L87" s="95" t="str">
        <x:v>M2 扩展与复现（5–12月）</x:v>
      </x:c>
      <x:c r="M87" s="95" t="str">
        <x:v>按瓶颈接入</x:v>
      </x:c>
      <x:c r="N87" s="95" t="str">
        <x:v>P0</x:v>
      </x:c>
      <x:c r="O87" s="95" t="str">
        <x:v>https://www.researchobject.org/ro-crate/specification/1.1/provenance.html</x:v>
      </x:c>
      <x:c r="P87" s="96" t="str">
        <x:v>待评审</x:v>
      </x:c>
    </x:row>
    <x:row r="88">
      <x:c r="A88" s="94" t="str">
        <x:v>T0084</x:v>
      </x:c>
      <x:c r="B88" s="95" t="str">
        <x:v>实验执行与具身自动化</x:v>
      </x:c>
      <x:c r="C88" s="95" t="str">
        <x:v>实验流程与机器可执行协议</x:v>
      </x:c>
      <x:c r="D88" s="95" t="str">
        <x:v>研究储备</x:v>
      </x:c>
      <x:c r="E88" s="100" t="n">
        <x:v>6</x:v>
      </x:c>
      <x:c r="F88" s="95" t="str">
        <x:v>两线共用</x:v>
      </x:c>
      <x:c r="G88" s="95" t="str">
        <x:v>F 数据、协议与复现</x:v>
      </x:c>
      <x:c r="H88" s="95" t="str">
        <x:v>协议本体</x:v>
      </x:c>
      <x:c r="I88" s="95" t="str">
        <x:v>把配方、温控、EIS流程和验收条件转成可执行、可版本化协议。</x:v>
      </x:c>
      <x:c r="J88" s="95" t="str">
        <x:v>建立统一ID、原始数据不可变、协议/代码版本、W3C PROV/RO-Crate复现包。</x:v>
      </x:c>
      <x:c r="K88" s="95" t="str">
        <x:v>可直接支撑当前EIS-only闭环。</x:v>
      </x:c>
      <x:c r="L88" s="95" t="str">
        <x:v>M3 研究储备</x:v>
      </x:c>
      <x:c r="M88" s="95" t="str">
        <x:v>条件具备后</x:v>
      </x:c>
      <x:c r="N88" s="95" t="str">
        <x:v>P0</x:v>
      </x:c>
      <x:c r="O88" s="95" t="str">
        <x:v>https://sila-standard.com/standards/</x:v>
      </x:c>
      <x:c r="P88" s="96" t="str">
        <x:v>待评审</x:v>
      </x:c>
    </x:row>
    <x:row r="89">
      <x:c r="A89" s="94" t="str">
        <x:v>T0085</x:v>
      </x:c>
      <x:c r="B89" s="95" t="str">
        <x:v>实验执行与具身自动化</x:v>
      </x:c>
      <x:c r="C89" s="95" t="str">
        <x:v>实验流程与机器可执行协议</x:v>
      </x:c>
      <x:c r="D89" s="95" t="str">
        <x:v>关键支撑</x:v>
      </x:c>
      <x:c r="E89" s="100" t="n">
        <x:v>9</x:v>
      </x:c>
      <x:c r="F89" s="95" t="str">
        <x:v>两线共用</x:v>
      </x:c>
      <x:c r="G89" s="95" t="str">
        <x:v>F 数据、协议与复现</x:v>
      </x:c>
      <x:c r="H89" s="95" t="str">
        <x:v>单位安全类型</x:v>
      </x:c>
      <x:c r="I89" s="95" t="str">
        <x:v>把配方、温控、EIS流程和验收条件转成可执行、可版本化协议。</x:v>
      </x:c>
      <x:c r="J89" s="95" t="str">
        <x:v>建立统一ID、原始数据不可变、协议/代码版本、W3C PROV/RO-Crate复现包。</x:v>
      </x:c>
      <x:c r="K89" s="95" t="str">
        <x:v>可直接支撑当前EIS-only闭环。</x:v>
      </x:c>
      <x:c r="L89" s="95" t="str">
        <x:v>M2 扩展与复现（5–12月）</x:v>
      </x:c>
      <x:c r="M89" s="95" t="str">
        <x:v>按瓶颈接入</x:v>
      </x:c>
      <x:c r="N89" s="95" t="str">
        <x:v>P0</x:v>
      </x:c>
      <x:c r="O89" s="95" t="str">
        <x:v>https://arxiv.org/abs/2411.00444</x:v>
      </x:c>
      <x:c r="P89" s="96" t="str">
        <x:v>待评审</x:v>
      </x:c>
    </x:row>
    <x:row r="90">
      <x:c r="A90" s="94" t="str">
        <x:v>T0086</x:v>
      </x:c>
      <x:c r="B90" s="95" t="str">
        <x:v>实验执行与具身自动化</x:v>
      </x:c>
      <x:c r="C90" s="95" t="str">
        <x:v>实验流程与机器可执行协议</x:v>
      </x:c>
      <x:c r="D90" s="95" t="str">
        <x:v>研究储备</x:v>
      </x:c>
      <x:c r="E90" s="100" t="n">
        <x:v>6</x:v>
      </x:c>
      <x:c r="F90" s="95" t="str">
        <x:v>两线共用</x:v>
      </x:c>
      <x:c r="G90" s="95" t="str">
        <x:v>F 数据、协议与复现</x:v>
      </x:c>
      <x:c r="H90" s="95" t="str">
        <x:v>参数模式</x:v>
      </x:c>
      <x:c r="I90" s="95" t="str">
        <x:v>把配方、温控、EIS流程和验收条件转成可执行、可版本化协议。</x:v>
      </x:c>
      <x:c r="J90" s="95" t="str">
        <x:v>建立统一ID、原始数据不可变、协议/代码版本、W3C PROV/RO-Crate复现包。</x:v>
      </x:c>
      <x:c r="K90" s="95" t="str">
        <x:v>可直接支撑当前EIS-only闭环。</x:v>
      </x:c>
      <x:c r="L90" s="95" t="str">
        <x:v>M3 研究储备</x:v>
      </x:c>
      <x:c r="M90" s="95" t="str">
        <x:v>条件具备后</x:v>
      </x:c>
      <x:c r="N90" s="95" t="str">
        <x:v>P0</x:v>
      </x:c>
      <x:c r="O90" s="95" t="str">
        <x:v>https://pubs.acs.org/doi/10.1021/acs.chemrev.4c00055</x:v>
      </x:c>
      <x:c r="P90" s="96" t="str">
        <x:v>待评审</x:v>
      </x:c>
    </x:row>
    <x:row r="91">
      <x:c r="A91" s="94" t="str">
        <x:v>T0087</x:v>
      </x:c>
      <x:c r="B91" s="95" t="str">
        <x:v>实验执行与具身自动化</x:v>
      </x:c>
      <x:c r="C91" s="95" t="str">
        <x:v>实验流程与机器可执行协议</x:v>
      </x:c>
      <x:c r="D91" s="95" t="str">
        <x:v>研究储备</x:v>
      </x:c>
      <x:c r="E91" s="100" t="n">
        <x:v>6</x:v>
      </x:c>
      <x:c r="F91" s="95" t="str">
        <x:v>两线共用</x:v>
      </x:c>
      <x:c r="G91" s="95" t="str">
        <x:v>F 数据、协议与复现</x:v>
      </x:c>
      <x:c r="H91" s="95" t="str">
        <x:v>样品模式</x:v>
      </x:c>
      <x:c r="I91" s="95" t="str">
        <x:v>把配方、温控、EIS流程和验收条件转成可执行、可版本化协议。</x:v>
      </x:c>
      <x:c r="J91" s="95" t="str">
        <x:v>建立统一ID、原始数据不可变、协议/代码版本、W3C PROV/RO-Crate复现包。</x:v>
      </x:c>
      <x:c r="K91" s="95" t="str">
        <x:v>可直接支撑当前EIS-only闭环。</x:v>
      </x:c>
      <x:c r="L91" s="95" t="str">
        <x:v>M3 研究储备</x:v>
      </x:c>
      <x:c r="M91" s="95" t="str">
        <x:v>条件具备后</x:v>
      </x:c>
      <x:c r="N91" s="95" t="str">
        <x:v>P0</x:v>
      </x:c>
      <x:c r="O91" s="95" t="str">
        <x:v>https://www.science.org/doi/10.1126/scirobotics.aat5559</x:v>
      </x:c>
      <x:c r="P91" s="96" t="str">
        <x:v>待评审</x:v>
      </x:c>
    </x:row>
    <x:row r="92">
      <x:c r="A92" s="94" t="str">
        <x:v>T0088</x:v>
      </x:c>
      <x:c r="B92" s="95" t="str">
        <x:v>实验执行与具身自动化</x:v>
      </x:c>
      <x:c r="C92" s="95" t="str">
        <x:v>实验流程与机器可执行协议</x:v>
      </x:c>
      <x:c r="D92" s="95" t="str">
        <x:v>研究储备</x:v>
      </x:c>
      <x:c r="E92" s="100" t="n">
        <x:v>6</x:v>
      </x:c>
      <x:c r="F92" s="95" t="str">
        <x:v>两线共用</x:v>
      </x:c>
      <x:c r="G92" s="95" t="str">
        <x:v>F 数据、协议与复现</x:v>
      </x:c>
      <x:c r="H92" s="95" t="str">
        <x:v>物料身份模式</x:v>
      </x:c>
      <x:c r="I92" s="95" t="str">
        <x:v>把配方、温控、EIS流程和验收条件转成可执行、可版本化协议。</x:v>
      </x:c>
      <x:c r="J92" s="95" t="str">
        <x:v>建立统一ID、原始数据不可变、协议/代码版本、W3C PROV/RO-Crate复现包。</x:v>
      </x:c>
      <x:c r="K92" s="95" t="str">
        <x:v>可直接支撑当前EIS-only闭环。</x:v>
      </x:c>
      <x:c r="L92" s="95" t="str">
        <x:v>M3 研究储备</x:v>
      </x:c>
      <x:c r="M92" s="95" t="str">
        <x:v>条件具备后</x:v>
      </x:c>
      <x:c r="N92" s="95" t="str">
        <x:v>P0</x:v>
      </x:c>
      <x:c r="O92" s="95" t="str">
        <x:v>https://www.researchobject.org/ro-crate/specification/1.1/provenance.html</x:v>
      </x:c>
      <x:c r="P92" s="96" t="str">
        <x:v>待评审</x:v>
      </x:c>
    </x:row>
    <x:row r="93">
      <x:c r="A93" s="94" t="str">
        <x:v>T0089</x:v>
      </x:c>
      <x:c r="B93" s="95" t="str">
        <x:v>实验执行与具身自动化</x:v>
      </x:c>
      <x:c r="C93" s="95" t="str">
        <x:v>实验流程与机器可执行协议</x:v>
      </x:c>
      <x:c r="D93" s="95" t="str">
        <x:v>研究储备</x:v>
      </x:c>
      <x:c r="E93" s="100" t="n">
        <x:v>6</x:v>
      </x:c>
      <x:c r="F93" s="95" t="str">
        <x:v>两线共用</x:v>
      </x:c>
      <x:c r="G93" s="95" t="str">
        <x:v>F 数据、协议与复现</x:v>
      </x:c>
      <x:c r="H93" s="95" t="str">
        <x:v>设备能力模式</x:v>
      </x:c>
      <x:c r="I93" s="95" t="str">
        <x:v>把配方、温控、EIS流程和验收条件转成可执行、可版本化协议。</x:v>
      </x:c>
      <x:c r="J93" s="95" t="str">
        <x:v>建立统一ID、原始数据不可变、协议/代码版本、W3C PROV/RO-Crate复现包。</x:v>
      </x:c>
      <x:c r="K93" s="95" t="str">
        <x:v>可直接支撑当前EIS-only闭环。</x:v>
      </x:c>
      <x:c r="L93" s="95" t="str">
        <x:v>M3 研究储备</x:v>
      </x:c>
      <x:c r="M93" s="95" t="str">
        <x:v>条件具备后</x:v>
      </x:c>
      <x:c r="N93" s="95" t="str">
        <x:v>P0</x:v>
      </x:c>
      <x:c r="O93" s="95" t="str">
        <x:v>https://sila-standard.com/standards/</x:v>
      </x:c>
      <x:c r="P93" s="96" t="str">
        <x:v>待评审</x:v>
      </x:c>
    </x:row>
    <x:row r="94">
      <x:c r="A94" s="94" t="str">
        <x:v>T0090</x:v>
      </x:c>
      <x:c r="B94" s="95" t="str">
        <x:v>实验执行与具身自动化</x:v>
      </x:c>
      <x:c r="C94" s="95" t="str">
        <x:v>实验流程与机器可执行协议</x:v>
      </x:c>
      <x:c r="D94" s="95" t="str">
        <x:v>关键支撑</x:v>
      </x:c>
      <x:c r="E94" s="100" t="n">
        <x:v>9</x:v>
      </x:c>
      <x:c r="F94" s="95" t="str">
        <x:v>两线共用</x:v>
      </x:c>
      <x:c r="G94" s="95" t="str">
        <x:v>F 数据、协议与复现</x:v>
      </x:c>
      <x:c r="H94" s="95" t="str">
        <x:v>前置条件</x:v>
      </x:c>
      <x:c r="I94" s="95" t="str">
        <x:v>把配方、温控、EIS流程和验收条件转成可执行、可版本化协议。</x:v>
      </x:c>
      <x:c r="J94" s="95" t="str">
        <x:v>建立统一ID、原始数据不可变、协议/代码版本、W3C PROV/RO-Crate复现包。</x:v>
      </x:c>
      <x:c r="K94" s="95" t="str">
        <x:v>可直接支撑当前EIS-only闭环。</x:v>
      </x:c>
      <x:c r="L94" s="95" t="str">
        <x:v>M2 扩展与复现（5–12月）</x:v>
      </x:c>
      <x:c r="M94" s="95" t="str">
        <x:v>按瓶颈接入</x:v>
      </x:c>
      <x:c r="N94" s="95" t="str">
        <x:v>P0</x:v>
      </x:c>
      <x:c r="O94" s="95" t="str">
        <x:v>https://arxiv.org/abs/2411.00444</x:v>
      </x:c>
      <x:c r="P94" s="96" t="str">
        <x:v>待评审</x:v>
      </x:c>
    </x:row>
    <x:row r="95">
      <x:c r="A95" s="94" t="str">
        <x:v>T0091</x:v>
      </x:c>
      <x:c r="B95" s="95" t="str">
        <x:v>实验执行与具身自动化</x:v>
      </x:c>
      <x:c r="C95" s="95" t="str">
        <x:v>实验流程与机器可执行协议</x:v>
      </x:c>
      <x:c r="D95" s="95" t="str">
        <x:v>关键支撑</x:v>
      </x:c>
      <x:c r="E95" s="100" t="n">
        <x:v>9</x:v>
      </x:c>
      <x:c r="F95" s="95" t="str">
        <x:v>两线共用</x:v>
      </x:c>
      <x:c r="G95" s="95" t="str">
        <x:v>F 数据、协议与复现</x:v>
      </x:c>
      <x:c r="H95" s="95" t="str">
        <x:v>后置条件</x:v>
      </x:c>
      <x:c r="I95" s="95" t="str">
        <x:v>把配方、温控、EIS流程和验收条件转成可执行、可版本化协议。</x:v>
      </x:c>
      <x:c r="J95" s="95" t="str">
        <x:v>建立统一ID、原始数据不可变、协议/代码版本、W3C PROV/RO-Crate复现包。</x:v>
      </x:c>
      <x:c r="K95" s="95" t="str">
        <x:v>可直接支撑当前EIS-only闭环。</x:v>
      </x:c>
      <x:c r="L95" s="95" t="str">
        <x:v>M2 扩展与复现（5–12月）</x:v>
      </x:c>
      <x:c r="M95" s="95" t="str">
        <x:v>按瓶颈接入</x:v>
      </x:c>
      <x:c r="N95" s="95" t="str">
        <x:v>P1</x:v>
      </x:c>
      <x:c r="O95" s="95" t="str">
        <x:v>https://pubs.acs.org/doi/10.1021/acs.chemrev.4c00055</x:v>
      </x:c>
      <x:c r="P95" s="96" t="str">
        <x:v>待评审</x:v>
      </x:c>
    </x:row>
    <x:row r="96">
      <x:c r="A96" s="94" t="str">
        <x:v>T0092</x:v>
      </x:c>
      <x:c r="B96" s="95" t="str">
        <x:v>实验执行与具身自动化</x:v>
      </x:c>
      <x:c r="C96" s="95" t="str">
        <x:v>实验流程与机器可执行协议</x:v>
      </x:c>
      <x:c r="D96" s="95" t="str">
        <x:v>关键支撑</x:v>
      </x:c>
      <x:c r="E96" s="100" t="n">
        <x:v>9</x:v>
      </x:c>
      <x:c r="F96" s="95" t="str">
        <x:v>两线共用</x:v>
      </x:c>
      <x:c r="G96" s="95" t="str">
        <x:v>F 数据、协议与复现</x:v>
      </x:c>
      <x:c r="H96" s="95" t="str">
        <x:v>不变量</x:v>
      </x:c>
      <x:c r="I96" s="95" t="str">
        <x:v>把配方、温控、EIS流程和验收条件转成可执行、可版本化协议。</x:v>
      </x:c>
      <x:c r="J96" s="95" t="str">
        <x:v>建立统一ID、原始数据不可变、协议/代码版本、W3C PROV/RO-Crate复现包。</x:v>
      </x:c>
      <x:c r="K96" s="95" t="str">
        <x:v>可直接支撑当前EIS-only闭环。</x:v>
      </x:c>
      <x:c r="L96" s="95" t="str">
        <x:v>M2 扩展与复现（5–12月）</x:v>
      </x:c>
      <x:c r="M96" s="95" t="str">
        <x:v>按瓶颈接入</x:v>
      </x:c>
      <x:c r="N96" s="95" t="str">
        <x:v>P1</x:v>
      </x:c>
      <x:c r="O96" s="95" t="str">
        <x:v>https://www.science.org/doi/10.1126/scirobotics.aat5559</x:v>
      </x:c>
      <x:c r="P96" s="96" t="str">
        <x:v>待评审</x:v>
      </x:c>
    </x:row>
    <x:row r="97">
      <x:c r="A97" s="94" t="str">
        <x:v>T0093</x:v>
      </x:c>
      <x:c r="B97" s="95" t="str">
        <x:v>实验执行与具身自动化</x:v>
      </x:c>
      <x:c r="C97" s="95" t="str">
        <x:v>实验流程与机器可执行协议</x:v>
      </x:c>
      <x:c r="D97" s="95" t="str">
        <x:v>研究储备</x:v>
      </x:c>
      <x:c r="E97" s="100" t="n">
        <x:v>6</x:v>
      </x:c>
      <x:c r="F97" s="95" t="str">
        <x:v>两线共用</x:v>
      </x:c>
      <x:c r="G97" s="95" t="str">
        <x:v>F 数据、协议与复现</x:v>
      </x:c>
      <x:c r="H97" s="95" t="str">
        <x:v>条件分支</x:v>
      </x:c>
      <x:c r="I97" s="95" t="str">
        <x:v>把配方、温控、EIS流程和验收条件转成可执行、可版本化协议。</x:v>
      </x:c>
      <x:c r="J97" s="95" t="str">
        <x:v>建立统一ID、原始数据不可变、协议/代码版本、W3C PROV/RO-Crate复现包。</x:v>
      </x:c>
      <x:c r="K97" s="95" t="str">
        <x:v>可直接支撑当前EIS-only闭环。</x:v>
      </x:c>
      <x:c r="L97" s="95" t="str">
        <x:v>M3 研究储备</x:v>
      </x:c>
      <x:c r="M97" s="95" t="str">
        <x:v>条件具备后</x:v>
      </x:c>
      <x:c r="N97" s="95" t="str">
        <x:v>P1</x:v>
      </x:c>
      <x:c r="O97" s="95" t="str">
        <x:v>https://www.researchobject.org/ro-crate/specification/1.1/provenance.html</x:v>
      </x:c>
      <x:c r="P97" s="96" t="str">
        <x:v>待评审</x:v>
      </x:c>
    </x:row>
    <x:row r="98">
      <x:c r="A98" s="94" t="str">
        <x:v>T0094</x:v>
      </x:c>
      <x:c r="B98" s="95" t="str">
        <x:v>实验执行与具身自动化</x:v>
      </x:c>
      <x:c r="C98" s="95" t="str">
        <x:v>实验流程与机器可执行协议</x:v>
      </x:c>
      <x:c r="D98" s="95" t="str">
        <x:v>研究储备</x:v>
      </x:c>
      <x:c r="E98" s="100" t="n">
        <x:v>6</x:v>
      </x:c>
      <x:c r="F98" s="95" t="str">
        <x:v>两线共用</x:v>
      </x:c>
      <x:c r="G98" s="95" t="str">
        <x:v>F 数据、协议与复现</x:v>
      </x:c>
      <x:c r="H98" s="95" t="str">
        <x:v>循环</x:v>
      </x:c>
      <x:c r="I98" s="95" t="str">
        <x:v>把配方、温控、EIS流程和验收条件转成可执行、可版本化协议。</x:v>
      </x:c>
      <x:c r="J98" s="95" t="str">
        <x:v>建立统一ID、原始数据不可变、协议/代码版本、W3C PROV/RO-Crate复现包。</x:v>
      </x:c>
      <x:c r="K98" s="95" t="str">
        <x:v>可直接支撑当前EIS-only闭环。</x:v>
      </x:c>
      <x:c r="L98" s="95" t="str">
        <x:v>M3 研究储备</x:v>
      </x:c>
      <x:c r="M98" s="95" t="str">
        <x:v>条件具备后</x:v>
      </x:c>
      <x:c r="N98" s="95" t="str">
        <x:v>P1</x:v>
      </x:c>
      <x:c r="O98" s="95" t="str">
        <x:v>https://sila-standard.com/standards/</x:v>
      </x:c>
      <x:c r="P98" s="96" t="str">
        <x:v>待评审</x:v>
      </x:c>
    </x:row>
    <x:row r="99">
      <x:c r="A99" s="94" t="str">
        <x:v>T0095</x:v>
      </x:c>
      <x:c r="B99" s="95" t="str">
        <x:v>实验执行与具身自动化</x:v>
      </x:c>
      <x:c r="C99" s="95" t="str">
        <x:v>实验流程与机器可执行协议</x:v>
      </x:c>
      <x:c r="D99" s="95" t="str">
        <x:v>研究储备</x:v>
      </x:c>
      <x:c r="E99" s="100" t="n">
        <x:v>6</x:v>
      </x:c>
      <x:c r="F99" s="95" t="str">
        <x:v>两线共用</x:v>
      </x:c>
      <x:c r="G99" s="95" t="str">
        <x:v>F 数据、协议与复现</x:v>
      </x:c>
      <x:c r="H99" s="95" t="str">
        <x:v>并行步骤</x:v>
      </x:c>
      <x:c r="I99" s="95" t="str">
        <x:v>把配方、温控、EIS流程和验收条件转成可执行、可版本化协议。</x:v>
      </x:c>
      <x:c r="J99" s="95" t="str">
        <x:v>建立统一ID、原始数据不可变、协议/代码版本、W3C PROV/RO-Crate复现包。</x:v>
      </x:c>
      <x:c r="K99" s="95" t="str">
        <x:v>可直接支撑当前EIS-only闭环。</x:v>
      </x:c>
      <x:c r="L99" s="95" t="str">
        <x:v>M3 研究储备</x:v>
      </x:c>
      <x:c r="M99" s="95" t="str">
        <x:v>条件具备后</x:v>
      </x:c>
      <x:c r="N99" s="95" t="str">
        <x:v>P1</x:v>
      </x:c>
      <x:c r="O99" s="95" t="str">
        <x:v>https://arxiv.org/abs/2411.00444</x:v>
      </x:c>
      <x:c r="P99" s="96" t="str">
        <x:v>待评审</x:v>
      </x:c>
    </x:row>
    <x:row r="100">
      <x:c r="A100" s="94" t="str">
        <x:v>T0096</x:v>
      </x:c>
      <x:c r="B100" s="95" t="str">
        <x:v>实验执行与具身自动化</x:v>
      </x:c>
      <x:c r="C100" s="95" t="str">
        <x:v>实验流程与机器可执行协议</x:v>
      </x:c>
      <x:c r="D100" s="95" t="str">
        <x:v>研究储备</x:v>
      </x:c>
      <x:c r="E100" s="100" t="n">
        <x:v>6</x:v>
      </x:c>
      <x:c r="F100" s="95" t="str">
        <x:v>两线共用</x:v>
      </x:c>
      <x:c r="G100" s="95" t="str">
        <x:v>F 数据、协议与复现</x:v>
      </x:c>
      <x:c r="H100" s="95" t="str">
        <x:v>同步屏障</x:v>
      </x:c>
      <x:c r="I100" s="95" t="str">
        <x:v>把配方、温控、EIS流程和验收条件转成可执行、可版本化协议。</x:v>
      </x:c>
      <x:c r="J100" s="95" t="str">
        <x:v>建立统一ID、原始数据不可变、协议/代码版本、W3C PROV/RO-Crate复现包。</x:v>
      </x:c>
      <x:c r="K100" s="95" t="str">
        <x:v>可直接支撑当前EIS-only闭环。</x:v>
      </x:c>
      <x:c r="L100" s="95" t="str">
        <x:v>M3 研究储备</x:v>
      </x:c>
      <x:c r="M100" s="95" t="str">
        <x:v>条件具备后</x:v>
      </x:c>
      <x:c r="N100" s="95" t="str">
        <x:v>P1</x:v>
      </x:c>
      <x:c r="O100" s="95" t="str">
        <x:v>https://pubs.acs.org/doi/10.1021/acs.chemrev.4c00055</x:v>
      </x:c>
      <x:c r="P100" s="96" t="str">
        <x:v>待评审</x:v>
      </x:c>
    </x:row>
    <x:row r="101">
      <x:c r="A101" s="94" t="str">
        <x:v>T0097</x:v>
      </x:c>
      <x:c r="B101" s="95" t="str">
        <x:v>实验执行与具身自动化</x:v>
      </x:c>
      <x:c r="C101" s="95" t="str">
        <x:v>实验流程与机器可执行协议</x:v>
      </x:c>
      <x:c r="D101" s="95" t="str">
        <x:v>研究储备</x:v>
      </x:c>
      <x:c r="E101" s="100" t="n">
        <x:v>6</x:v>
      </x:c>
      <x:c r="F101" s="95" t="str">
        <x:v>两线共用</x:v>
      </x:c>
      <x:c r="G101" s="95" t="str">
        <x:v>F 数据、协议与复现</x:v>
      </x:c>
      <x:c r="H101" s="95" t="str">
        <x:v>时间约束</x:v>
      </x:c>
      <x:c r="I101" s="95" t="str">
        <x:v>把配方、温控、EIS流程和验收条件转成可执行、可版本化协议。</x:v>
      </x:c>
      <x:c r="J101" s="95" t="str">
        <x:v>建立统一ID、原始数据不可变、协议/代码版本、W3C PROV/RO-Crate复现包。</x:v>
      </x:c>
      <x:c r="K101" s="95" t="str">
        <x:v>可直接支撑当前EIS-only闭环。</x:v>
      </x:c>
      <x:c r="L101" s="95" t="str">
        <x:v>M3 研究储备</x:v>
      </x:c>
      <x:c r="M101" s="95" t="str">
        <x:v>条件具备后</x:v>
      </x:c>
      <x:c r="N101" s="95" t="str">
        <x:v>P1</x:v>
      </x:c>
      <x:c r="O101" s="95" t="str">
        <x:v>https://www.science.org/doi/10.1126/scirobotics.aat5559</x:v>
      </x:c>
      <x:c r="P101" s="96" t="str">
        <x:v>待评审</x:v>
      </x:c>
    </x:row>
    <x:row r="102">
      <x:c r="A102" s="94" t="str">
        <x:v>T0098</x:v>
      </x:c>
      <x:c r="B102" s="95" t="str">
        <x:v>实验执行与具身自动化</x:v>
      </x:c>
      <x:c r="C102" s="95" t="str">
        <x:v>实验流程与机器可执行协议</x:v>
      </x:c>
      <x:c r="D102" s="95" t="str">
        <x:v>研究储备</x:v>
      </x:c>
      <x:c r="E102" s="100" t="n">
        <x:v>6</x:v>
      </x:c>
      <x:c r="F102" s="95" t="str">
        <x:v>两线共用</x:v>
      </x:c>
      <x:c r="G102" s="95" t="str">
        <x:v>F 数据、协议与复现</x:v>
      </x:c>
      <x:c r="H102" s="95" t="str">
        <x:v>资源锁</x:v>
      </x:c>
      <x:c r="I102" s="95" t="str">
        <x:v>把配方、温控、EIS流程和验收条件转成可执行、可版本化协议。</x:v>
      </x:c>
      <x:c r="J102" s="95" t="str">
        <x:v>建立统一ID、原始数据不可变、协议/代码版本、W3C PROV/RO-Crate复现包。</x:v>
      </x:c>
      <x:c r="K102" s="95" t="str">
        <x:v>可直接支撑当前EIS-only闭环。</x:v>
      </x:c>
      <x:c r="L102" s="95" t="str">
        <x:v>M3 研究储备</x:v>
      </x:c>
      <x:c r="M102" s="95" t="str">
        <x:v>条件具备后</x:v>
      </x:c>
      <x:c r="N102" s="95" t="str">
        <x:v>P1</x:v>
      </x:c>
      <x:c r="O102" s="95" t="str">
        <x:v>https://www.researchobject.org/ro-crate/specification/1.1/provenance.html</x:v>
      </x:c>
      <x:c r="P102" s="96" t="str">
        <x:v>待评审</x:v>
      </x:c>
    </x:row>
    <x:row r="103">
      <x:c r="A103" s="94" t="str">
        <x:v>T0099</x:v>
      </x:c>
      <x:c r="B103" s="95" t="str">
        <x:v>实验执行与具身自动化</x:v>
      </x:c>
      <x:c r="C103" s="95" t="str">
        <x:v>实验流程与机器可执行协议</x:v>
      </x:c>
      <x:c r="D103" s="95" t="str">
        <x:v>关键支撑</x:v>
      </x:c>
      <x:c r="E103" s="100" t="n">
        <x:v>9</x:v>
      </x:c>
      <x:c r="F103" s="95" t="str">
        <x:v>两线共用</x:v>
      </x:c>
      <x:c r="G103" s="95" t="str">
        <x:v>F 数据、协议与复现</x:v>
      </x:c>
      <x:c r="H103" s="95" t="str">
        <x:v>错误处理</x:v>
      </x:c>
      <x:c r="I103" s="95" t="str">
        <x:v>把配方、温控、EIS流程和验收条件转成可执行、可版本化协议。</x:v>
      </x:c>
      <x:c r="J103" s="95" t="str">
        <x:v>建立统一ID、原始数据不可变、协议/代码版本、W3C PROV/RO-Crate复现包。</x:v>
      </x:c>
      <x:c r="K103" s="95" t="str">
        <x:v>可直接支撑当前EIS-only闭环。</x:v>
      </x:c>
      <x:c r="L103" s="95" t="str">
        <x:v>M2 扩展与复现（5–12月）</x:v>
      </x:c>
      <x:c r="M103" s="95" t="str">
        <x:v>按瓶颈接入</x:v>
      </x:c>
      <x:c r="N103" s="95" t="str">
        <x:v>P1</x:v>
      </x:c>
      <x:c r="O103" s="95" t="str">
        <x:v>https://sila-standard.com/standards/</x:v>
      </x:c>
      <x:c r="P103" s="96" t="str">
        <x:v>待评审</x:v>
      </x:c>
    </x:row>
    <x:row r="104">
      <x:c r="A104" s="94" t="str">
        <x:v>T0100</x:v>
      </x:c>
      <x:c r="B104" s="95" t="str">
        <x:v>实验执行与具身自动化</x:v>
      </x:c>
      <x:c r="C104" s="95" t="str">
        <x:v>实验流程与机器可执行协议</x:v>
      </x:c>
      <x:c r="D104" s="95" t="str">
        <x:v>研究储备</x:v>
      </x:c>
      <x:c r="E104" s="100" t="n">
        <x:v>6</x:v>
      </x:c>
      <x:c r="F104" s="95" t="str">
        <x:v>两线共用</x:v>
      </x:c>
      <x:c r="G104" s="95" t="str">
        <x:v>F 数据、协议与复现</x:v>
      </x:c>
      <x:c r="H104" s="95" t="str">
        <x:v>重试策略</x:v>
      </x:c>
      <x:c r="I104" s="95" t="str">
        <x:v>把配方、温控、EIS流程和验收条件转成可执行、可版本化协议。</x:v>
      </x:c>
      <x:c r="J104" s="95" t="str">
        <x:v>建立统一ID、原始数据不可变、协议/代码版本、W3C PROV/RO-Crate复现包。</x:v>
      </x:c>
      <x:c r="K104" s="95" t="str">
        <x:v>可直接支撑当前EIS-only闭环。</x:v>
      </x:c>
      <x:c r="L104" s="95" t="str">
        <x:v>M3 研究储备</x:v>
      </x:c>
      <x:c r="M104" s="95" t="str">
        <x:v>条件具备后</x:v>
      </x:c>
      <x:c r="N104" s="95" t="str">
        <x:v>P1</x:v>
      </x:c>
      <x:c r="O104" s="95" t="str">
        <x:v>https://arxiv.org/abs/2411.00444</x:v>
      </x:c>
      <x:c r="P104" s="96" t="str">
        <x:v>待评审</x:v>
      </x:c>
    </x:row>
    <x:row r="105">
      <x:c r="A105" s="94" t="str">
        <x:v>T0101</x:v>
      </x:c>
      <x:c r="B105" s="95" t="str">
        <x:v>实验执行与具身自动化</x:v>
      </x:c>
      <x:c r="C105" s="95" t="str">
        <x:v>实验流程与机器可执行协议</x:v>
      </x:c>
      <x:c r="D105" s="95" t="str">
        <x:v>研究储备</x:v>
      </x:c>
      <x:c r="E105" s="100" t="n">
        <x:v>6</x:v>
      </x:c>
      <x:c r="F105" s="95" t="str">
        <x:v>两线共用</x:v>
      </x:c>
      <x:c r="G105" s="95" t="str">
        <x:v>F 数据、协议与复现</x:v>
      </x:c>
      <x:c r="H105" s="95" t="str">
        <x:v>补偿事务</x:v>
      </x:c>
      <x:c r="I105" s="95" t="str">
        <x:v>把配方、温控、EIS流程和验收条件转成可执行、可版本化协议。</x:v>
      </x:c>
      <x:c r="J105" s="95" t="str">
        <x:v>建立统一ID、原始数据不可变、协议/代码版本、W3C PROV/RO-Crate复现包。</x:v>
      </x:c>
      <x:c r="K105" s="95" t="str">
        <x:v>可直接支撑当前EIS-only闭环。</x:v>
      </x:c>
      <x:c r="L105" s="95" t="str">
        <x:v>M3 研究储备</x:v>
      </x:c>
      <x:c r="M105" s="95" t="str">
        <x:v>条件具备后</x:v>
      </x:c>
      <x:c r="N105" s="95" t="str">
        <x:v>P1</x:v>
      </x:c>
      <x:c r="O105" s="95" t="str">
        <x:v>https://pubs.acs.org/doi/10.1021/acs.chemrev.4c00055</x:v>
      </x:c>
      <x:c r="P105" s="96" t="str">
        <x:v>待评审</x:v>
      </x:c>
    </x:row>
    <x:row r="106">
      <x:c r="A106" s="94" t="str">
        <x:v>T0102</x:v>
      </x:c>
      <x:c r="B106" s="95" t="str">
        <x:v>实验执行与具身自动化</x:v>
      </x:c>
      <x:c r="C106" s="95" t="str">
        <x:v>实验流程与机器可执行协议</x:v>
      </x:c>
      <x:c r="D106" s="95" t="str">
        <x:v>关键支撑</x:v>
      </x:c>
      <x:c r="E106" s="100" t="n">
        <x:v>9</x:v>
      </x:c>
      <x:c r="F106" s="95" t="str">
        <x:v>两线共用</x:v>
      </x:c>
      <x:c r="G106" s="95" t="str">
        <x:v>F 数据、协议与复现</x:v>
      </x:c>
      <x:c r="H106" s="95" t="str">
        <x:v>异常分类法</x:v>
      </x:c>
      <x:c r="I106" s="95" t="str">
        <x:v>把配方、温控、EIS流程和验收条件转成可执行、可版本化协议。</x:v>
      </x:c>
      <x:c r="J106" s="95" t="str">
        <x:v>建立统一ID、原始数据不可变、协议/代码版本、W3C PROV/RO-Crate复现包。</x:v>
      </x:c>
      <x:c r="K106" s="95" t="str">
        <x:v>可直接支撑当前EIS-only闭环。</x:v>
      </x:c>
      <x:c r="L106" s="95" t="str">
        <x:v>M2 扩展与复现（5–12月）</x:v>
      </x:c>
      <x:c r="M106" s="95" t="str">
        <x:v>按瓶颈接入</x:v>
      </x:c>
      <x:c r="N106" s="95" t="str">
        <x:v>P1</x:v>
      </x:c>
      <x:c r="O106" s="95" t="str">
        <x:v>https://www.science.org/doi/10.1126/scirobotics.aat5559</x:v>
      </x:c>
      <x:c r="P106" s="96" t="str">
        <x:v>待评审</x:v>
      </x:c>
    </x:row>
    <x:row r="107">
      <x:c r="A107" s="94" t="str">
        <x:v>T0103</x:v>
      </x:c>
      <x:c r="B107" s="95" t="str">
        <x:v>实验执行与具身自动化</x:v>
      </x:c>
      <x:c r="C107" s="95" t="str">
        <x:v>实验流程与机器可执行协议</x:v>
      </x:c>
      <x:c r="D107" s="95" t="str">
        <x:v>关键支撑</x:v>
      </x:c>
      <x:c r="E107" s="100" t="n">
        <x:v>9</x:v>
      </x:c>
      <x:c r="F107" s="95" t="str">
        <x:v>两线共用</x:v>
      </x:c>
      <x:c r="G107" s="95" t="str">
        <x:v>F 数据、协议与复现</x:v>
      </x:c>
      <x:c r="H107" s="95" t="str">
        <x:v>协议验证</x:v>
      </x:c>
      <x:c r="I107" s="95" t="str">
        <x:v>把配方、温控、EIS流程和验收条件转成可执行、可版本化协议。</x:v>
      </x:c>
      <x:c r="J107" s="95" t="str">
        <x:v>建立统一ID、原始数据不可变、协议/代码版本、W3C PROV/RO-Crate复现包。</x:v>
      </x:c>
      <x:c r="K107" s="95" t="str">
        <x:v>可直接支撑当前EIS-only闭环。</x:v>
      </x:c>
      <x:c r="L107" s="95" t="str">
        <x:v>M2 扩展与复现（5–12月）</x:v>
      </x:c>
      <x:c r="M107" s="95" t="str">
        <x:v>按瓶颈接入</x:v>
      </x:c>
      <x:c r="N107" s="95" t="str">
        <x:v>P1</x:v>
      </x:c>
      <x:c r="O107" s="95" t="str">
        <x:v>https://www.researchobject.org/ro-crate/specification/1.1/provenance.html</x:v>
      </x:c>
      <x:c r="P107" s="96" t="str">
        <x:v>待评审</x:v>
      </x:c>
    </x:row>
    <x:row r="108">
      <x:c r="A108" s="94" t="str">
        <x:v>T0104</x:v>
      </x:c>
      <x:c r="B108" s="95" t="str">
        <x:v>实验执行与具身自动化</x:v>
      </x:c>
      <x:c r="C108" s="95" t="str">
        <x:v>实验流程与机器可执行协议</x:v>
      </x:c>
      <x:c r="D108" s="95" t="str">
        <x:v>研究储备</x:v>
      </x:c>
      <x:c r="E108" s="100" t="n">
        <x:v>6</x:v>
      </x:c>
      <x:c r="F108" s="95" t="str">
        <x:v>两线共用</x:v>
      </x:c>
      <x:c r="G108" s="95" t="str">
        <x:v>F 数据、协议与复现</x:v>
      </x:c>
      <x:c r="H108" s="95" t="str">
        <x:v>静态分析</x:v>
      </x:c>
      <x:c r="I108" s="95" t="str">
        <x:v>把配方、温控、EIS流程和验收条件转成可执行、可版本化协议。</x:v>
      </x:c>
      <x:c r="J108" s="95" t="str">
        <x:v>建立统一ID、原始数据不可变、协议/代码版本、W3C PROV/RO-Crate复现包。</x:v>
      </x:c>
      <x:c r="K108" s="95" t="str">
        <x:v>可直接支撑当前EIS-only闭环。</x:v>
      </x:c>
      <x:c r="L108" s="95" t="str">
        <x:v>M3 研究储备</x:v>
      </x:c>
      <x:c r="M108" s="95" t="str">
        <x:v>条件具备后</x:v>
      </x:c>
      <x:c r="N108" s="95" t="str">
        <x:v>P1</x:v>
      </x:c>
      <x:c r="O108" s="95" t="str">
        <x:v>https://sila-standard.com/standards/</x:v>
      </x:c>
      <x:c r="P108" s="96" t="str">
        <x:v>待评审</x:v>
      </x:c>
    </x:row>
    <x:row r="109">
      <x:c r="A109" s="94" t="str">
        <x:v>T0105</x:v>
      </x:c>
      <x:c r="B109" s="95" t="str">
        <x:v>实验执行与具身自动化</x:v>
      </x:c>
      <x:c r="C109" s="95" t="str">
        <x:v>实验流程与机器可执行协议</x:v>
      </x:c>
      <x:c r="D109" s="95" t="str">
        <x:v>研究储备</x:v>
      </x:c>
      <x:c r="E109" s="100" t="n">
        <x:v>6</x:v>
      </x:c>
      <x:c r="F109" s="95" t="str">
        <x:v>两线共用</x:v>
      </x:c>
      <x:c r="G109" s="95" t="str">
        <x:v>F 数据、协议与复现</x:v>
      </x:c>
      <x:c r="H109" s="95" t="str">
        <x:v>协议仿真</x:v>
      </x:c>
      <x:c r="I109" s="95" t="str">
        <x:v>把配方、温控、EIS流程和验收条件转成可执行、可版本化协议。</x:v>
      </x:c>
      <x:c r="J109" s="95" t="str">
        <x:v>建立统一ID、原始数据不可变、协议/代码版本、W3C PROV/RO-Crate复现包。</x:v>
      </x:c>
      <x:c r="K109" s="95" t="str">
        <x:v>可直接支撑当前EIS-only闭环。</x:v>
      </x:c>
      <x:c r="L109" s="95" t="str">
        <x:v>M3 研究储备</x:v>
      </x:c>
      <x:c r="M109" s="95" t="str">
        <x:v>条件具备后</x:v>
      </x:c>
      <x:c r="N109" s="95" t="str">
        <x:v>P1</x:v>
      </x:c>
      <x:c r="O109" s="95" t="str">
        <x:v>https://arxiv.org/abs/2411.00444</x:v>
      </x:c>
      <x:c r="P109" s="96" t="str">
        <x:v>待评审</x:v>
      </x:c>
    </x:row>
    <x:row r="110">
      <x:c r="A110" s="94" t="str">
        <x:v>T0106</x:v>
      </x:c>
      <x:c r="B110" s="95" t="str">
        <x:v>实验执行与具身自动化</x:v>
      </x:c>
      <x:c r="C110" s="95" t="str">
        <x:v>实验流程与机器可执行协议</x:v>
      </x:c>
      <x:c r="D110" s="95" t="str">
        <x:v>关键支撑</x:v>
      </x:c>
      <x:c r="E110" s="100" t="n">
        <x:v>9</x:v>
      </x:c>
      <x:c r="F110" s="95" t="str">
        <x:v>两线共用</x:v>
      </x:c>
      <x:c r="G110" s="95" t="str">
        <x:v>F 数据、协议与复现</x:v>
      </x:c>
      <x:c r="H110" s="95" t="str">
        <x:v>版本控制</x:v>
      </x:c>
      <x:c r="I110" s="95" t="str">
        <x:v>把配方、温控、EIS流程和验收条件转成可执行、可版本化协议。</x:v>
      </x:c>
      <x:c r="J110" s="95" t="str">
        <x:v>建立统一ID、原始数据不可变、协议/代码版本、W3C PROV/RO-Crate复现包。</x:v>
      </x:c>
      <x:c r="K110" s="95" t="str">
        <x:v>可直接支撑当前EIS-only闭环。</x:v>
      </x:c>
      <x:c r="L110" s="95" t="str">
        <x:v>M2 扩展与复现（5–12月）</x:v>
      </x:c>
      <x:c r="M110" s="95" t="str">
        <x:v>按瓶颈接入</x:v>
      </x:c>
      <x:c r="N110" s="95" t="str">
        <x:v>P1</x:v>
      </x:c>
      <x:c r="O110" s="95" t="str">
        <x:v>https://pubs.acs.org/doi/10.1021/acs.chemrev.4c00055</x:v>
      </x:c>
      <x:c r="P110" s="96" t="str">
        <x:v>待评审</x:v>
      </x:c>
    </x:row>
    <x:row r="111">
      <x:c r="A111" s="94" t="str">
        <x:v>T0107</x:v>
      </x:c>
      <x:c r="B111" s="95" t="str">
        <x:v>实验执行与具身自动化</x:v>
      </x:c>
      <x:c r="C111" s="95" t="str">
        <x:v>实验流程与机器可执行协议</x:v>
      </x:c>
      <x:c r="D111" s="95" t="str">
        <x:v>研究储备</x:v>
      </x:c>
      <x:c r="E111" s="100" t="n">
        <x:v>6</x:v>
      </x:c>
      <x:c r="F111" s="95" t="str">
        <x:v>两线共用</x:v>
      </x:c>
      <x:c r="G111" s="95" t="str">
        <x:v>F 数据、协议与复现</x:v>
      </x:c>
      <x:c r="H111" s="95" t="str">
        <x:v>参数化模板</x:v>
      </x:c>
      <x:c r="I111" s="95" t="str">
        <x:v>把配方、温控、EIS流程和验收条件转成可执行、可版本化协议。</x:v>
      </x:c>
      <x:c r="J111" s="95" t="str">
        <x:v>建立统一ID、原始数据不可变、协议/代码版本、W3C PROV/RO-Crate复现包。</x:v>
      </x:c>
      <x:c r="K111" s="95" t="str">
        <x:v>可直接支撑当前EIS-only闭环。</x:v>
      </x:c>
      <x:c r="L111" s="95" t="str">
        <x:v>M3 研究储备</x:v>
      </x:c>
      <x:c r="M111" s="95" t="str">
        <x:v>条件具备后</x:v>
      </x:c>
      <x:c r="N111" s="95" t="str">
        <x:v>P1</x:v>
      </x:c>
      <x:c r="O111" s="95" t="str">
        <x:v>https://www.science.org/doi/10.1126/scirobotics.aat5559</x:v>
      </x:c>
      <x:c r="P111" s="96" t="str">
        <x:v>待评审</x:v>
      </x:c>
    </x:row>
    <x:row r="112">
      <x:c r="A112" s="94" t="str">
        <x:v>T0108</x:v>
      </x:c>
      <x:c r="B112" s="95" t="str">
        <x:v>实验执行与具身自动化</x:v>
      </x:c>
      <x:c r="C112" s="95" t="str">
        <x:v>实验流程与机器可执行协议</x:v>
      </x:c>
      <x:c r="D112" s="95" t="str">
        <x:v>研究储备</x:v>
      </x:c>
      <x:c r="E112" s="100" t="n">
        <x:v>6</x:v>
      </x:c>
      <x:c r="F112" s="95" t="str">
        <x:v>两线共用</x:v>
      </x:c>
      <x:c r="G112" s="95" t="str">
        <x:v>F 数据、协议与复现</x:v>
      </x:c>
      <x:c r="H112" s="95" t="str">
        <x:v>子协议模块化</x:v>
      </x:c>
      <x:c r="I112" s="95" t="str">
        <x:v>把配方、温控、EIS流程和验收条件转成可执行、可版本化协议。</x:v>
      </x:c>
      <x:c r="J112" s="95" t="str">
        <x:v>建立统一ID、原始数据不可变、协议/代码版本、W3C PROV/RO-Crate复现包。</x:v>
      </x:c>
      <x:c r="K112" s="95" t="str">
        <x:v>可直接支撑当前EIS-only闭环。</x:v>
      </x:c>
      <x:c r="L112" s="95" t="str">
        <x:v>M3 研究储备</x:v>
      </x:c>
      <x:c r="M112" s="95" t="str">
        <x:v>条件具备后</x:v>
      </x:c>
      <x:c r="N112" s="95" t="str">
        <x:v>P1</x:v>
      </x:c>
      <x:c r="O112" s="95" t="str">
        <x:v>https://www.researchobject.org/ro-crate/specification/1.1/provenance.html</x:v>
      </x:c>
      <x:c r="P112" s="96" t="str">
        <x:v>待评审</x:v>
      </x:c>
    </x:row>
    <x:row r="113">
      <x:c r="A113" s="94" t="str">
        <x:v>T0109</x:v>
      </x:c>
      <x:c r="B113" s="95" t="str">
        <x:v>实验执行与具身自动化</x:v>
      </x:c>
      <x:c r="C113" s="95" t="str">
        <x:v>实验流程与机器可执行协议</x:v>
      </x:c>
      <x:c r="D113" s="95" t="str">
        <x:v>核心必需</x:v>
      </x:c>
      <x:c r="E113" s="100" t="n">
        <x:v>12</x:v>
      </x:c>
      <x:c r="F113" s="95" t="str">
        <x:v>两线共用</x:v>
      </x:c>
      <x:c r="G113" s="95" t="str">
        <x:v>F 数据、协议与复现</x:v>
      </x:c>
      <x:c r="H113" s="95" t="str">
        <x:v>协议—数据溯源绑定</x:v>
      </x:c>
      <x:c r="I113" s="95" t="str">
        <x:v>把配方、温控、EIS流程和验收条件转成可执行、可版本化协议。</x:v>
      </x:c>
      <x:c r="J113" s="95" t="str">
        <x:v>建立统一ID、原始数据不可变、协议/代码版本、W3C PROV/RO-Crate复现包。</x:v>
      </x:c>
      <x:c r="K113" s="95" t="str">
        <x:v>可直接支撑当前EIS-only闭环。</x:v>
      </x:c>
      <x:c r="L113" s="95" t="str">
        <x:v>M0 主流程接入（0–2月）</x:v>
      </x:c>
      <x:c r="M113" s="95" t="str">
        <x:v>首批接入</x:v>
      </x:c>
      <x:c r="N113" s="95" t="str">
        <x:v>P2</x:v>
      </x:c>
      <x:c r="O113" s="95" t="str">
        <x:v>https://sila-standard.com/standards/</x:v>
      </x:c>
      <x:c r="P113" s="96" t="str">
        <x:v>待评审</x:v>
      </x:c>
    </x:row>
    <x:row r="114">
      <x:c r="A114" s="94" t="str">
        <x:v>T0110</x:v>
      </x:c>
      <x:c r="B114" s="95" t="str">
        <x:v>实验执行与具身自动化</x:v>
      </x:c>
      <x:c r="C114" s="95" t="str">
        <x:v>实验流程与机器可执行协议</x:v>
      </x:c>
      <x:c r="D114" s="95" t="str">
        <x:v>研究储备</x:v>
      </x:c>
      <x:c r="E114" s="100" t="n">
        <x:v>6</x:v>
      </x:c>
      <x:c r="F114" s="95" t="str">
        <x:v>两线共用</x:v>
      </x:c>
      <x:c r="G114" s="95" t="str">
        <x:v>F 数据、协议与复现</x:v>
      </x:c>
      <x:c r="H114" s="95" t="str">
        <x:v>语义翻译</x:v>
      </x:c>
      <x:c r="I114" s="95" t="str">
        <x:v>把配方、温控、EIS流程和验收条件转成可执行、可版本化协议。</x:v>
      </x:c>
      <x:c r="J114" s="95" t="str">
        <x:v>建立统一ID、原始数据不可变、协议/代码版本、W3C PROV/RO-Crate复现包。</x:v>
      </x:c>
      <x:c r="K114" s="95" t="str">
        <x:v>可直接支撑当前EIS-only闭环。</x:v>
      </x:c>
      <x:c r="L114" s="95" t="str">
        <x:v>M3 研究储备</x:v>
      </x:c>
      <x:c r="M114" s="95" t="str">
        <x:v>条件具备后</x:v>
      </x:c>
      <x:c r="N114" s="95" t="str">
        <x:v>P2</x:v>
      </x:c>
      <x:c r="O114" s="95" t="str">
        <x:v>https://arxiv.org/abs/2411.00444</x:v>
      </x:c>
      <x:c r="P114" s="96" t="str">
        <x:v>待评审</x:v>
      </x:c>
    </x:row>
    <x:row r="115">
      <x:c r="A115" s="94" t="str">
        <x:v>T0111</x:v>
      </x:c>
      <x:c r="B115" s="95" t="str">
        <x:v>实验执行与具身自动化</x:v>
      </x:c>
      <x:c r="C115" s="95" t="str">
        <x:v>实验流程与机器可执行协议</x:v>
      </x:c>
      <x:c r="D115" s="95" t="str">
        <x:v>研究储备</x:v>
      </x:c>
      <x:c r="E115" s="100" t="n">
        <x:v>6</x:v>
      </x:c>
      <x:c r="F115" s="95" t="str">
        <x:v>两线共用</x:v>
      </x:c>
      <x:c r="G115" s="95" t="str">
        <x:v>F 数据、协议与复现</x:v>
      </x:c>
      <x:c r="H115" s="95" t="str">
        <x:v>自然语言转协议</x:v>
      </x:c>
      <x:c r="I115" s="95" t="str">
        <x:v>把配方、温控、EIS流程和验收条件转成可执行、可版本化协议。</x:v>
      </x:c>
      <x:c r="J115" s="95" t="str">
        <x:v>建立统一ID、原始数据不可变、协议/代码版本、W3C PROV/RO-Crate复现包。</x:v>
      </x:c>
      <x:c r="K115" s="95" t="str">
        <x:v>可直接支撑当前EIS-only闭环。</x:v>
      </x:c>
      <x:c r="L115" s="95" t="str">
        <x:v>M3 研究储备</x:v>
      </x:c>
      <x:c r="M115" s="95" t="str">
        <x:v>条件具备后</x:v>
      </x:c>
      <x:c r="N115" s="95" t="str">
        <x:v>P2</x:v>
      </x:c>
      <x:c r="O115" s="95" t="str">
        <x:v>https://pubs.acs.org/doi/10.1021/acs.chemrev.4c00055</x:v>
      </x:c>
      <x:c r="P115" s="96" t="str">
        <x:v>待评审</x:v>
      </x:c>
    </x:row>
    <x:row r="116">
      <x:c r="A116" s="94" t="str">
        <x:v>T0112</x:v>
      </x:c>
      <x:c r="B116" s="95" t="str">
        <x:v>实验执行与具身自动化</x:v>
      </x:c>
      <x:c r="C116" s="95" t="str">
        <x:v>实验流程与机器可执行协议</x:v>
      </x:c>
      <x:c r="D116" s="95" t="str">
        <x:v>研究储备</x:v>
      </x:c>
      <x:c r="E116" s="100" t="n">
        <x:v>6</x:v>
      </x:c>
      <x:c r="F116" s="95" t="str">
        <x:v>两线共用</x:v>
      </x:c>
      <x:c r="G116" s="95" t="str">
        <x:v>F 数据、协议与复现</x:v>
      </x:c>
      <x:c r="H116" s="95" t="str">
        <x:v>协议依赖图</x:v>
      </x:c>
      <x:c r="I116" s="95" t="str">
        <x:v>把配方、温控、EIS流程和验收条件转成可执行、可版本化协议。</x:v>
      </x:c>
      <x:c r="J116" s="95" t="str">
        <x:v>建立统一ID、原始数据不可变、协议/代码版本、W3C PROV/RO-Crate复现包。</x:v>
      </x:c>
      <x:c r="K116" s="95" t="str">
        <x:v>可直接支撑当前EIS-only闭环。</x:v>
      </x:c>
      <x:c r="L116" s="95" t="str">
        <x:v>M3 研究储备</x:v>
      </x:c>
      <x:c r="M116" s="95" t="str">
        <x:v>条件具备后</x:v>
      </x:c>
      <x:c r="N116" s="95" t="str">
        <x:v>P2</x:v>
      </x:c>
      <x:c r="O116" s="95" t="str">
        <x:v>https://www.science.org/doi/10.1126/scirobotics.aat5559</x:v>
      </x:c>
      <x:c r="P116" s="96" t="str">
        <x:v>待评审</x:v>
      </x:c>
    </x:row>
    <x:row r="117">
      <x:c r="A117" s="94" t="str">
        <x:v>T0113</x:v>
      </x:c>
      <x:c r="B117" s="95" t="str">
        <x:v>实验执行与具身自动化</x:v>
      </x:c>
      <x:c r="C117" s="95" t="str">
        <x:v>实验流程与机器可执行协议</x:v>
      </x:c>
      <x:c r="D117" s="95" t="str">
        <x:v>研究储备</x:v>
      </x:c>
      <x:c r="E117" s="100" t="n">
        <x:v>6</x:v>
      </x:c>
      <x:c r="F117" s="95" t="str">
        <x:v>两线共用</x:v>
      </x:c>
      <x:c r="G117" s="95" t="str">
        <x:v>F 数据、协议与复现</x:v>
      </x:c>
      <x:c r="H117" s="95" t="str">
        <x:v>自动配方合成</x:v>
      </x:c>
      <x:c r="I117" s="95" t="str">
        <x:v>把配方、温控、EIS流程和验收条件转成可执行、可版本化协议。</x:v>
      </x:c>
      <x:c r="J117" s="95" t="str">
        <x:v>建立统一ID、原始数据不可变、协议/代码版本、W3C PROV/RO-Crate复现包。</x:v>
      </x:c>
      <x:c r="K117" s="95" t="str">
        <x:v>可直接支撑当前EIS-only闭环。</x:v>
      </x:c>
      <x:c r="L117" s="95" t="str">
        <x:v>M3 研究储备</x:v>
      </x:c>
      <x:c r="M117" s="95" t="str">
        <x:v>条件具备后</x:v>
      </x:c>
      <x:c r="N117" s="95" t="str">
        <x:v>P2</x:v>
      </x:c>
      <x:c r="O117" s="95" t="str">
        <x:v>https://www.researchobject.org/ro-crate/specification/1.1/provenance.html</x:v>
      </x:c>
      <x:c r="P117" s="96" t="str">
        <x:v>待评审</x:v>
      </x:c>
    </x:row>
    <x:row r="118">
      <x:c r="A118" s="94" t="str">
        <x:v>T0114</x:v>
      </x:c>
      <x:c r="B118" s="95" t="str">
        <x:v>实验执行与具身自动化</x:v>
      </x:c>
      <x:c r="C118" s="95" t="str">
        <x:v>实验流程与机器可执行协议</x:v>
      </x:c>
      <x:c r="D118" s="95" t="str">
        <x:v>研究储备</x:v>
      </x:c>
      <x:c r="E118" s="100" t="n">
        <x:v>6</x:v>
      </x:c>
      <x:c r="F118" s="95" t="str">
        <x:v>两线共用</x:v>
      </x:c>
      <x:c r="G118" s="95" t="str">
        <x:v>F 数据、协议与复现</x:v>
      </x:c>
      <x:c r="H118" s="95" t="str">
        <x:v>协议参数优化</x:v>
      </x:c>
      <x:c r="I118" s="95" t="str">
        <x:v>把配方、温控、EIS流程和验收条件转成可执行、可版本化协议。</x:v>
      </x:c>
      <x:c r="J118" s="95" t="str">
        <x:v>建立统一ID、原始数据不可变、协议/代码版本、W3C PROV/RO-Crate复现包。</x:v>
      </x:c>
      <x:c r="K118" s="95" t="str">
        <x:v>可直接支撑当前EIS-only闭环。</x:v>
      </x:c>
      <x:c r="L118" s="95" t="str">
        <x:v>M3 研究储备</x:v>
      </x:c>
      <x:c r="M118" s="95" t="str">
        <x:v>条件具备后</x:v>
      </x:c>
      <x:c r="N118" s="95" t="str">
        <x:v>P2</x:v>
      </x:c>
      <x:c r="O118" s="95" t="str">
        <x:v>https://sila-standard.com/standards/</x:v>
      </x:c>
      <x:c r="P118" s="96" t="str">
        <x:v>待评审</x:v>
      </x:c>
    </x:row>
    <x:row r="119">
      <x:c r="A119" s="94" t="str">
        <x:v>T0115</x:v>
      </x:c>
      <x:c r="B119" s="95" t="str">
        <x:v>实验执行与具身自动化</x:v>
      </x:c>
      <x:c r="C119" s="95" t="str">
        <x:v>实验流程与机器可执行协议</x:v>
      </x:c>
      <x:c r="D119" s="95" t="str">
        <x:v>研究储备</x:v>
      </x:c>
      <x:c r="E119" s="100" t="n">
        <x:v>6</x:v>
      </x:c>
      <x:c r="F119" s="95" t="str">
        <x:v>两线共用</x:v>
      </x:c>
      <x:c r="G119" s="95" t="str">
        <x:v>F 数据、协议与复现</x:v>
      </x:c>
      <x:c r="H119" s="95" t="str">
        <x:v>协议Lint</x:v>
      </x:c>
      <x:c r="I119" s="95" t="str">
        <x:v>把配方、温控、EIS流程和验收条件转成可执行、可版本化协议。</x:v>
      </x:c>
      <x:c r="J119" s="95" t="str">
        <x:v>建立统一ID、原始数据不可变、协议/代码版本、W3C PROV/RO-Crate复现包。</x:v>
      </x:c>
      <x:c r="K119" s="95" t="str">
        <x:v>可直接支撑当前EIS-only闭环。</x:v>
      </x:c>
      <x:c r="L119" s="95" t="str">
        <x:v>M3 研究储备</x:v>
      </x:c>
      <x:c r="M119" s="95" t="str">
        <x:v>条件具备后</x:v>
      </x:c>
      <x:c r="N119" s="95" t="str">
        <x:v>P2</x:v>
      </x:c>
      <x:c r="O119" s="95" t="str">
        <x:v>https://arxiv.org/abs/2411.00444</x:v>
      </x:c>
      <x:c r="P119" s="96" t="str">
        <x:v>待评审</x:v>
      </x:c>
    </x:row>
    <x:row r="120">
      <x:c r="A120" s="94" t="str">
        <x:v>T0116</x:v>
      </x:c>
      <x:c r="B120" s="95" t="str">
        <x:v>实验执行与具身自动化</x:v>
      </x:c>
      <x:c r="C120" s="95" t="str">
        <x:v>实验流程与机器可执行协议</x:v>
      </x:c>
      <x:c r="D120" s="95" t="str">
        <x:v>研究储备</x:v>
      </x:c>
      <x:c r="E120" s="100" t="n">
        <x:v>6</x:v>
      </x:c>
      <x:c r="F120" s="95" t="str">
        <x:v>两线共用</x:v>
      </x:c>
      <x:c r="G120" s="95" t="str">
        <x:v>F 数据、协议与复现</x:v>
      </x:c>
      <x:c r="H120" s="95" t="str">
        <x:v>协议—设备映射</x:v>
      </x:c>
      <x:c r="I120" s="95" t="str">
        <x:v>把配方、温控、EIS流程和验收条件转成可执行、可版本化协议。</x:v>
      </x:c>
      <x:c r="J120" s="95" t="str">
        <x:v>建立统一ID、原始数据不可变、协议/代码版本、W3C PROV/RO-Crate复现包。</x:v>
      </x:c>
      <x:c r="K120" s="95" t="str">
        <x:v>可直接支撑当前EIS-only闭环。</x:v>
      </x:c>
      <x:c r="L120" s="95" t="str">
        <x:v>M3 研究储备</x:v>
      </x:c>
      <x:c r="M120" s="95" t="str">
        <x:v>条件具备后</x:v>
      </x:c>
      <x:c r="N120" s="95" t="str">
        <x:v>P2</x:v>
      </x:c>
      <x:c r="O120" s="95" t="str">
        <x:v>https://pubs.acs.org/doi/10.1021/acs.chemrev.4c00055</x:v>
      </x:c>
      <x:c r="P120" s="96" t="str">
        <x:v>待评审</x:v>
      </x:c>
    </x:row>
    <x:row r="121">
      <x:c r="A121" s="94" t="str">
        <x:v>T0117</x:v>
      </x:c>
      <x:c r="B121" s="95" t="str">
        <x:v>实验执行与具身自动化</x:v>
      </x:c>
      <x:c r="C121" s="95" t="str">
        <x:v>实验流程与机器可执行协议</x:v>
      </x:c>
      <x:c r="D121" s="95" t="str">
        <x:v>关键支撑</x:v>
      </x:c>
      <x:c r="E121" s="100" t="n">
        <x:v>9</x:v>
      </x:c>
      <x:c r="F121" s="95" t="str">
        <x:v>两线共用</x:v>
      </x:c>
      <x:c r="G121" s="95" t="str">
        <x:v>F 数据、协议与复现</x:v>
      </x:c>
      <x:c r="H121" s="95" t="str">
        <x:v>校准要求声明</x:v>
      </x:c>
      <x:c r="I121" s="95" t="str">
        <x:v>把配方、温控、EIS流程和验收条件转成可执行、可版本化协议。</x:v>
      </x:c>
      <x:c r="J121" s="95" t="str">
        <x:v>建立统一ID、原始数据不可变、协议/代码版本、W3C PROV/RO-Crate复现包。</x:v>
      </x:c>
      <x:c r="K121" s="95" t="str">
        <x:v>可直接支撑当前EIS-only闭环。</x:v>
      </x:c>
      <x:c r="L121" s="95" t="str">
        <x:v>M2 扩展与复现（5–12月）</x:v>
      </x:c>
      <x:c r="M121" s="95" t="str">
        <x:v>按瓶颈接入</x:v>
      </x:c>
      <x:c r="N121" s="95" t="str">
        <x:v>P2</x:v>
      </x:c>
      <x:c r="O121" s="95" t="str">
        <x:v>https://www.science.org/doi/10.1126/scirobotics.aat5559</x:v>
      </x:c>
      <x:c r="P121" s="96" t="str">
        <x:v>待评审</x:v>
      </x:c>
    </x:row>
    <x:row r="122">
      <x:c r="A122" s="94" t="str">
        <x:v>T0118</x:v>
      </x:c>
      <x:c r="B122" s="95" t="str">
        <x:v>实验执行与具身自动化</x:v>
      </x:c>
      <x:c r="C122" s="95" t="str">
        <x:v>实验流程与机器可执行协议</x:v>
      </x:c>
      <x:c r="D122" s="95" t="str">
        <x:v>关键支撑</x:v>
      </x:c>
      <x:c r="E122" s="100" t="n">
        <x:v>9</x:v>
      </x:c>
      <x:c r="F122" s="95" t="str">
        <x:v>两线共用</x:v>
      </x:c>
      <x:c r="G122" s="95" t="str">
        <x:v>F 数据、协议与复现</x:v>
      </x:c>
      <x:c r="H122" s="95" t="str">
        <x:v>验收标准声明</x:v>
      </x:c>
      <x:c r="I122" s="95" t="str">
        <x:v>把配方、温控、EIS流程和验收条件转成可执行、可版本化协议。</x:v>
      </x:c>
      <x:c r="J122" s="95" t="str">
        <x:v>建立统一ID、原始数据不可变、协议/代码版本、W3C PROV/RO-Crate复现包。</x:v>
      </x:c>
      <x:c r="K122" s="95" t="str">
        <x:v>可直接支撑当前EIS-only闭环。</x:v>
      </x:c>
      <x:c r="L122" s="95" t="str">
        <x:v>M2 扩展与复现（5–12月）</x:v>
      </x:c>
      <x:c r="M122" s="95" t="str">
        <x:v>按瓶颈接入</x:v>
      </x:c>
      <x:c r="N122" s="95" t="str">
        <x:v>P2</x:v>
      </x:c>
      <x:c r="O122" s="95" t="str">
        <x:v>https://www.researchobject.org/ro-crate/specification/1.1/provenance.html</x:v>
      </x:c>
      <x:c r="P122" s="96" t="str">
        <x:v>待评审</x:v>
      </x:c>
    </x:row>
    <x:row r="123">
      <x:c r="A123" s="94" t="str">
        <x:v>T0119</x:v>
      </x:c>
      <x:c r="B123" s="95" t="str">
        <x:v>实验执行与具身自动化</x:v>
      </x:c>
      <x:c r="C123" s="95" t="str">
        <x:v>实验流程与机器可执行协议</x:v>
      </x:c>
      <x:c r="D123" s="95" t="str">
        <x:v>研究储备</x:v>
      </x:c>
      <x:c r="E123" s="100" t="n">
        <x:v>6</x:v>
      </x:c>
      <x:c r="F123" s="95" t="str">
        <x:v>两线共用</x:v>
      </x:c>
      <x:c r="G123" s="95" t="str">
        <x:v>F 数据、协议与复现</x:v>
      </x:c>
      <x:c r="H123" s="95" t="str">
        <x:v>电子签名</x:v>
      </x:c>
      <x:c r="I123" s="95" t="str">
        <x:v>把配方、温控、EIS流程和验收条件转成可执行、可版本化协议。</x:v>
      </x:c>
      <x:c r="J123" s="95" t="str">
        <x:v>建立统一ID、原始数据不可变、协议/代码版本、W3C PROV/RO-Crate复现包。</x:v>
      </x:c>
      <x:c r="K123" s="95" t="str">
        <x:v>可直接支撑当前EIS-only闭环。</x:v>
      </x:c>
      <x:c r="L123" s="95" t="str">
        <x:v>M3 研究储备</x:v>
      </x:c>
      <x:c r="M123" s="95" t="str">
        <x:v>条件具备后</x:v>
      </x:c>
      <x:c r="N123" s="95" t="str">
        <x:v>P2</x:v>
      </x:c>
      <x:c r="O123" s="95" t="str">
        <x:v>https://sila-standard.com/standards/</x:v>
      </x:c>
      <x:c r="P123" s="96" t="str">
        <x:v>待评审</x:v>
      </x:c>
    </x:row>
    <x:row r="124">
      <x:c r="A124" s="94" t="str">
        <x:v>T0120</x:v>
      </x:c>
      <x:c r="B124" s="95" t="str">
        <x:v>实验执行与具身自动化</x:v>
      </x:c>
      <x:c r="C124" s="95" t="str">
        <x:v>实验流程与机器可执行协议</x:v>
      </x:c>
      <x:c r="D124" s="95" t="str">
        <x:v>研究储备</x:v>
      </x:c>
      <x:c r="E124" s="100" t="n">
        <x:v>6</x:v>
      </x:c>
      <x:c r="F124" s="95" t="str">
        <x:v>两线共用</x:v>
      </x:c>
      <x:c r="G124" s="95" t="str">
        <x:v>F 数据、协议与复现</x:v>
      </x:c>
      <x:c r="H124" s="95" t="str">
        <x:v>可执行研究对象</x:v>
      </x:c>
      <x:c r="I124" s="95" t="str">
        <x:v>把配方、温控、EIS流程和验收条件转成可执行、可版本化协议。</x:v>
      </x:c>
      <x:c r="J124" s="95" t="str">
        <x:v>建立统一ID、原始数据不可变、协议/代码版本、W3C PROV/RO-Crate复现包。</x:v>
      </x:c>
      <x:c r="K124" s="95" t="str">
        <x:v>可直接支撑当前EIS-only闭环。</x:v>
      </x:c>
      <x:c r="L124" s="95" t="str">
        <x:v>M3 研究储备</x:v>
      </x:c>
      <x:c r="M124" s="95" t="str">
        <x:v>条件具备后</x:v>
      </x:c>
      <x:c r="N124" s="95" t="str">
        <x:v>P2</x:v>
      </x:c>
      <x:c r="O124" s="95" t="str">
        <x:v>https://arxiv.org/abs/2411.00444</x:v>
      </x:c>
      <x:c r="P124" s="96" t="str">
        <x:v>待评审</x:v>
      </x:c>
    </x:row>
    <x:row r="125">
      <x:c r="A125" s="94" t="str">
        <x:v>T0121</x:v>
      </x:c>
      <x:c r="B125" s="95" t="str">
        <x:v>实验执行与具身自动化</x:v>
      </x:c>
      <x:c r="C125" s="95" t="str">
        <x:v>机器人操作与具身技能</x:v>
      </x:c>
      <x:c r="D125" s="95" t="str">
        <x:v>当前低优先</x:v>
      </x:c>
      <x:c r="E125" s="100" t="n">
        <x:v>1</x:v>
      </x:c>
      <x:c r="F125" s="95" t="str">
        <x:v>实验执行</x:v>
      </x:c>
      <x:c r="G125" s="95" t="str">
        <x:v>G 实验执行自动化</x:v>
      </x:c>
      <x:c r="H125" s="95" t="str">
        <x:v>机械臂选型</x:v>
      </x:c>
      <x:c r="I125" s="95" t="str">
        <x:v>降低人工操作波动；当前只有在样品制备或装夹成为瓶颈时才优先。</x:v>
      </x:c>
      <x:c r="J125" s="95" t="str">
        <x:v>仅围绕制膜、装夹、调理和EIS操作的真实瓶颈逐步自动化。</x:v>
      </x:c>
      <x:c r="K125" s="95" t="str">
        <x:v>可直接支撑当前EIS-only闭环。</x:v>
      </x:c>
      <x:c r="L125" s="95" t="str">
        <x:v>暂缓</x:v>
      </x:c>
      <x:c r="M125" s="95" t="str">
        <x:v>当前不投入</x:v>
      </x:c>
      <x:c r="N125" s="95" t="str">
        <x:v>P0</x:v>
      </x:c>
      <x:c r="O125" s="95" t="str">
        <x:v>https://www.nature.com/articles/s41586-020-2442-2</x:v>
      </x:c>
      <x:c r="P125" s="96" t="str">
        <x:v>待评审</x:v>
      </x:c>
    </x:row>
    <x:row r="126">
      <x:c r="A126" s="94" t="str">
        <x:v>T0122</x:v>
      </x:c>
      <x:c r="B126" s="95" t="str">
        <x:v>实验执行与具身自动化</x:v>
      </x:c>
      <x:c r="C126" s="95" t="str">
        <x:v>机器人操作与具身技能</x:v>
      </x:c>
      <x:c r="D126" s="95" t="str">
        <x:v>当前低优先</x:v>
      </x:c>
      <x:c r="E126" s="100" t="n">
        <x:v>1</x:v>
      </x:c>
      <x:c r="F126" s="95" t="str">
        <x:v>实验执行</x:v>
      </x:c>
      <x:c r="G126" s="95" t="str">
        <x:v>G 实验执行自动化</x:v>
      </x:c>
      <x:c r="H126" s="95" t="str">
        <x:v>自由度设计</x:v>
      </x:c>
      <x:c r="I126" s="95" t="str">
        <x:v>降低人工操作波动；当前只有在样品制备或装夹成为瓶颈时才优先。</x:v>
      </x:c>
      <x:c r="J126" s="95" t="str">
        <x:v>仅围绕制膜、装夹、调理和EIS操作的真实瓶颈逐步自动化。</x:v>
      </x:c>
      <x:c r="K126" s="95" t="str">
        <x:v>可直接支撑当前EIS-only闭环。</x:v>
      </x:c>
      <x:c r="L126" s="95" t="str">
        <x:v>暂缓</x:v>
      </x:c>
      <x:c r="M126" s="95" t="str">
        <x:v>当前不投入</x:v>
      </x:c>
      <x:c r="N126" s="95" t="str">
        <x:v>P0</x:v>
      </x:c>
      <x:c r="O126" s="95" t="str">
        <x:v>https://www.nature.com/articles/s41586-024-08173-7</x:v>
      </x:c>
      <x:c r="P126" s="96" t="str">
        <x:v>待评审</x:v>
      </x:c>
    </x:row>
    <x:row r="127">
      <x:c r="A127" s="94" t="str">
        <x:v>T0123</x:v>
      </x:c>
      <x:c r="B127" s="95" t="str">
        <x:v>实验执行与具身自动化</x:v>
      </x:c>
      <x:c r="C127" s="95" t="str">
        <x:v>机器人操作与具身技能</x:v>
      </x:c>
      <x:c r="D127" s="95" t="str">
        <x:v>当前低优先</x:v>
      </x:c>
      <x:c r="E127" s="100" t="n">
        <x:v>1</x:v>
      </x:c>
      <x:c r="F127" s="95" t="str">
        <x:v>实验执行</x:v>
      </x:c>
      <x:c r="G127" s="95" t="str">
        <x:v>G 实验执行自动化</x:v>
      </x:c>
      <x:c r="H127" s="95" t="str">
        <x:v>末端执行器</x:v>
      </x:c>
      <x:c r="I127" s="95" t="str">
        <x:v>降低人工操作波动；当前只有在样品制备或装夹成为瓶颈时才优先。</x:v>
      </x:c>
      <x:c r="J127" s="95" t="str">
        <x:v>仅围绕制膜、装夹、调理和EIS操作的真实瓶颈逐步自动化。</x:v>
      </x:c>
      <x:c r="K127" s="95" t="str">
        <x:v>可直接支撑当前EIS-only闭环。</x:v>
      </x:c>
      <x:c r="L127" s="95" t="str">
        <x:v>暂缓</x:v>
      </x:c>
      <x:c r="M127" s="95" t="str">
        <x:v>当前不投入</x:v>
      </x:c>
      <x:c r="N127" s="95" t="str">
        <x:v>P0</x:v>
      </x:c>
      <x:c r="O127" s="95" t="str">
        <x:v>https://pubs.rsc.org/en/content/articlehtml/2024/sc/d3sc06206f</x:v>
      </x:c>
      <x:c r="P127" s="96" t="str">
        <x:v>待评审</x:v>
      </x:c>
    </x:row>
    <x:row r="128">
      <x:c r="A128" s="94" t="str">
        <x:v>T0124</x:v>
      </x:c>
      <x:c r="B128" s="95" t="str">
        <x:v>实验执行与具身自动化</x:v>
      </x:c>
      <x:c r="C128" s="95" t="str">
        <x:v>机器人操作与具身技能</x:v>
      </x:c>
      <x:c r="D128" s="95" t="str">
        <x:v>当前低优先</x:v>
      </x:c>
      <x:c r="E128" s="100" t="n">
        <x:v>1</x:v>
      </x:c>
      <x:c r="F128" s="95" t="str">
        <x:v>实验执行</x:v>
      </x:c>
      <x:c r="G128" s="95" t="str">
        <x:v>G 实验执行自动化</x:v>
      </x:c>
      <x:c r="H128" s="95" t="str">
        <x:v>自适应夹爪</x:v>
      </x:c>
      <x:c r="I128" s="95" t="str">
        <x:v>降低人工操作波动；当前只有在样品制备或装夹成为瓶颈时才优先。</x:v>
      </x:c>
      <x:c r="J128" s="95" t="str">
        <x:v>仅围绕制膜、装夹、调理和EIS操作的真实瓶颈逐步自动化。</x:v>
      </x:c>
      <x:c r="K128" s="95" t="str">
        <x:v>可直接支撑当前EIS-only闭环。</x:v>
      </x:c>
      <x:c r="L128" s="95" t="str">
        <x:v>暂缓</x:v>
      </x:c>
      <x:c r="M128" s="95" t="str">
        <x:v>当前不投入</x:v>
      </x:c>
      <x:c r="N128" s="95" t="str">
        <x:v>P0</x:v>
      </x:c>
      <x:c r="O128" s="95" t="str">
        <x:v>https://www.science.org/doi/10.1126/sciadv.adj0461</x:v>
      </x:c>
      <x:c r="P128" s="96" t="str">
        <x:v>待评审</x:v>
      </x:c>
    </x:row>
    <x:row r="129">
      <x:c r="A129" s="94" t="str">
        <x:v>T0125</x:v>
      </x:c>
      <x:c r="B129" s="95" t="str">
        <x:v>实验执行与具身自动化</x:v>
      </x:c>
      <x:c r="C129" s="95" t="str">
        <x:v>机器人操作与具身技能</x:v>
      </x:c>
      <x:c r="D129" s="95" t="str">
        <x:v>当前低优先</x:v>
      </x:c>
      <x:c r="E129" s="100" t="n">
        <x:v>1</x:v>
      </x:c>
      <x:c r="F129" s="95" t="str">
        <x:v>实验执行</x:v>
      </x:c>
      <x:c r="G129" s="95" t="str">
        <x:v>G 实验执行自动化</x:v>
      </x:c>
      <x:c r="H129" s="95" t="str">
        <x:v>移液工具适配</x:v>
      </x:c>
      <x:c r="I129" s="95" t="str">
        <x:v>降低人工操作波动；当前只有在样品制备或装夹成为瓶颈时才优先。</x:v>
      </x:c>
      <x:c r="J129" s="95" t="str">
        <x:v>仅围绕制膜、装夹、调理和EIS操作的真实瓶颈逐步自动化。</x:v>
      </x:c>
      <x:c r="K129" s="95" t="str">
        <x:v>可直接支撑当前EIS-only闭环。</x:v>
      </x:c>
      <x:c r="L129" s="95" t="str">
        <x:v>暂缓</x:v>
      </x:c>
      <x:c r="M129" s="95" t="str">
        <x:v>当前不投入</x:v>
      </x:c>
      <x:c r="N129" s="95" t="str">
        <x:v>P0</x:v>
      </x:c>
      <x:c r="O129" s="95" t="str">
        <x:v>https://www.nature.com/articles/s44160-026-01053-0</x:v>
      </x:c>
      <x:c r="P129" s="96" t="str">
        <x:v>待评审</x:v>
      </x:c>
    </x:row>
    <x:row r="130">
      <x:c r="A130" s="94" t="str">
        <x:v>T0126</x:v>
      </x:c>
      <x:c r="B130" s="95" t="str">
        <x:v>实验执行与具身自动化</x:v>
      </x:c>
      <x:c r="C130" s="95" t="str">
        <x:v>机器人操作与具身技能</x:v>
      </x:c>
      <x:c r="D130" s="95" t="str">
        <x:v>当前低优先</x:v>
      </x:c>
      <x:c r="E130" s="100" t="n">
        <x:v>1</x:v>
      </x:c>
      <x:c r="F130" s="95" t="str">
        <x:v>实验执行</x:v>
      </x:c>
      <x:c r="G130" s="95" t="str">
        <x:v>G 实验执行自动化</x:v>
      </x:c>
      <x:c r="H130" s="95" t="str">
        <x:v>自动换刀</x:v>
      </x:c>
      <x:c r="I130" s="95" t="str">
        <x:v>降低人工操作波动；当前只有在样品制备或装夹成为瓶颈时才优先。</x:v>
      </x:c>
      <x:c r="J130" s="95" t="str">
        <x:v>仅围绕制膜、装夹、调理和EIS操作的真实瓶颈逐步自动化。</x:v>
      </x:c>
      <x:c r="K130" s="95" t="str">
        <x:v>可直接支撑当前EIS-only闭环。</x:v>
      </x:c>
      <x:c r="L130" s="95" t="str">
        <x:v>暂缓</x:v>
      </x:c>
      <x:c r="M130" s="95" t="str">
        <x:v>当前不投入</x:v>
      </x:c>
      <x:c r="N130" s="95" t="str">
        <x:v>P0</x:v>
      </x:c>
      <x:c r="O130" s="95" t="str">
        <x:v>https://www.nature.com/articles/s41586-020-2442-2</x:v>
      </x:c>
      <x:c r="P130" s="96" t="str">
        <x:v>待评审</x:v>
      </x:c>
    </x:row>
    <x:row r="131">
      <x:c r="A131" s="94" t="str">
        <x:v>T0127</x:v>
      </x:c>
      <x:c r="B131" s="95" t="str">
        <x:v>实验执行与具身自动化</x:v>
      </x:c>
      <x:c r="C131" s="95" t="str">
        <x:v>机器人操作与具身技能</x:v>
      </x:c>
      <x:c r="D131" s="95" t="str">
        <x:v>当前低优先</x:v>
      </x:c>
      <x:c r="E131" s="100" t="n">
        <x:v>1</x:v>
      </x:c>
      <x:c r="F131" s="95" t="str">
        <x:v>实验执行</x:v>
      </x:c>
      <x:c r="G131" s="95" t="str">
        <x:v>G 实验执行自动化</x:v>
      </x:c>
      <x:c r="H131" s="95" t="str">
        <x:v>六维力矩传感</x:v>
      </x:c>
      <x:c r="I131" s="95" t="str">
        <x:v>降低人工操作波动；当前只有在样品制备或装夹成为瓶颈时才优先。</x:v>
      </x:c>
      <x:c r="J131" s="95" t="str">
        <x:v>仅围绕制膜、装夹、调理和EIS操作的真实瓶颈逐步自动化。</x:v>
      </x:c>
      <x:c r="K131" s="95" t="str">
        <x:v>可直接支撑当前EIS-only闭环。</x:v>
      </x:c>
      <x:c r="L131" s="95" t="str">
        <x:v>暂缓</x:v>
      </x:c>
      <x:c r="M131" s="95" t="str">
        <x:v>当前不投入</x:v>
      </x:c>
      <x:c r="N131" s="95" t="str">
        <x:v>P0</x:v>
      </x:c>
      <x:c r="O131" s="95" t="str">
        <x:v>https://www.nature.com/articles/s41586-024-08173-7</x:v>
      </x:c>
      <x:c r="P131" s="96" t="str">
        <x:v>待评审</x:v>
      </x:c>
    </x:row>
    <x:row r="132">
      <x:c r="A132" s="94" t="str">
        <x:v>T0128</x:v>
      </x:c>
      <x:c r="B132" s="95" t="str">
        <x:v>实验执行与具身自动化</x:v>
      </x:c>
      <x:c r="C132" s="95" t="str">
        <x:v>机器人操作与具身技能</x:v>
      </x:c>
      <x:c r="D132" s="95" t="str">
        <x:v>当前低优先</x:v>
      </x:c>
      <x:c r="E132" s="100" t="n">
        <x:v>1</x:v>
      </x:c>
      <x:c r="F132" s="95" t="str">
        <x:v>实验执行</x:v>
      </x:c>
      <x:c r="G132" s="95" t="str">
        <x:v>G 实验执行自动化</x:v>
      </x:c>
      <x:c r="H132" s="95" t="str">
        <x:v>触觉感知</x:v>
      </x:c>
      <x:c r="I132" s="95" t="str">
        <x:v>降低人工操作波动；当前只有在样品制备或装夹成为瓶颈时才优先。</x:v>
      </x:c>
      <x:c r="J132" s="95" t="str">
        <x:v>仅围绕制膜、装夹、调理和EIS操作的真实瓶颈逐步自动化。</x:v>
      </x:c>
      <x:c r="K132" s="95" t="str">
        <x:v>可直接支撑当前EIS-only闭环。</x:v>
      </x:c>
      <x:c r="L132" s="95" t="str">
        <x:v>暂缓</x:v>
      </x:c>
      <x:c r="M132" s="95" t="str">
        <x:v>当前不投入</x:v>
      </x:c>
      <x:c r="N132" s="95" t="str">
        <x:v>P0</x:v>
      </x:c>
      <x:c r="O132" s="95" t="str">
        <x:v>https://pubs.rsc.org/en/content/articlehtml/2024/sc/d3sc06206f</x:v>
      </x:c>
      <x:c r="P132" s="96" t="str">
        <x:v>待评审</x:v>
      </x:c>
    </x:row>
    <x:row r="133">
      <x:c r="A133" s="94" t="str">
        <x:v>T0129</x:v>
      </x:c>
      <x:c r="B133" s="95" t="str">
        <x:v>实验执行与具身自动化</x:v>
      </x:c>
      <x:c r="C133" s="95" t="str">
        <x:v>机器人操作与具身技能</x:v>
      </x:c>
      <x:c r="D133" s="95" t="str">
        <x:v>当前低优先</x:v>
      </x:c>
      <x:c r="E133" s="100" t="n">
        <x:v>1</x:v>
      </x:c>
      <x:c r="F133" s="95" t="str">
        <x:v>实验执行</x:v>
      </x:c>
      <x:c r="G133" s="95" t="str">
        <x:v>G 实验执行自动化</x:v>
      </x:c>
      <x:c r="H133" s="95" t="str">
        <x:v>视觉伺服</x:v>
      </x:c>
      <x:c r="I133" s="95" t="str">
        <x:v>降低人工操作波动；当前只有在样品制备或装夹成为瓶颈时才优先。</x:v>
      </x:c>
      <x:c r="J133" s="95" t="str">
        <x:v>仅围绕制膜、装夹、调理和EIS操作的真实瓶颈逐步自动化。</x:v>
      </x:c>
      <x:c r="K133" s="95" t="str">
        <x:v>可直接支撑当前EIS-only闭环。</x:v>
      </x:c>
      <x:c r="L133" s="95" t="str">
        <x:v>暂缓</x:v>
      </x:c>
      <x:c r="M133" s="95" t="str">
        <x:v>当前不投入</x:v>
      </x:c>
      <x:c r="N133" s="95" t="str">
        <x:v>P0</x:v>
      </x:c>
      <x:c r="O133" s="95" t="str">
        <x:v>https://www.science.org/doi/10.1126/sciadv.adj0461</x:v>
      </x:c>
      <x:c r="P133" s="96" t="str">
        <x:v>待评审</x:v>
      </x:c>
    </x:row>
    <x:row r="134">
      <x:c r="A134" s="94" t="str">
        <x:v>T0130</x:v>
      </x:c>
      <x:c r="B134" s="95" t="str">
        <x:v>实验执行与具身自动化</x:v>
      </x:c>
      <x:c r="C134" s="95" t="str">
        <x:v>机器人操作与具身技能</x:v>
      </x:c>
      <x:c r="D134" s="95" t="str">
        <x:v>当前低优先</x:v>
      </x:c>
      <x:c r="E134" s="100" t="n">
        <x:v>1</x:v>
      </x:c>
      <x:c r="F134" s="95" t="str">
        <x:v>实验执行</x:v>
      </x:c>
      <x:c r="G134" s="95" t="str">
        <x:v>G 实验执行自动化</x:v>
      </x:c>
      <x:c r="H134" s="95" t="str">
        <x:v>手眼标定</x:v>
      </x:c>
      <x:c r="I134" s="95" t="str">
        <x:v>降低人工操作波动；当前只有在样品制备或装夹成为瓶颈时才优先。</x:v>
      </x:c>
      <x:c r="J134" s="95" t="str">
        <x:v>仅围绕制膜、装夹、调理和EIS操作的真实瓶颈逐步自动化。</x:v>
      </x:c>
      <x:c r="K134" s="95" t="str">
        <x:v>可直接支撑当前EIS-only闭环。</x:v>
      </x:c>
      <x:c r="L134" s="95" t="str">
        <x:v>暂缓</x:v>
      </x:c>
      <x:c r="M134" s="95" t="str">
        <x:v>当前不投入</x:v>
      </x:c>
      <x:c r="N134" s="95" t="str">
        <x:v>P0</x:v>
      </x:c>
      <x:c r="O134" s="95" t="str">
        <x:v>https://www.nature.com/articles/s44160-026-01053-0</x:v>
      </x:c>
      <x:c r="P134" s="96" t="str">
        <x:v>待评审</x:v>
      </x:c>
    </x:row>
    <x:row r="135">
      <x:c r="A135" s="94" t="str">
        <x:v>T0131</x:v>
      </x:c>
      <x:c r="B135" s="95" t="str">
        <x:v>实验执行与具身自动化</x:v>
      </x:c>
      <x:c r="C135" s="95" t="str">
        <x:v>机器人操作与具身技能</x:v>
      </x:c>
      <x:c r="D135" s="95" t="str">
        <x:v>当前低优先</x:v>
      </x:c>
      <x:c r="E135" s="100" t="n">
        <x:v>1</x:v>
      </x:c>
      <x:c r="F135" s="95" t="str">
        <x:v>实验执行</x:v>
      </x:c>
      <x:c r="G135" s="95" t="str">
        <x:v>G 实验执行自动化</x:v>
      </x:c>
      <x:c r="H135" s="95" t="str">
        <x:v>运动学标定</x:v>
      </x:c>
      <x:c r="I135" s="95" t="str">
        <x:v>降低人工操作波动；当前只有在样品制备或装夹成为瓶颈时才优先。</x:v>
      </x:c>
      <x:c r="J135" s="95" t="str">
        <x:v>仅围绕制膜、装夹、调理和EIS操作的真实瓶颈逐步自动化。</x:v>
      </x:c>
      <x:c r="K135" s="95" t="str">
        <x:v>可直接支撑当前EIS-only闭环。</x:v>
      </x:c>
      <x:c r="L135" s="95" t="str">
        <x:v>暂缓</x:v>
      </x:c>
      <x:c r="M135" s="95" t="str">
        <x:v>当前不投入</x:v>
      </x:c>
      <x:c r="N135" s="95" t="str">
        <x:v>P1</x:v>
      </x:c>
      <x:c r="O135" s="95" t="str">
        <x:v>https://www.nature.com/articles/s41586-020-2442-2</x:v>
      </x:c>
      <x:c r="P135" s="96" t="str">
        <x:v>待评审</x:v>
      </x:c>
    </x:row>
    <x:row r="136">
      <x:c r="A136" s="94" t="str">
        <x:v>T0132</x:v>
      </x:c>
      <x:c r="B136" s="95" t="str">
        <x:v>实验执行与具身自动化</x:v>
      </x:c>
      <x:c r="C136" s="95" t="str">
        <x:v>机器人操作与具身技能</x:v>
      </x:c>
      <x:c r="D136" s="95" t="str">
        <x:v>当前低优先</x:v>
      </x:c>
      <x:c r="E136" s="100" t="n">
        <x:v>1</x:v>
      </x:c>
      <x:c r="F136" s="95" t="str">
        <x:v>实验执行</x:v>
      </x:c>
      <x:c r="G136" s="95" t="str">
        <x:v>G 实验执行自动化</x:v>
      </x:c>
      <x:c r="H136" s="95" t="str">
        <x:v>动力学建模</x:v>
      </x:c>
      <x:c r="I136" s="95" t="str">
        <x:v>降低人工操作波动；当前只有在样品制备或装夹成为瓶颈时才优先。</x:v>
      </x:c>
      <x:c r="J136" s="95" t="str">
        <x:v>仅围绕制膜、装夹、调理和EIS操作的真实瓶颈逐步自动化。</x:v>
      </x:c>
      <x:c r="K136" s="95" t="str">
        <x:v>可直接支撑当前EIS-only闭环。</x:v>
      </x:c>
      <x:c r="L136" s="95" t="str">
        <x:v>暂缓</x:v>
      </x:c>
      <x:c r="M136" s="95" t="str">
        <x:v>当前不投入</x:v>
      </x:c>
      <x:c r="N136" s="95" t="str">
        <x:v>P1</x:v>
      </x:c>
      <x:c r="O136" s="95" t="str">
        <x:v>https://www.nature.com/articles/s41586-024-08173-7</x:v>
      </x:c>
      <x:c r="P136" s="96" t="str">
        <x:v>待评审</x:v>
      </x:c>
    </x:row>
    <x:row r="137">
      <x:c r="A137" s="94" t="str">
        <x:v>T0133</x:v>
      </x:c>
      <x:c r="B137" s="95" t="str">
        <x:v>实验执行与具身自动化</x:v>
      </x:c>
      <x:c r="C137" s="95" t="str">
        <x:v>机器人操作与具身技能</x:v>
      </x:c>
      <x:c r="D137" s="95" t="str">
        <x:v>当前低优先</x:v>
      </x:c>
      <x:c r="E137" s="100" t="n">
        <x:v>1</x:v>
      </x:c>
      <x:c r="F137" s="95" t="str">
        <x:v>实验执行</x:v>
      </x:c>
      <x:c r="G137" s="95" t="str">
        <x:v>G 实验执行自动化</x:v>
      </x:c>
      <x:c r="H137" s="95" t="str">
        <x:v>轨迹规划</x:v>
      </x:c>
      <x:c r="I137" s="95" t="str">
        <x:v>降低人工操作波动；当前只有在样品制备或装夹成为瓶颈时才优先。</x:v>
      </x:c>
      <x:c r="J137" s="95" t="str">
        <x:v>仅围绕制膜、装夹、调理和EIS操作的真实瓶颈逐步自动化。</x:v>
      </x:c>
      <x:c r="K137" s="95" t="str">
        <x:v>可直接支撑当前EIS-only闭环。</x:v>
      </x:c>
      <x:c r="L137" s="95" t="str">
        <x:v>暂缓</x:v>
      </x:c>
      <x:c r="M137" s="95" t="str">
        <x:v>当前不投入</x:v>
      </x:c>
      <x:c r="N137" s="95" t="str">
        <x:v>P1</x:v>
      </x:c>
      <x:c r="O137" s="95" t="str">
        <x:v>https://pubs.rsc.org/en/content/articlehtml/2024/sc/d3sc06206f</x:v>
      </x:c>
      <x:c r="P137" s="96" t="str">
        <x:v>待评审</x:v>
      </x:c>
    </x:row>
    <x:row r="138">
      <x:c r="A138" s="94" t="str">
        <x:v>T0134</x:v>
      </x:c>
      <x:c r="B138" s="95" t="str">
        <x:v>实验执行与具身自动化</x:v>
      </x:c>
      <x:c r="C138" s="95" t="str">
        <x:v>机器人操作与具身技能</x:v>
      </x:c>
      <x:c r="D138" s="95" t="str">
        <x:v>当前低优先</x:v>
      </x:c>
      <x:c r="E138" s="100" t="n">
        <x:v>1</x:v>
      </x:c>
      <x:c r="F138" s="95" t="str">
        <x:v>实验执行</x:v>
      </x:c>
      <x:c r="G138" s="95" t="str">
        <x:v>G 实验执行自动化</x:v>
      </x:c>
      <x:c r="H138" s="95" t="str">
        <x:v>碰撞检测</x:v>
      </x:c>
      <x:c r="I138" s="95" t="str">
        <x:v>降低人工操作波动；当前只有在样品制备或装夹成为瓶颈时才优先。</x:v>
      </x:c>
      <x:c r="J138" s="95" t="str">
        <x:v>仅围绕制膜、装夹、调理和EIS操作的真实瓶颈逐步自动化。</x:v>
      </x:c>
      <x:c r="K138" s="95" t="str">
        <x:v>可直接支撑当前EIS-only闭环。</x:v>
      </x:c>
      <x:c r="L138" s="95" t="str">
        <x:v>暂缓</x:v>
      </x:c>
      <x:c r="M138" s="95" t="str">
        <x:v>当前不投入</x:v>
      </x:c>
      <x:c r="N138" s="95" t="str">
        <x:v>P1</x:v>
      </x:c>
      <x:c r="O138" s="95" t="str">
        <x:v>https://www.science.org/doi/10.1126/sciadv.adj0461</x:v>
      </x:c>
      <x:c r="P138" s="96" t="str">
        <x:v>待评审</x:v>
      </x:c>
    </x:row>
    <x:row r="139">
      <x:c r="A139" s="94" t="str">
        <x:v>T0135</x:v>
      </x:c>
      <x:c r="B139" s="95" t="str">
        <x:v>实验执行与具身自动化</x:v>
      </x:c>
      <x:c r="C139" s="95" t="str">
        <x:v>机器人操作与具身技能</x:v>
      </x:c>
      <x:c r="D139" s="95" t="str">
        <x:v>当前低优先</x:v>
      </x:c>
      <x:c r="E139" s="100" t="n">
        <x:v>1</x:v>
      </x:c>
      <x:c r="F139" s="95" t="str">
        <x:v>实验执行</x:v>
      </x:c>
      <x:c r="G139" s="95" t="str">
        <x:v>G 实验执行自动化</x:v>
      </x:c>
      <x:c r="H139" s="95" t="str">
        <x:v>避障规划</x:v>
      </x:c>
      <x:c r="I139" s="95" t="str">
        <x:v>降低人工操作波动；当前只有在样品制备或装夹成为瓶颈时才优先。</x:v>
      </x:c>
      <x:c r="J139" s="95" t="str">
        <x:v>仅围绕制膜、装夹、调理和EIS操作的真实瓶颈逐步自动化。</x:v>
      </x:c>
      <x:c r="K139" s="95" t="str">
        <x:v>可直接支撑当前EIS-only闭环。</x:v>
      </x:c>
      <x:c r="L139" s="95" t="str">
        <x:v>暂缓</x:v>
      </x:c>
      <x:c r="M139" s="95" t="str">
        <x:v>当前不投入</x:v>
      </x:c>
      <x:c r="N139" s="95" t="str">
        <x:v>P1</x:v>
      </x:c>
      <x:c r="O139" s="95" t="str">
        <x:v>https://www.nature.com/articles/s44160-026-01053-0</x:v>
      </x:c>
      <x:c r="P139" s="96" t="str">
        <x:v>待评审</x:v>
      </x:c>
    </x:row>
    <x:row r="140">
      <x:c r="A140" s="94" t="str">
        <x:v>T0136</x:v>
      </x:c>
      <x:c r="B140" s="95" t="str">
        <x:v>实验执行与具身自动化</x:v>
      </x:c>
      <x:c r="C140" s="95" t="str">
        <x:v>机器人操作与具身技能</x:v>
      </x:c>
      <x:c r="D140" s="95" t="str">
        <x:v>当前低优先</x:v>
      </x:c>
      <x:c r="E140" s="100" t="n">
        <x:v>1</x:v>
      </x:c>
      <x:c r="F140" s="95" t="str">
        <x:v>实验执行</x:v>
      </x:c>
      <x:c r="G140" s="95" t="str">
        <x:v>G 实验执行自动化</x:v>
      </x:c>
      <x:c r="H140" s="95" t="str">
        <x:v>约束运动</x:v>
      </x:c>
      <x:c r="I140" s="95" t="str">
        <x:v>降低人工操作波动；当前只有在样品制备或装夹成为瓶颈时才优先。</x:v>
      </x:c>
      <x:c r="J140" s="95" t="str">
        <x:v>仅围绕制膜、装夹、调理和EIS操作的真实瓶颈逐步自动化。</x:v>
      </x:c>
      <x:c r="K140" s="95" t="str">
        <x:v>可直接支撑当前EIS-only闭环。</x:v>
      </x:c>
      <x:c r="L140" s="95" t="str">
        <x:v>暂缓</x:v>
      </x:c>
      <x:c r="M140" s="95" t="str">
        <x:v>当前不投入</x:v>
      </x:c>
      <x:c r="N140" s="95" t="str">
        <x:v>P1</x:v>
      </x:c>
      <x:c r="O140" s="95" t="str">
        <x:v>https://www.nature.com/articles/s41586-020-2442-2</x:v>
      </x:c>
      <x:c r="P140" s="96" t="str">
        <x:v>待评审</x:v>
      </x:c>
    </x:row>
    <x:row r="141">
      <x:c r="A141" s="94" t="str">
        <x:v>T0137</x:v>
      </x:c>
      <x:c r="B141" s="95" t="str">
        <x:v>实验执行与具身自动化</x:v>
      </x:c>
      <x:c r="C141" s="95" t="str">
        <x:v>机器人操作与具身技能</x:v>
      </x:c>
      <x:c r="D141" s="95" t="str">
        <x:v>当前低优先</x:v>
      </x:c>
      <x:c r="E141" s="100" t="n">
        <x:v>1</x:v>
      </x:c>
      <x:c r="F141" s="95" t="str">
        <x:v>实验执行</x:v>
      </x:c>
      <x:c r="G141" s="95" t="str">
        <x:v>G 实验执行自动化</x:v>
      </x:c>
      <x:c r="H141" s="95" t="str">
        <x:v>柔顺控制</x:v>
      </x:c>
      <x:c r="I141" s="95" t="str">
        <x:v>降低人工操作波动；当前只有在样品制备或装夹成为瓶颈时才优先。</x:v>
      </x:c>
      <x:c r="J141" s="95" t="str">
        <x:v>仅围绕制膜、装夹、调理和EIS操作的真实瓶颈逐步自动化。</x:v>
      </x:c>
      <x:c r="K141" s="95" t="str">
        <x:v>可直接支撑当前EIS-only闭环。</x:v>
      </x:c>
      <x:c r="L141" s="95" t="str">
        <x:v>暂缓</x:v>
      </x:c>
      <x:c r="M141" s="95" t="str">
        <x:v>当前不投入</x:v>
      </x:c>
      <x:c r="N141" s="95" t="str">
        <x:v>P1</x:v>
      </x:c>
      <x:c r="O141" s="95" t="str">
        <x:v>https://www.nature.com/articles/s41586-024-08173-7</x:v>
      </x:c>
      <x:c r="P141" s="96" t="str">
        <x:v>待评审</x:v>
      </x:c>
    </x:row>
    <x:row r="142">
      <x:c r="A142" s="94" t="str">
        <x:v>T0138</x:v>
      </x:c>
      <x:c r="B142" s="95" t="str">
        <x:v>实验执行与具身自动化</x:v>
      </x:c>
      <x:c r="C142" s="95" t="str">
        <x:v>机器人操作与具身技能</x:v>
      </x:c>
      <x:c r="D142" s="95" t="str">
        <x:v>当前低优先</x:v>
      </x:c>
      <x:c r="E142" s="100" t="n">
        <x:v>1</x:v>
      </x:c>
      <x:c r="F142" s="95" t="str">
        <x:v>实验执行</x:v>
      </x:c>
      <x:c r="G142" s="95" t="str">
        <x:v>G 实验执行自动化</x:v>
      </x:c>
      <x:c r="H142" s="95" t="str">
        <x:v>阻抗控制</x:v>
      </x:c>
      <x:c r="I142" s="95" t="str">
        <x:v>降低人工操作波动；当前只有在样品制备或装夹成为瓶颈时才优先。</x:v>
      </x:c>
      <x:c r="J142" s="95" t="str">
        <x:v>仅围绕制膜、装夹、调理和EIS操作的真实瓶颈逐步自动化。</x:v>
      </x:c>
      <x:c r="K142" s="95" t="str">
        <x:v>可直接支撑当前EIS-only闭环。</x:v>
      </x:c>
      <x:c r="L142" s="95" t="str">
        <x:v>暂缓</x:v>
      </x:c>
      <x:c r="M142" s="95" t="str">
        <x:v>当前不投入</x:v>
      </x:c>
      <x:c r="N142" s="95" t="str">
        <x:v>P1</x:v>
      </x:c>
      <x:c r="O142" s="95" t="str">
        <x:v>https://pubs.rsc.org/en/content/articlehtml/2024/sc/d3sc06206f</x:v>
      </x:c>
      <x:c r="P142" s="96" t="str">
        <x:v>待评审</x:v>
      </x:c>
    </x:row>
    <x:row r="143">
      <x:c r="A143" s="94" t="str">
        <x:v>T0139</x:v>
      </x:c>
      <x:c r="B143" s="95" t="str">
        <x:v>实验执行与具身自动化</x:v>
      </x:c>
      <x:c r="C143" s="95" t="str">
        <x:v>机器人操作与具身技能</x:v>
      </x:c>
      <x:c r="D143" s="95" t="str">
        <x:v>当前低优先</x:v>
      </x:c>
      <x:c r="E143" s="100" t="n">
        <x:v>1</x:v>
      </x:c>
      <x:c r="F143" s="95" t="str">
        <x:v>实验执行</x:v>
      </x:c>
      <x:c r="G143" s="95" t="str">
        <x:v>G 实验执行自动化</x:v>
      </x:c>
      <x:c r="H143" s="95" t="str">
        <x:v>导纳控制</x:v>
      </x:c>
      <x:c r="I143" s="95" t="str">
        <x:v>降低人工操作波动；当前只有在样品制备或装夹成为瓶颈时才优先。</x:v>
      </x:c>
      <x:c r="J143" s="95" t="str">
        <x:v>仅围绕制膜、装夹、调理和EIS操作的真实瓶颈逐步自动化。</x:v>
      </x:c>
      <x:c r="K143" s="95" t="str">
        <x:v>可直接支撑当前EIS-only闭环。</x:v>
      </x:c>
      <x:c r="L143" s="95" t="str">
        <x:v>暂缓</x:v>
      </x:c>
      <x:c r="M143" s="95" t="str">
        <x:v>当前不投入</x:v>
      </x:c>
      <x:c r="N143" s="95" t="str">
        <x:v>P1</x:v>
      </x:c>
      <x:c r="O143" s="95" t="str">
        <x:v>https://www.science.org/doi/10.1126/sciadv.adj0461</x:v>
      </x:c>
      <x:c r="P143" s="96" t="str">
        <x:v>待评审</x:v>
      </x:c>
    </x:row>
    <x:row r="144">
      <x:c r="A144" s="94" t="str">
        <x:v>T0140</x:v>
      </x:c>
      <x:c r="B144" s="95" t="str">
        <x:v>实验执行与具身自动化</x:v>
      </x:c>
      <x:c r="C144" s="95" t="str">
        <x:v>机器人操作与具身技能</x:v>
      </x:c>
      <x:c r="D144" s="95" t="str">
        <x:v>当前低优先</x:v>
      </x:c>
      <x:c r="E144" s="100" t="n">
        <x:v>1</x:v>
      </x:c>
      <x:c r="F144" s="95" t="str">
        <x:v>实验执行</x:v>
      </x:c>
      <x:c r="G144" s="95" t="str">
        <x:v>G 实验执行自动化</x:v>
      </x:c>
      <x:c r="H144" s="95" t="str">
        <x:v>接触丰富操作</x:v>
      </x:c>
      <x:c r="I144" s="95" t="str">
        <x:v>降低人工操作波动；当前只有在样品制备或装夹成为瓶颈时才优先。</x:v>
      </x:c>
      <x:c r="J144" s="95" t="str">
        <x:v>仅围绕制膜、装夹、调理和EIS操作的真实瓶颈逐步自动化。</x:v>
      </x:c>
      <x:c r="K144" s="95" t="str">
        <x:v>可直接支撑当前EIS-only闭环。</x:v>
      </x:c>
      <x:c r="L144" s="95" t="str">
        <x:v>暂缓</x:v>
      </x:c>
      <x:c r="M144" s="95" t="str">
        <x:v>当前不投入</x:v>
      </x:c>
      <x:c r="N144" s="95" t="str">
        <x:v>P1</x:v>
      </x:c>
      <x:c r="O144" s="95" t="str">
        <x:v>https://www.nature.com/articles/s44160-026-01053-0</x:v>
      </x:c>
      <x:c r="P144" s="96" t="str">
        <x:v>待评审</x:v>
      </x:c>
    </x:row>
    <x:row r="145">
      <x:c r="A145" s="94" t="str">
        <x:v>T0141</x:v>
      </x:c>
      <x:c r="B145" s="95" t="str">
        <x:v>实验执行与具身自动化</x:v>
      </x:c>
      <x:c r="C145" s="95" t="str">
        <x:v>机器人操作与具身技能</x:v>
      </x:c>
      <x:c r="D145" s="95" t="str">
        <x:v>当前低优先</x:v>
      </x:c>
      <x:c r="E145" s="100" t="n">
        <x:v>1</x:v>
      </x:c>
      <x:c r="F145" s="95" t="str">
        <x:v>实验执行</x:v>
      </x:c>
      <x:c r="G145" s="95" t="str">
        <x:v>G 实验执行自动化</x:v>
      </x:c>
      <x:c r="H145" s="95" t="str">
        <x:v>自动开盖</x:v>
      </x:c>
      <x:c r="I145" s="95" t="str">
        <x:v>降低人工操作波动；当前只有在样品制备或装夹成为瓶颈时才优先。</x:v>
      </x:c>
      <x:c r="J145" s="95" t="str">
        <x:v>仅围绕制膜、装夹、调理和EIS操作的真实瓶颈逐步自动化。</x:v>
      </x:c>
      <x:c r="K145" s="95" t="str">
        <x:v>可直接支撑当前EIS-only闭环。</x:v>
      </x:c>
      <x:c r="L145" s="95" t="str">
        <x:v>暂缓</x:v>
      </x:c>
      <x:c r="M145" s="95" t="str">
        <x:v>当前不投入</x:v>
      </x:c>
      <x:c r="N145" s="95" t="str">
        <x:v>P1</x:v>
      </x:c>
      <x:c r="O145" s="95" t="str">
        <x:v>https://www.nature.com/articles/s41586-020-2442-2</x:v>
      </x:c>
      <x:c r="P145" s="96" t="str">
        <x:v>待评审</x:v>
      </x:c>
    </x:row>
    <x:row r="146">
      <x:c r="A146" s="94" t="str">
        <x:v>T0142</x:v>
      </x:c>
      <x:c r="B146" s="95" t="str">
        <x:v>实验执行与具身自动化</x:v>
      </x:c>
      <x:c r="C146" s="95" t="str">
        <x:v>机器人操作与具身技能</x:v>
      </x:c>
      <x:c r="D146" s="95" t="str">
        <x:v>当前低优先</x:v>
      </x:c>
      <x:c r="E146" s="100" t="n">
        <x:v>1</x:v>
      </x:c>
      <x:c r="F146" s="95" t="str">
        <x:v>实验执行</x:v>
      </x:c>
      <x:c r="G146" s="95" t="str">
        <x:v>G 实验执行自动化</x:v>
      </x:c>
      <x:c r="H146" s="95" t="str">
        <x:v>西林瓶操作</x:v>
      </x:c>
      <x:c r="I146" s="95" t="str">
        <x:v>降低人工操作波动；当前只有在样品制备或装夹成为瓶颈时才优先。</x:v>
      </x:c>
      <x:c r="J146" s="95" t="str">
        <x:v>仅围绕制膜、装夹、调理和EIS操作的真实瓶颈逐步自动化。</x:v>
      </x:c>
      <x:c r="K146" s="95" t="str">
        <x:v>可直接支撑当前EIS-only闭环。</x:v>
      </x:c>
      <x:c r="L146" s="95" t="str">
        <x:v>暂缓</x:v>
      </x:c>
      <x:c r="M146" s="95" t="str">
        <x:v>当前不投入</x:v>
      </x:c>
      <x:c r="N146" s="95" t="str">
        <x:v>P1</x:v>
      </x:c>
      <x:c r="O146" s="95" t="str">
        <x:v>https://www.nature.com/articles/s41586-024-08173-7</x:v>
      </x:c>
      <x:c r="P146" s="96" t="str">
        <x:v>待评审</x:v>
      </x:c>
    </x:row>
    <x:row r="147">
      <x:c r="A147" s="94" t="str">
        <x:v>T0143</x:v>
      </x:c>
      <x:c r="B147" s="95" t="str">
        <x:v>实验执行与具身自动化</x:v>
      </x:c>
      <x:c r="C147" s="95" t="str">
        <x:v>机器人操作与具身技能</x:v>
      </x:c>
      <x:c r="D147" s="95" t="str">
        <x:v>当前低优先</x:v>
      </x:c>
      <x:c r="E147" s="100" t="n">
        <x:v>1</x:v>
      </x:c>
      <x:c r="F147" s="95" t="str">
        <x:v>实验执行</x:v>
      </x:c>
      <x:c r="G147" s="95" t="str">
        <x:v>G 实验执行自动化</x:v>
      </x:c>
      <x:c r="H147" s="95" t="str">
        <x:v>微孔板操作</x:v>
      </x:c>
      <x:c r="I147" s="95" t="str">
        <x:v>降低人工操作波动；当前只有在样品制备或装夹成为瓶颈时才优先。</x:v>
      </x:c>
      <x:c r="J147" s="95" t="str">
        <x:v>仅围绕制膜、装夹、调理和EIS操作的真实瓶颈逐步自动化。</x:v>
      </x:c>
      <x:c r="K147" s="95" t="str">
        <x:v>可直接支撑当前EIS-only闭环。</x:v>
      </x:c>
      <x:c r="L147" s="95" t="str">
        <x:v>暂缓</x:v>
      </x:c>
      <x:c r="M147" s="95" t="str">
        <x:v>当前不投入</x:v>
      </x:c>
      <x:c r="N147" s="95" t="str">
        <x:v>P1</x:v>
      </x:c>
      <x:c r="O147" s="95" t="str">
        <x:v>https://pubs.rsc.org/en/content/articlehtml/2024/sc/d3sc06206f</x:v>
      </x:c>
      <x:c r="P147" s="96" t="str">
        <x:v>待评审</x:v>
      </x:c>
    </x:row>
    <x:row r="148">
      <x:c r="A148" s="94" t="str">
        <x:v>T0144</x:v>
      </x:c>
      <x:c r="B148" s="95" t="str">
        <x:v>实验执行与具身自动化</x:v>
      </x:c>
      <x:c r="C148" s="95" t="str">
        <x:v>机器人操作与具身技能</x:v>
      </x:c>
      <x:c r="D148" s="95" t="str">
        <x:v>当前低优先</x:v>
      </x:c>
      <x:c r="E148" s="100" t="n">
        <x:v>1</x:v>
      </x:c>
      <x:c r="F148" s="95" t="str">
        <x:v>实验执行</x:v>
      </x:c>
      <x:c r="G148" s="95" t="str">
        <x:v>G 实验执行自动化</x:v>
      </x:c>
      <x:c r="H148" s="95" t="str">
        <x:v>试管架操作</x:v>
      </x:c>
      <x:c r="I148" s="95" t="str">
        <x:v>降低人工操作波动；当前只有在样品制备或装夹成为瓶颈时才优先。</x:v>
      </x:c>
      <x:c r="J148" s="95" t="str">
        <x:v>仅围绕制膜、装夹、调理和EIS操作的真实瓶颈逐步自动化。</x:v>
      </x:c>
      <x:c r="K148" s="95" t="str">
        <x:v>可直接支撑当前EIS-only闭环。</x:v>
      </x:c>
      <x:c r="L148" s="95" t="str">
        <x:v>暂缓</x:v>
      </x:c>
      <x:c r="M148" s="95" t="str">
        <x:v>当前不投入</x:v>
      </x:c>
      <x:c r="N148" s="95" t="str">
        <x:v>P1</x:v>
      </x:c>
      <x:c r="O148" s="95" t="str">
        <x:v>https://www.science.org/doi/10.1126/sciadv.adj0461</x:v>
      </x:c>
      <x:c r="P148" s="96" t="str">
        <x:v>待评审</x:v>
      </x:c>
    </x:row>
    <x:row r="149">
      <x:c r="A149" s="94" t="str">
        <x:v>T0145</x:v>
      </x:c>
      <x:c r="B149" s="95" t="str">
        <x:v>实验执行与具身自动化</x:v>
      </x:c>
      <x:c r="C149" s="95" t="str">
        <x:v>机器人操作与具身技能</x:v>
      </x:c>
      <x:c r="D149" s="95" t="str">
        <x:v>当前低优先</x:v>
      </x:c>
      <x:c r="E149" s="100" t="n">
        <x:v>1</x:v>
      </x:c>
      <x:c r="F149" s="95" t="str">
        <x:v>实验执行</x:v>
      </x:c>
      <x:c r="G149" s="95" t="str">
        <x:v>G 实验执行自动化</x:v>
      </x:c>
      <x:c r="H149" s="95" t="str">
        <x:v>自动称量</x:v>
      </x:c>
      <x:c r="I149" s="95" t="str">
        <x:v>降低人工操作波动；当前只有在样品制备或装夹成为瓶颈时才优先。</x:v>
      </x:c>
      <x:c r="J149" s="95" t="str">
        <x:v>仅围绕制膜、装夹、调理和EIS操作的真实瓶颈逐步自动化。</x:v>
      </x:c>
      <x:c r="K149" s="95" t="str">
        <x:v>可直接支撑当前EIS-only闭环。</x:v>
      </x:c>
      <x:c r="L149" s="95" t="str">
        <x:v>暂缓</x:v>
      </x:c>
      <x:c r="M149" s="95" t="str">
        <x:v>当前不投入</x:v>
      </x:c>
      <x:c r="N149" s="95" t="str">
        <x:v>P1</x:v>
      </x:c>
      <x:c r="O149" s="95" t="str">
        <x:v>https://www.nature.com/articles/s44160-026-01053-0</x:v>
      </x:c>
      <x:c r="P149" s="96" t="str">
        <x:v>待评审</x:v>
      </x:c>
    </x:row>
    <x:row r="150">
      <x:c r="A150" s="94" t="str">
        <x:v>T0146</x:v>
      </x:c>
      <x:c r="B150" s="95" t="str">
        <x:v>实验执行与具身自动化</x:v>
      </x:c>
      <x:c r="C150" s="95" t="str">
        <x:v>机器人操作与具身技能</x:v>
      </x:c>
      <x:c r="D150" s="95" t="str">
        <x:v>当前低优先</x:v>
      </x:c>
      <x:c r="E150" s="100" t="n">
        <x:v>1</x:v>
      </x:c>
      <x:c r="F150" s="95" t="str">
        <x:v>实验执行</x:v>
      </x:c>
      <x:c r="G150" s="95" t="str">
        <x:v>G 实验执行自动化</x:v>
      </x:c>
      <x:c r="H150" s="95" t="str">
        <x:v>粉末舀取</x:v>
      </x:c>
      <x:c r="I150" s="95" t="str">
        <x:v>降低人工操作波动；当前只有在样品制备或装夹成为瓶颈时才优先。</x:v>
      </x:c>
      <x:c r="J150" s="95" t="str">
        <x:v>仅围绕制膜、装夹、调理和EIS操作的真实瓶颈逐步自动化。</x:v>
      </x:c>
      <x:c r="K150" s="95" t="str">
        <x:v>可直接支撑当前EIS-only闭环。</x:v>
      </x:c>
      <x:c r="L150" s="95" t="str">
        <x:v>暂缓</x:v>
      </x:c>
      <x:c r="M150" s="95" t="str">
        <x:v>当前不投入</x:v>
      </x:c>
      <x:c r="N150" s="95" t="str">
        <x:v>P1</x:v>
      </x:c>
      <x:c r="O150" s="95" t="str">
        <x:v>https://www.nature.com/articles/s41586-020-2442-2</x:v>
      </x:c>
      <x:c r="P150" s="96" t="str">
        <x:v>待评审</x:v>
      </x:c>
    </x:row>
    <x:row r="151">
      <x:c r="A151" s="94" t="str">
        <x:v>T0147</x:v>
      </x:c>
      <x:c r="B151" s="95" t="str">
        <x:v>实验执行与具身自动化</x:v>
      </x:c>
      <x:c r="C151" s="95" t="str">
        <x:v>机器人操作与具身技能</x:v>
      </x:c>
      <x:c r="D151" s="95" t="str">
        <x:v>当前低优先</x:v>
      </x:c>
      <x:c r="E151" s="100" t="n">
        <x:v>1</x:v>
      </x:c>
      <x:c r="F151" s="95" t="str">
        <x:v>实验执行</x:v>
      </x:c>
      <x:c r="G151" s="95" t="str">
        <x:v>G 实验执行自动化</x:v>
      </x:c>
      <x:c r="H151" s="95" t="str">
        <x:v>刮刀操作</x:v>
      </x:c>
      <x:c r="I151" s="95" t="str">
        <x:v>降低人工操作波动；当前只有在样品制备或装夹成为瓶颈时才优先。</x:v>
      </x:c>
      <x:c r="J151" s="95" t="str">
        <x:v>仅围绕制膜、装夹、调理和EIS操作的真实瓶颈逐步自动化。</x:v>
      </x:c>
      <x:c r="K151" s="95" t="str">
        <x:v>可直接支撑当前EIS-only闭环。</x:v>
      </x:c>
      <x:c r="L151" s="95" t="str">
        <x:v>暂缓</x:v>
      </x:c>
      <x:c r="M151" s="95" t="str">
        <x:v>当前不投入</x:v>
      </x:c>
      <x:c r="N151" s="95" t="str">
        <x:v>P1</x:v>
      </x:c>
      <x:c r="O151" s="95" t="str">
        <x:v>https://www.nature.com/articles/s41586-024-08173-7</x:v>
      </x:c>
      <x:c r="P151" s="96" t="str">
        <x:v>待评审</x:v>
      </x:c>
    </x:row>
    <x:row r="152">
      <x:c r="A152" s="94" t="str">
        <x:v>T0148</x:v>
      </x:c>
      <x:c r="B152" s="95" t="str">
        <x:v>实验执行与具身自动化</x:v>
      </x:c>
      <x:c r="C152" s="95" t="str">
        <x:v>机器人操作与具身技能</x:v>
      </x:c>
      <x:c r="D152" s="95" t="str">
        <x:v>当前低优先</x:v>
      </x:c>
      <x:c r="E152" s="100" t="n">
        <x:v>1</x:v>
      </x:c>
      <x:c r="F152" s="95" t="str">
        <x:v>实验执行</x:v>
      </x:c>
      <x:c r="G152" s="95" t="str">
        <x:v>G 实验执行自动化</x:v>
      </x:c>
      <x:c r="H152" s="95" t="str">
        <x:v>注射器操作</x:v>
      </x:c>
      <x:c r="I152" s="95" t="str">
        <x:v>降低人工操作波动；当前只有在样品制备或装夹成为瓶颈时才优先。</x:v>
      </x:c>
      <x:c r="J152" s="95" t="str">
        <x:v>仅围绕制膜、装夹、调理和EIS操作的真实瓶颈逐步自动化。</x:v>
      </x:c>
      <x:c r="K152" s="95" t="str">
        <x:v>可直接支撑当前EIS-only闭环。</x:v>
      </x:c>
      <x:c r="L152" s="95" t="str">
        <x:v>暂缓</x:v>
      </x:c>
      <x:c r="M152" s="95" t="str">
        <x:v>当前不投入</x:v>
      </x:c>
      <x:c r="N152" s="95" t="str">
        <x:v>P1</x:v>
      </x:c>
      <x:c r="O152" s="95" t="str">
        <x:v>https://pubs.rsc.org/en/content/articlehtml/2024/sc/d3sc06206f</x:v>
      </x:c>
      <x:c r="P152" s="96" t="str">
        <x:v>待评审</x:v>
      </x:c>
    </x:row>
    <x:row r="153">
      <x:c r="A153" s="94" t="str">
        <x:v>T0149</x:v>
      </x:c>
      <x:c r="B153" s="95" t="str">
        <x:v>实验执行与具身自动化</x:v>
      </x:c>
      <x:c r="C153" s="95" t="str">
        <x:v>机器人操作与具身技能</x:v>
      </x:c>
      <x:c r="D153" s="95" t="str">
        <x:v>当前低优先</x:v>
      </x:c>
      <x:c r="E153" s="100" t="n">
        <x:v>1</x:v>
      </x:c>
      <x:c r="F153" s="95" t="str">
        <x:v>实验执行</x:v>
      </x:c>
      <x:c r="G153" s="95" t="str">
        <x:v>G 实验执行自动化</x:v>
      </x:c>
      <x:c r="H153" s="95" t="str">
        <x:v>穿刺操作</x:v>
      </x:c>
      <x:c r="I153" s="95" t="str">
        <x:v>降低人工操作波动；当前只有在样品制备或装夹成为瓶颈时才优先。</x:v>
      </x:c>
      <x:c r="J153" s="95" t="str">
        <x:v>仅围绕制膜、装夹、调理和EIS操作的真实瓶颈逐步自动化。</x:v>
      </x:c>
      <x:c r="K153" s="95" t="str">
        <x:v>可直接支撑当前EIS-only闭环。</x:v>
      </x:c>
      <x:c r="L153" s="95" t="str">
        <x:v>暂缓</x:v>
      </x:c>
      <x:c r="M153" s="95" t="str">
        <x:v>当前不投入</x:v>
      </x:c>
      <x:c r="N153" s="95" t="str">
        <x:v>P2</x:v>
      </x:c>
      <x:c r="O153" s="95" t="str">
        <x:v>https://www.science.org/doi/10.1126/sciadv.adj0461</x:v>
      </x:c>
      <x:c r="P153" s="96" t="str">
        <x:v>待评审</x:v>
      </x:c>
    </x:row>
    <x:row r="154">
      <x:c r="A154" s="94" t="str">
        <x:v>T0150</x:v>
      </x:c>
      <x:c r="B154" s="95" t="str">
        <x:v>实验执行与具身自动化</x:v>
      </x:c>
      <x:c r="C154" s="95" t="str">
        <x:v>机器人操作与具身技能</x:v>
      </x:c>
      <x:c r="D154" s="95" t="str">
        <x:v>当前低优先</x:v>
      </x:c>
      <x:c r="E154" s="100" t="n">
        <x:v>1</x:v>
      </x:c>
      <x:c r="F154" s="95" t="str">
        <x:v>实验执行</x:v>
      </x:c>
      <x:c r="G154" s="95" t="str">
        <x:v>G 实验执行自动化</x:v>
      </x:c>
      <x:c r="H154" s="95" t="str">
        <x:v>透明物体抓取</x:v>
      </x:c>
      <x:c r="I154" s="95" t="str">
        <x:v>降低人工操作波动；当前只有在样品制备或装夹成为瓶颈时才优先。</x:v>
      </x:c>
      <x:c r="J154" s="95" t="str">
        <x:v>仅围绕制膜、装夹、调理和EIS操作的真实瓶颈逐步自动化。</x:v>
      </x:c>
      <x:c r="K154" s="95" t="str">
        <x:v>可直接支撑当前EIS-only闭环。</x:v>
      </x:c>
      <x:c r="L154" s="95" t="str">
        <x:v>暂缓</x:v>
      </x:c>
      <x:c r="M154" s="95" t="str">
        <x:v>当前不投入</x:v>
      </x:c>
      <x:c r="N154" s="95" t="str">
        <x:v>P2</x:v>
      </x:c>
      <x:c r="O154" s="95" t="str">
        <x:v>https://www.nature.com/articles/s44160-026-01053-0</x:v>
      </x:c>
      <x:c r="P154" s="96" t="str">
        <x:v>待评审</x:v>
      </x:c>
    </x:row>
    <x:row r="155">
      <x:c r="A155" s="94" t="str">
        <x:v>T0151</x:v>
      </x:c>
      <x:c r="B155" s="95" t="str">
        <x:v>实验执行与具身自动化</x:v>
      </x:c>
      <x:c r="C155" s="95" t="str">
        <x:v>机器人操作与具身技能</x:v>
      </x:c>
      <x:c r="D155" s="95" t="str">
        <x:v>当前低优先</x:v>
      </x:c>
      <x:c r="E155" s="100" t="n">
        <x:v>1</x:v>
      </x:c>
      <x:c r="F155" s="95" t="str">
        <x:v>实验执行</x:v>
      </x:c>
      <x:c r="G155" s="95" t="str">
        <x:v>G 实验执行自动化</x:v>
      </x:c>
      <x:c r="H155" s="95" t="str">
        <x:v>反光物体抓取</x:v>
      </x:c>
      <x:c r="I155" s="95" t="str">
        <x:v>降低人工操作波动；当前只有在样品制备或装夹成为瓶颈时才优先。</x:v>
      </x:c>
      <x:c r="J155" s="95" t="str">
        <x:v>仅围绕制膜、装夹、调理和EIS操作的真实瓶颈逐步自动化。</x:v>
      </x:c>
      <x:c r="K155" s="95" t="str">
        <x:v>可直接支撑当前EIS-only闭环。</x:v>
      </x:c>
      <x:c r="L155" s="95" t="str">
        <x:v>暂缓</x:v>
      </x:c>
      <x:c r="M155" s="95" t="str">
        <x:v>当前不投入</x:v>
      </x:c>
      <x:c r="N155" s="95" t="str">
        <x:v>P2</x:v>
      </x:c>
      <x:c r="O155" s="95" t="str">
        <x:v>https://www.nature.com/articles/s41586-020-2442-2</x:v>
      </x:c>
      <x:c r="P155" s="96" t="str">
        <x:v>待评审</x:v>
      </x:c>
    </x:row>
    <x:row r="156">
      <x:c r="A156" s="94" t="str">
        <x:v>T0152</x:v>
      </x:c>
      <x:c r="B156" s="95" t="str">
        <x:v>实验执行与具身自动化</x:v>
      </x:c>
      <x:c r="C156" s="95" t="str">
        <x:v>机器人操作与具身技能</x:v>
      </x:c>
      <x:c r="D156" s="95" t="str">
        <x:v>当前低优先</x:v>
      </x:c>
      <x:c r="E156" s="100" t="n">
        <x:v>1</x:v>
      </x:c>
      <x:c r="F156" s="95" t="str">
        <x:v>实验执行</x:v>
      </x:c>
      <x:c r="G156" s="95" t="str">
        <x:v>G 实验执行自动化</x:v>
      </x:c>
      <x:c r="H156" s="95" t="str">
        <x:v>柔性物体处理</x:v>
      </x:c>
      <x:c r="I156" s="95" t="str">
        <x:v>降低人工操作波动；当前只有在样品制备或装夹成为瓶颈时才优先。</x:v>
      </x:c>
      <x:c r="J156" s="95" t="str">
        <x:v>仅围绕制膜、装夹、调理和EIS操作的真实瓶颈逐步自动化。</x:v>
      </x:c>
      <x:c r="K156" s="95" t="str">
        <x:v>可直接支撑当前EIS-only闭环。</x:v>
      </x:c>
      <x:c r="L156" s="95" t="str">
        <x:v>暂缓</x:v>
      </x:c>
      <x:c r="M156" s="95" t="str">
        <x:v>当前不投入</x:v>
      </x:c>
      <x:c r="N156" s="95" t="str">
        <x:v>P2</x:v>
      </x:c>
      <x:c r="O156" s="95" t="str">
        <x:v>https://www.nature.com/articles/s41586-024-08173-7</x:v>
      </x:c>
      <x:c r="P156" s="96" t="str">
        <x:v>待评审</x:v>
      </x:c>
    </x:row>
    <x:row r="157">
      <x:c r="A157" s="94" t="str">
        <x:v>T0153</x:v>
      </x:c>
      <x:c r="B157" s="95" t="str">
        <x:v>实验执行与具身自动化</x:v>
      </x:c>
      <x:c r="C157" s="95" t="str">
        <x:v>机器人操作与具身技能</x:v>
      </x:c>
      <x:c r="D157" s="95" t="str">
        <x:v>当前低优先</x:v>
      </x:c>
      <x:c r="E157" s="100" t="n">
        <x:v>1</x:v>
      </x:c>
      <x:c r="F157" s="95" t="str">
        <x:v>实验执行</x:v>
      </x:c>
      <x:c r="G157" s="95" t="str">
        <x:v>G 实验执行自动化</x:v>
      </x:c>
      <x:c r="H157" s="95" t="str">
        <x:v>易碎样品处理</x:v>
      </x:c>
      <x:c r="I157" s="95" t="str">
        <x:v>降低人工操作波动；当前只有在样品制备或装夹成为瓶颈时才优先。</x:v>
      </x:c>
      <x:c r="J157" s="95" t="str">
        <x:v>仅围绕制膜、装夹、调理和EIS操作的真实瓶颈逐步自动化。</x:v>
      </x:c>
      <x:c r="K157" s="95" t="str">
        <x:v>可直接支撑当前EIS-only闭环。</x:v>
      </x:c>
      <x:c r="L157" s="95" t="str">
        <x:v>暂缓</x:v>
      </x:c>
      <x:c r="M157" s="95" t="str">
        <x:v>当前不投入</x:v>
      </x:c>
      <x:c r="N157" s="95" t="str">
        <x:v>P2</x:v>
      </x:c>
      <x:c r="O157" s="95" t="str">
        <x:v>https://pubs.rsc.org/en/content/articlehtml/2024/sc/d3sc06206f</x:v>
      </x:c>
      <x:c r="P157" s="96" t="str">
        <x:v>待评审</x:v>
      </x:c>
    </x:row>
    <x:row r="158">
      <x:c r="A158" s="94" t="str">
        <x:v>T0154</x:v>
      </x:c>
      <x:c r="B158" s="95" t="str">
        <x:v>实验执行与具身自动化</x:v>
      </x:c>
      <x:c r="C158" s="95" t="str">
        <x:v>机器人操作与具身技能</x:v>
      </x:c>
      <x:c r="D158" s="95" t="str">
        <x:v>当前低优先</x:v>
      </x:c>
      <x:c r="E158" s="100" t="n">
        <x:v>1</x:v>
      </x:c>
      <x:c r="F158" s="95" t="str">
        <x:v>实验执行</x:v>
      </x:c>
      <x:c r="G158" s="95" t="str">
        <x:v>G 实验执行自动化</x:v>
      </x:c>
      <x:c r="H158" s="95" t="str">
        <x:v>防交叉污染</x:v>
      </x:c>
      <x:c r="I158" s="95" t="str">
        <x:v>降低人工操作波动；当前只有在样品制备或装夹成为瓶颈时才优先。</x:v>
      </x:c>
      <x:c r="J158" s="95" t="str">
        <x:v>仅围绕制膜、装夹、调理和EIS操作的真实瓶颈逐步自动化。</x:v>
      </x:c>
      <x:c r="K158" s="95" t="str">
        <x:v>可直接支撑当前EIS-only闭环。</x:v>
      </x:c>
      <x:c r="L158" s="95" t="str">
        <x:v>暂缓</x:v>
      </x:c>
      <x:c r="M158" s="95" t="str">
        <x:v>当前不投入</x:v>
      </x:c>
      <x:c r="N158" s="95" t="str">
        <x:v>P2</x:v>
      </x:c>
      <x:c r="O158" s="95" t="str">
        <x:v>https://www.science.org/doi/10.1126/sciadv.adj0461</x:v>
      </x:c>
      <x:c r="P158" s="96" t="str">
        <x:v>待评审</x:v>
      </x:c>
    </x:row>
    <x:row r="159">
      <x:c r="A159" s="94" t="str">
        <x:v>T0155</x:v>
      </x:c>
      <x:c r="B159" s="95" t="str">
        <x:v>实验执行与具身自动化</x:v>
      </x:c>
      <x:c r="C159" s="95" t="str">
        <x:v>机器人操作与具身技能</x:v>
      </x:c>
      <x:c r="D159" s="95" t="str">
        <x:v>当前低优先</x:v>
      </x:c>
      <x:c r="E159" s="100" t="n">
        <x:v>1</x:v>
      </x:c>
      <x:c r="F159" s="95" t="str">
        <x:v>实验执行</x:v>
      </x:c>
      <x:c r="G159" s="95" t="str">
        <x:v>G 实验执行自动化</x:v>
      </x:c>
      <x:c r="H159" s="95" t="str">
        <x:v>洁净室兼容</x:v>
      </x:c>
      <x:c r="I159" s="95" t="str">
        <x:v>降低人工操作波动；当前只有在样品制备或装夹成为瓶颈时才优先。</x:v>
      </x:c>
      <x:c r="J159" s="95" t="str">
        <x:v>仅围绕制膜、装夹、调理和EIS操作的真实瓶颈逐步自动化。</x:v>
      </x:c>
      <x:c r="K159" s="95" t="str">
        <x:v>可直接支撑当前EIS-only闭环。</x:v>
      </x:c>
      <x:c r="L159" s="95" t="str">
        <x:v>暂缓</x:v>
      </x:c>
      <x:c r="M159" s="95" t="str">
        <x:v>当前不投入</x:v>
      </x:c>
      <x:c r="N159" s="95" t="str">
        <x:v>P2</x:v>
      </x:c>
      <x:c r="O159" s="95" t="str">
        <x:v>https://www.nature.com/articles/s44160-026-01053-0</x:v>
      </x:c>
      <x:c r="P159" s="96" t="str">
        <x:v>待评审</x:v>
      </x:c>
    </x:row>
    <x:row r="160">
      <x:c r="A160" s="94" t="str">
        <x:v>T0156</x:v>
      </x:c>
      <x:c r="B160" s="95" t="str">
        <x:v>实验执行与具身自动化</x:v>
      </x:c>
      <x:c r="C160" s="95" t="str">
        <x:v>机器人操作与具身技能</x:v>
      </x:c>
      <x:c r="D160" s="95" t="str">
        <x:v>当前低优先</x:v>
      </x:c>
      <x:c r="E160" s="100" t="n">
        <x:v>1</x:v>
      </x:c>
      <x:c r="F160" s="95" t="str">
        <x:v>实验执行</x:v>
      </x:c>
      <x:c r="G160" s="95" t="str">
        <x:v>G 实验执行自动化</x:v>
      </x:c>
      <x:c r="H160" s="95" t="str">
        <x:v>防爆机器人</x:v>
      </x:c>
      <x:c r="I160" s="95" t="str">
        <x:v>降低人工操作波动；当前只有在样品制备或装夹成为瓶颈时才优先。</x:v>
      </x:c>
      <x:c r="J160" s="95" t="str">
        <x:v>仅围绕制膜、装夹、调理和EIS操作的真实瓶颈逐步自动化。</x:v>
      </x:c>
      <x:c r="K160" s="95" t="str">
        <x:v>可直接支撑当前EIS-only闭环。</x:v>
      </x:c>
      <x:c r="L160" s="95" t="str">
        <x:v>暂缓</x:v>
      </x:c>
      <x:c r="M160" s="95" t="str">
        <x:v>当前不投入</x:v>
      </x:c>
      <x:c r="N160" s="95" t="str">
        <x:v>P2</x:v>
      </x:c>
      <x:c r="O160" s="95" t="str">
        <x:v>https://www.nature.com/articles/s41586-020-2442-2</x:v>
      </x:c>
      <x:c r="P160" s="96" t="str">
        <x:v>待评审</x:v>
      </x:c>
    </x:row>
    <x:row r="161">
      <x:c r="A161" s="94" t="str">
        <x:v>T0157</x:v>
      </x:c>
      <x:c r="B161" s="95" t="str">
        <x:v>实验执行与具身自动化</x:v>
      </x:c>
      <x:c r="C161" s="95" t="str">
        <x:v>机器人操作与具身技能</x:v>
      </x:c>
      <x:c r="D161" s="95" t="str">
        <x:v>当前低优先</x:v>
      </x:c>
      <x:c r="E161" s="100" t="n">
        <x:v>1</x:v>
      </x:c>
      <x:c r="F161" s="95" t="str">
        <x:v>实验执行</x:v>
      </x:c>
      <x:c r="G161" s="95" t="str">
        <x:v>G 实验执行自动化</x:v>
      </x:c>
      <x:c r="H161" s="95" t="str">
        <x:v>手套箱集成</x:v>
      </x:c>
      <x:c r="I161" s="95" t="str">
        <x:v>降低人工操作波动；当前只有在样品制备或装夹成为瓶颈时才优先。</x:v>
      </x:c>
      <x:c r="J161" s="95" t="str">
        <x:v>仅围绕制膜、装夹、调理和EIS操作的真实瓶颈逐步自动化。</x:v>
      </x:c>
      <x:c r="K161" s="95" t="str">
        <x:v>可直接支撑当前EIS-only闭环。</x:v>
      </x:c>
      <x:c r="L161" s="95" t="str">
        <x:v>暂缓</x:v>
      </x:c>
      <x:c r="M161" s="95" t="str">
        <x:v>当前不投入</x:v>
      </x:c>
      <x:c r="N161" s="95" t="str">
        <x:v>P2</x:v>
      </x:c>
      <x:c r="O161" s="95" t="str">
        <x:v>https://www.nature.com/articles/s41586-024-08173-7</x:v>
      </x:c>
      <x:c r="P161" s="96" t="str">
        <x:v>待评审</x:v>
      </x:c>
    </x:row>
    <x:row r="162">
      <x:c r="A162" s="94" t="str">
        <x:v>T0158</x:v>
      </x:c>
      <x:c r="B162" s="95" t="str">
        <x:v>实验执行与具身自动化</x:v>
      </x:c>
      <x:c r="C162" s="95" t="str">
        <x:v>机器人操作与具身技能</x:v>
      </x:c>
      <x:c r="D162" s="95" t="str">
        <x:v>当前低优先</x:v>
      </x:c>
      <x:c r="E162" s="100" t="n">
        <x:v>1</x:v>
      </x:c>
      <x:c r="F162" s="95" t="str">
        <x:v>实验执行</x:v>
      </x:c>
      <x:c r="G162" s="95" t="str">
        <x:v>G 实验执行自动化</x:v>
      </x:c>
      <x:c r="H162" s="95" t="str">
        <x:v>远程故障恢复</x:v>
      </x:c>
      <x:c r="I162" s="95" t="str">
        <x:v>降低人工操作波动；当前只有在样品制备或装夹成为瓶颈时才优先。</x:v>
      </x:c>
      <x:c r="J162" s="95" t="str">
        <x:v>仅围绕制膜、装夹、调理和EIS操作的真实瓶颈逐步自动化。</x:v>
      </x:c>
      <x:c r="K162" s="95" t="str">
        <x:v>可直接支撑当前EIS-only闭环。</x:v>
      </x:c>
      <x:c r="L162" s="95" t="str">
        <x:v>暂缓</x:v>
      </x:c>
      <x:c r="M162" s="95" t="str">
        <x:v>当前不投入</x:v>
      </x:c>
      <x:c r="N162" s="95" t="str">
        <x:v>P2</x:v>
      </x:c>
      <x:c r="O162" s="95" t="str">
        <x:v>https://pubs.rsc.org/en/content/articlehtml/2024/sc/d3sc06206f</x:v>
      </x:c>
      <x:c r="P162" s="96" t="str">
        <x:v>待评审</x:v>
      </x:c>
    </x:row>
    <x:row r="163">
      <x:c r="A163" s="94" t="str">
        <x:v>T0159</x:v>
      </x:c>
      <x:c r="B163" s="95" t="str">
        <x:v>实验执行与具身自动化</x:v>
      </x:c>
      <x:c r="C163" s="95" t="str">
        <x:v>机器人操作与具身技能</x:v>
      </x:c>
      <x:c r="D163" s="95" t="str">
        <x:v>当前低优先</x:v>
      </x:c>
      <x:c r="E163" s="100" t="n">
        <x:v>1</x:v>
      </x:c>
      <x:c r="F163" s="95" t="str">
        <x:v>实验执行</x:v>
      </x:c>
      <x:c r="G163" s="95" t="str">
        <x:v>G 实验执行自动化</x:v>
      </x:c>
      <x:c r="H163" s="95" t="str">
        <x:v>自标定</x:v>
      </x:c>
      <x:c r="I163" s="95" t="str">
        <x:v>降低人工操作波动；当前只有在样品制备或装夹成为瓶颈时才优先。</x:v>
      </x:c>
      <x:c r="J163" s="95" t="str">
        <x:v>仅围绕制膜、装夹、调理和EIS操作的真实瓶颈逐步自动化。</x:v>
      </x:c>
      <x:c r="K163" s="95" t="str">
        <x:v>可直接支撑当前EIS-only闭环。</x:v>
      </x:c>
      <x:c r="L163" s="95" t="str">
        <x:v>暂缓</x:v>
      </x:c>
      <x:c r="M163" s="95" t="str">
        <x:v>当前不投入</x:v>
      </x:c>
      <x:c r="N163" s="95" t="str">
        <x:v>P2</x:v>
      </x:c>
      <x:c r="O163" s="95" t="str">
        <x:v>https://www.science.org/doi/10.1126/sciadv.adj0461</x:v>
      </x:c>
      <x:c r="P163" s="96" t="str">
        <x:v>待评审</x:v>
      </x:c>
    </x:row>
    <x:row r="164">
      <x:c r="A164" s="94" t="str">
        <x:v>T0160</x:v>
      </x:c>
      <x:c r="B164" s="95" t="str">
        <x:v>实验执行与具身自动化</x:v>
      </x:c>
      <x:c r="C164" s="95" t="str">
        <x:v>机器人操作与具身技能</x:v>
      </x:c>
      <x:c r="D164" s="95" t="str">
        <x:v>当前低优先</x:v>
      </x:c>
      <x:c r="E164" s="100" t="n">
        <x:v>1</x:v>
      </x:c>
      <x:c r="F164" s="95" t="str">
        <x:v>实验执行</x:v>
      </x:c>
      <x:c r="G164" s="95" t="str">
        <x:v>G 实验执行自动化</x:v>
      </x:c>
      <x:c r="H164" s="95" t="str">
        <x:v>示教学习</x:v>
      </x:c>
      <x:c r="I164" s="95" t="str">
        <x:v>降低人工操作波动；当前只有在样品制备或装夹成为瓶颈时才优先。</x:v>
      </x:c>
      <x:c r="J164" s="95" t="str">
        <x:v>仅围绕制膜、装夹、调理和EIS操作的真实瓶颈逐步自动化。</x:v>
      </x:c>
      <x:c r="K164" s="95" t="str">
        <x:v>可直接支撑当前EIS-only闭环。</x:v>
      </x:c>
      <x:c r="L164" s="95" t="str">
        <x:v>暂缓</x:v>
      </x:c>
      <x:c r="M164" s="95" t="str">
        <x:v>当前不投入</x:v>
      </x:c>
      <x:c r="N164" s="95" t="str">
        <x:v>P2</x:v>
      </x:c>
      <x:c r="O164" s="95" t="str">
        <x:v>https://www.nature.com/articles/s44160-026-01053-0</x:v>
      </x:c>
      <x:c r="P164" s="96" t="str">
        <x:v>待评审</x:v>
      </x:c>
    </x:row>
    <x:row r="165">
      <x:c r="A165" s="94" t="str">
        <x:v>T0161</x:v>
      </x:c>
      <x:c r="B165" s="95" t="str">
        <x:v>实验执行与具身自动化</x:v>
      </x:c>
      <x:c r="C165" s="95" t="str">
        <x:v>移动机器人、物流与多机器人</x:v>
      </x:c>
      <x:c r="D165" s="95" t="str">
        <x:v>当前低优先</x:v>
      </x:c>
      <x:c r="E165" s="100" t="n">
        <x:v>1</x:v>
      </x:c>
      <x:c r="F165" s="95" t="str">
        <x:v>两线共用</x:v>
      </x:c>
      <x:c r="G165" s="95" t="str">
        <x:v>G 实验执行自动化</x:v>
      </x:c>
      <x:c r="H165" s="95" t="str">
        <x:v>AGV/AMR选型</x:v>
      </x:c>
      <x:c r="I165" s="95" t="str">
        <x:v>支持无人值守物流；当前对单一EIS入口贡献较低。</x:v>
      </x:c>
      <x:c r="J165" s="95" t="str">
        <x:v>仅围绕制膜、装夹、调理和EIS操作的真实瓶颈逐步自动化。</x:v>
      </x:c>
      <x:c r="K165" s="95" t="str">
        <x:v>可直接支撑当前EIS-only闭环。</x:v>
      </x:c>
      <x:c r="L165" s="95" t="str">
        <x:v>暂缓</x:v>
      </x:c>
      <x:c r="M165" s="95" t="str">
        <x:v>当前不投入</x:v>
      </x:c>
      <x:c r="N165" s="95" t="str">
        <x:v>P0</x:v>
      </x:c>
      <x:c r="O165" s="95" t="str">
        <x:v>https://www.nature.com/articles/s41586-020-2442-2</x:v>
      </x:c>
      <x:c r="P165" s="96" t="str">
        <x:v>待评审</x:v>
      </x:c>
    </x:row>
    <x:row r="166">
      <x:c r="A166" s="94" t="str">
        <x:v>T0162</x:v>
      </x:c>
      <x:c r="B166" s="95" t="str">
        <x:v>实验执行与具身自动化</x:v>
      </x:c>
      <x:c r="C166" s="95" t="str">
        <x:v>移动机器人、物流与多机器人</x:v>
      </x:c>
      <x:c r="D166" s="95" t="str">
        <x:v>当前低优先</x:v>
      </x:c>
      <x:c r="E166" s="100" t="n">
        <x:v>1</x:v>
      </x:c>
      <x:c r="F166" s="95" t="str">
        <x:v>两线共用</x:v>
      </x:c>
      <x:c r="G166" s="95" t="str">
        <x:v>G 实验执行自动化</x:v>
      </x:c>
      <x:c r="H166" s="95" t="str">
        <x:v>自主导航</x:v>
      </x:c>
      <x:c r="I166" s="95" t="str">
        <x:v>支持无人值守物流；当前对单一EIS入口贡献较低。</x:v>
      </x:c>
      <x:c r="J166" s="95" t="str">
        <x:v>仅围绕制膜、装夹、调理和EIS操作的真实瓶颈逐步自动化。</x:v>
      </x:c>
      <x:c r="K166" s="95" t="str">
        <x:v>可直接支撑当前EIS-only闭环。</x:v>
      </x:c>
      <x:c r="L166" s="95" t="str">
        <x:v>暂缓</x:v>
      </x:c>
      <x:c r="M166" s="95" t="str">
        <x:v>当前不投入</x:v>
      </x:c>
      <x:c r="N166" s="95" t="str">
        <x:v>P0</x:v>
      </x:c>
      <x:c r="O166" s="95" t="str">
        <x:v>https://www.nature.com/articles/s41586-024-08173-7</x:v>
      </x:c>
      <x:c r="P166" s="96" t="str">
        <x:v>待评审</x:v>
      </x:c>
    </x:row>
    <x:row r="167">
      <x:c r="A167" s="94" t="str">
        <x:v>T0163</x:v>
      </x:c>
      <x:c r="B167" s="95" t="str">
        <x:v>实验执行与具身自动化</x:v>
      </x:c>
      <x:c r="C167" s="95" t="str">
        <x:v>移动机器人、物流与多机器人</x:v>
      </x:c>
      <x:c r="D167" s="95" t="str">
        <x:v>当前低优先</x:v>
      </x:c>
      <x:c r="E167" s="100" t="n">
        <x:v>1</x:v>
      </x:c>
      <x:c r="F167" s="95" t="str">
        <x:v>两线共用</x:v>
      </x:c>
      <x:c r="G167" s="95" t="str">
        <x:v>G 实验执行自动化</x:v>
      </x:c>
      <x:c r="H167" s="95" t="str">
        <x:v>室内定位</x:v>
      </x:c>
      <x:c r="I167" s="95" t="str">
        <x:v>支持无人值守物流；当前对单一EIS入口贡献较低。</x:v>
      </x:c>
      <x:c r="J167" s="95" t="str">
        <x:v>仅围绕制膜、装夹、调理和EIS操作的真实瓶颈逐步自动化。</x:v>
      </x:c>
      <x:c r="K167" s="95" t="str">
        <x:v>可直接支撑当前EIS-only闭环。</x:v>
      </x:c>
      <x:c r="L167" s="95" t="str">
        <x:v>暂缓</x:v>
      </x:c>
      <x:c r="M167" s="95" t="str">
        <x:v>当前不投入</x:v>
      </x:c>
      <x:c r="N167" s="95" t="str">
        <x:v>P0</x:v>
      </x:c>
      <x:c r="O167" s="95" t="str">
        <x:v>https://pubs.rsc.org/en/content/articlehtml/2024/sc/d3sc06206f</x:v>
      </x:c>
      <x:c r="P167" s="96" t="str">
        <x:v>待评审</x:v>
      </x:c>
    </x:row>
    <x:row r="168">
      <x:c r="A168" s="94" t="str">
        <x:v>T0164</x:v>
      </x:c>
      <x:c r="B168" s="95" t="str">
        <x:v>实验执行与具身自动化</x:v>
      </x:c>
      <x:c r="C168" s="95" t="str">
        <x:v>移动机器人、物流与多机器人</x:v>
      </x:c>
      <x:c r="D168" s="95" t="str">
        <x:v>当前低优先</x:v>
      </x:c>
      <x:c r="E168" s="100" t="n">
        <x:v>0</x:v>
      </x:c>
      <x:c r="F168" s="95" t="str">
        <x:v>两线共用</x:v>
      </x:c>
      <x:c r="G168" s="95" t="str">
        <x:v>G 实验执行自动化</x:v>
      </x:c>
      <x:c r="H168" s="95" t="str">
        <x:v>SLAM</x:v>
      </x:c>
      <x:c r="I168" s="95" t="str">
        <x:v>支持无人值守物流；当前对单一EIS入口贡献较低。</x:v>
      </x:c>
      <x:c r="J168" s="95" t="str">
        <x:v>仅围绕制膜、装夹、调理和EIS操作的真实瓶颈逐步自动化。</x:v>
      </x:c>
      <x:c r="K168" s="95" t="str">
        <x:v>可直接支撑当前EIS-only闭环。</x:v>
      </x:c>
      <x:c r="L168" s="95" t="str">
        <x:v>暂缓</x:v>
      </x:c>
      <x:c r="M168" s="95" t="str">
        <x:v>当前不投入</x:v>
      </x:c>
      <x:c r="N168" s="95" t="str">
        <x:v>P0</x:v>
      </x:c>
      <x:c r="O168" s="95" t="str">
        <x:v>https://www.science.org/doi/10.1126/science.adk9227</x:v>
      </x:c>
      <x:c r="P168" s="96" t="str">
        <x:v>待评审</x:v>
      </x:c>
    </x:row>
    <x:row r="169">
      <x:c r="A169" s="94" t="str">
        <x:v>T0165</x:v>
      </x:c>
      <x:c r="B169" s="95" t="str">
        <x:v>实验执行与具身自动化</x:v>
      </x:c>
      <x:c r="C169" s="95" t="str">
        <x:v>移动机器人、物流与多机器人</x:v>
      </x:c>
      <x:c r="D169" s="95" t="str">
        <x:v>当前低优先</x:v>
      </x:c>
      <x:c r="E169" s="100" t="n">
        <x:v>1</x:v>
      </x:c>
      <x:c r="F169" s="95" t="str">
        <x:v>两线共用</x:v>
      </x:c>
      <x:c r="G169" s="95" t="str">
        <x:v>G 实验执行自动化</x:v>
      </x:c>
      <x:c r="H169" s="95" t="str">
        <x:v>语义地图</x:v>
      </x:c>
      <x:c r="I169" s="95" t="str">
        <x:v>支持无人值守物流；当前对单一EIS入口贡献较低。</x:v>
      </x:c>
      <x:c r="J169" s="95" t="str">
        <x:v>仅围绕制膜、装夹、调理和EIS操作的真实瓶颈逐步自动化。</x:v>
      </x:c>
      <x:c r="K169" s="95" t="str">
        <x:v>可直接支撑当前EIS-only闭环。</x:v>
      </x:c>
      <x:c r="L169" s="95" t="str">
        <x:v>暂缓</x:v>
      </x:c>
      <x:c r="M169" s="95" t="str">
        <x:v>当前不投入</x:v>
      </x:c>
      <x:c r="N169" s="95" t="str">
        <x:v>P0</x:v>
      </x:c>
      <x:c r="O169" s="95" t="str">
        <x:v>https://www.nature.com/articles/s41586-020-2442-2</x:v>
      </x:c>
      <x:c r="P169" s="96" t="str">
        <x:v>待评审</x:v>
      </x:c>
    </x:row>
    <x:row r="170">
      <x:c r="A170" s="94" t="str">
        <x:v>T0166</x:v>
      </x:c>
      <x:c r="B170" s="95" t="str">
        <x:v>实验执行与具身自动化</x:v>
      </x:c>
      <x:c r="C170" s="95" t="str">
        <x:v>移动机器人、物流与多机器人</x:v>
      </x:c>
      <x:c r="D170" s="95" t="str">
        <x:v>当前低优先</x:v>
      </x:c>
      <x:c r="E170" s="100" t="n">
        <x:v>1</x:v>
      </x:c>
      <x:c r="F170" s="95" t="str">
        <x:v>两线共用</x:v>
      </x:c>
      <x:c r="G170" s="95" t="str">
        <x:v>G 实验执行自动化</x:v>
      </x:c>
      <x:c r="H170" s="95" t="str">
        <x:v>精确对接</x:v>
      </x:c>
      <x:c r="I170" s="95" t="str">
        <x:v>支持无人值守物流；当前对单一EIS入口贡献较低。</x:v>
      </x:c>
      <x:c r="J170" s="95" t="str">
        <x:v>仅围绕制膜、装夹、调理和EIS操作的真实瓶颈逐步自动化。</x:v>
      </x:c>
      <x:c r="K170" s="95" t="str">
        <x:v>可直接支撑当前EIS-only闭环。</x:v>
      </x:c>
      <x:c r="L170" s="95" t="str">
        <x:v>暂缓</x:v>
      </x:c>
      <x:c r="M170" s="95" t="str">
        <x:v>当前不投入</x:v>
      </x:c>
      <x:c r="N170" s="95" t="str">
        <x:v>P0</x:v>
      </x:c>
      <x:c r="O170" s="95" t="str">
        <x:v>https://www.nature.com/articles/s41586-024-08173-7</x:v>
      </x:c>
      <x:c r="P170" s="96" t="str">
        <x:v>待评审</x:v>
      </x:c>
    </x:row>
    <x:row r="171">
      <x:c r="A171" s="94" t="str">
        <x:v>T0167</x:v>
      </x:c>
      <x:c r="B171" s="95" t="str">
        <x:v>实验执行与具身自动化</x:v>
      </x:c>
      <x:c r="C171" s="95" t="str">
        <x:v>移动机器人、物流与多机器人</x:v>
      </x:c>
      <x:c r="D171" s="95" t="str">
        <x:v>当前低优先</x:v>
      </x:c>
      <x:c r="E171" s="100" t="n">
        <x:v>1</x:v>
      </x:c>
      <x:c r="F171" s="95" t="str">
        <x:v>两线共用</x:v>
      </x:c>
      <x:c r="G171" s="95" t="str">
        <x:v>G 实验执行自动化</x:v>
      </x:c>
      <x:c r="H171" s="95" t="str">
        <x:v>门/电梯通行</x:v>
      </x:c>
      <x:c r="I171" s="95" t="str">
        <x:v>支持无人值守物流；当前对单一EIS入口贡献较低。</x:v>
      </x:c>
      <x:c r="J171" s="95" t="str">
        <x:v>仅围绕制膜、装夹、调理和EIS操作的真实瓶颈逐步自动化。</x:v>
      </x:c>
      <x:c r="K171" s="95" t="str">
        <x:v>可直接支撑当前EIS-only闭环。</x:v>
      </x:c>
      <x:c r="L171" s="95" t="str">
        <x:v>暂缓</x:v>
      </x:c>
      <x:c r="M171" s="95" t="str">
        <x:v>当前不投入</x:v>
      </x:c>
      <x:c r="N171" s="95" t="str">
        <x:v>P0</x:v>
      </x:c>
      <x:c r="O171" s="95" t="str">
        <x:v>https://pubs.rsc.org/en/content/articlehtml/2024/sc/d3sc06206f</x:v>
      </x:c>
      <x:c r="P171" s="96" t="str">
        <x:v>待评审</x:v>
      </x:c>
    </x:row>
    <x:row r="172">
      <x:c r="A172" s="94" t="str">
        <x:v>T0168</x:v>
      </x:c>
      <x:c r="B172" s="95" t="str">
        <x:v>实验执行与具身自动化</x:v>
      </x:c>
      <x:c r="C172" s="95" t="str">
        <x:v>移动机器人、物流与多机器人</x:v>
      </x:c>
      <x:c r="D172" s="95" t="str">
        <x:v>当前低优先</x:v>
      </x:c>
      <x:c r="E172" s="100" t="n">
        <x:v>1</x:v>
      </x:c>
      <x:c r="F172" s="95" t="str">
        <x:v>两线共用</x:v>
      </x:c>
      <x:c r="G172" s="95" t="str">
        <x:v>G 实验执行自动化</x:v>
      </x:c>
      <x:c r="H172" s="95" t="str">
        <x:v>实验室布局优化</x:v>
      </x:c>
      <x:c r="I172" s="95" t="str">
        <x:v>支持无人值守物流；当前对单一EIS入口贡献较低。</x:v>
      </x:c>
      <x:c r="J172" s="95" t="str">
        <x:v>仅围绕制膜、装夹、调理和EIS操作的真实瓶颈逐步自动化。</x:v>
      </x:c>
      <x:c r="K172" s="95" t="str">
        <x:v>可直接支撑当前EIS-only闭环。</x:v>
      </x:c>
      <x:c r="L172" s="95" t="str">
        <x:v>暂缓</x:v>
      </x:c>
      <x:c r="M172" s="95" t="str">
        <x:v>当前不投入</x:v>
      </x:c>
      <x:c r="N172" s="95" t="str">
        <x:v>P0</x:v>
      </x:c>
      <x:c r="O172" s="95" t="str">
        <x:v>https://www.science.org/doi/10.1126/science.adk9227</x:v>
      </x:c>
      <x:c r="P172" s="96" t="str">
        <x:v>待评审</x:v>
      </x:c>
    </x:row>
    <x:row r="173">
      <x:c r="A173" s="94" t="str">
        <x:v>T0169</x:v>
      </x:c>
      <x:c r="B173" s="95" t="str">
        <x:v>实验执行与具身自动化</x:v>
      </x:c>
      <x:c r="C173" s="95" t="str">
        <x:v>移动机器人、物流与多机器人</x:v>
      </x:c>
      <x:c r="D173" s="95" t="str">
        <x:v>当前低优先</x:v>
      </x:c>
      <x:c r="E173" s="100" t="n">
        <x:v>1</x:v>
      </x:c>
      <x:c r="F173" s="95" t="str">
        <x:v>两线共用</x:v>
      </x:c>
      <x:c r="G173" s="95" t="str">
        <x:v>G 实验执行自动化</x:v>
      </x:c>
      <x:c r="H173" s="95" t="str">
        <x:v>动态避障</x:v>
      </x:c>
      <x:c r="I173" s="95" t="str">
        <x:v>支持无人值守物流；当前对单一EIS入口贡献较低。</x:v>
      </x:c>
      <x:c r="J173" s="95" t="str">
        <x:v>仅围绕制膜、装夹、调理和EIS操作的真实瓶颈逐步自动化。</x:v>
      </x:c>
      <x:c r="K173" s="95" t="str">
        <x:v>可直接支撑当前EIS-only闭环。</x:v>
      </x:c>
      <x:c r="L173" s="95" t="str">
        <x:v>暂缓</x:v>
      </x:c>
      <x:c r="M173" s="95" t="str">
        <x:v>当前不投入</x:v>
      </x:c>
      <x:c r="N173" s="95" t="str">
        <x:v>P0</x:v>
      </x:c>
      <x:c r="O173" s="95" t="str">
        <x:v>https://www.nature.com/articles/s41586-020-2442-2</x:v>
      </x:c>
      <x:c r="P173" s="96" t="str">
        <x:v>待评审</x:v>
      </x:c>
    </x:row>
    <x:row r="174">
      <x:c r="A174" s="94" t="str">
        <x:v>T0170</x:v>
      </x:c>
      <x:c r="B174" s="95" t="str">
        <x:v>实验执行与具身自动化</x:v>
      </x:c>
      <x:c r="C174" s="95" t="str">
        <x:v>移动机器人、物流与多机器人</x:v>
      </x:c>
      <x:c r="D174" s="95" t="str">
        <x:v>当前低优先</x:v>
      </x:c>
      <x:c r="E174" s="100" t="n">
        <x:v>1</x:v>
      </x:c>
      <x:c r="F174" s="95" t="str">
        <x:v>两线共用</x:v>
      </x:c>
      <x:c r="G174" s="95" t="str">
        <x:v>G 实验执行自动化</x:v>
      </x:c>
      <x:c r="H174" s="95" t="str">
        <x:v>交通管制</x:v>
      </x:c>
      <x:c r="I174" s="95" t="str">
        <x:v>支持无人值守物流；当前对单一EIS入口贡献较低。</x:v>
      </x:c>
      <x:c r="J174" s="95" t="str">
        <x:v>仅围绕制膜、装夹、调理和EIS操作的真实瓶颈逐步自动化。</x:v>
      </x:c>
      <x:c r="K174" s="95" t="str">
        <x:v>可直接支撑当前EIS-only闭环。</x:v>
      </x:c>
      <x:c r="L174" s="95" t="str">
        <x:v>暂缓</x:v>
      </x:c>
      <x:c r="M174" s="95" t="str">
        <x:v>当前不投入</x:v>
      </x:c>
      <x:c r="N174" s="95" t="str">
        <x:v>P0</x:v>
      </x:c>
      <x:c r="O174" s="95" t="str">
        <x:v>https://www.nature.com/articles/s41586-024-08173-7</x:v>
      </x:c>
      <x:c r="P174" s="96" t="str">
        <x:v>待评审</x:v>
      </x:c>
    </x:row>
    <x:row r="175">
      <x:c r="A175" s="94" t="str">
        <x:v>T0171</x:v>
      </x:c>
      <x:c r="B175" s="95" t="str">
        <x:v>实验执行与具身自动化</x:v>
      </x:c>
      <x:c r="C175" s="95" t="str">
        <x:v>移动机器人、物流与多机器人</x:v>
      </x:c>
      <x:c r="D175" s="95" t="str">
        <x:v>当前低优先</x:v>
      </x:c>
      <x:c r="E175" s="100" t="n">
        <x:v>1</x:v>
      </x:c>
      <x:c r="F175" s="95" t="str">
        <x:v>两线共用</x:v>
      </x:c>
      <x:c r="G175" s="95" t="str">
        <x:v>G 实验执行自动化</x:v>
      </x:c>
      <x:c r="H175" s="95" t="str">
        <x:v>车队调度</x:v>
      </x:c>
      <x:c r="I175" s="95" t="str">
        <x:v>支持无人值守物流；当前对单一EIS入口贡献较低。</x:v>
      </x:c>
      <x:c r="J175" s="95" t="str">
        <x:v>仅围绕制膜、装夹、调理和EIS操作的真实瓶颈逐步自动化。</x:v>
      </x:c>
      <x:c r="K175" s="95" t="str">
        <x:v>可直接支撑当前EIS-only闭环。</x:v>
      </x:c>
      <x:c r="L175" s="95" t="str">
        <x:v>暂缓</x:v>
      </x:c>
      <x:c r="M175" s="95" t="str">
        <x:v>当前不投入</x:v>
      </x:c>
      <x:c r="N175" s="95" t="str">
        <x:v>P1</x:v>
      </x:c>
      <x:c r="O175" s="95" t="str">
        <x:v>https://pubs.rsc.org/en/content/articlehtml/2024/sc/d3sc06206f</x:v>
      </x:c>
      <x:c r="P175" s="96" t="str">
        <x:v>待评审</x:v>
      </x:c>
    </x:row>
    <x:row r="176">
      <x:c r="A176" s="94" t="str">
        <x:v>T0172</x:v>
      </x:c>
      <x:c r="B176" s="95" t="str">
        <x:v>实验执行与具身自动化</x:v>
      </x:c>
      <x:c r="C176" s="95" t="str">
        <x:v>移动机器人、物流与多机器人</x:v>
      </x:c>
      <x:c r="D176" s="95" t="str">
        <x:v>当前低优先</x:v>
      </x:c>
      <x:c r="E176" s="100" t="n">
        <x:v>1</x:v>
      </x:c>
      <x:c r="F176" s="95" t="str">
        <x:v>两线共用</x:v>
      </x:c>
      <x:c r="G176" s="95" t="str">
        <x:v>G 实验执行自动化</x:v>
      </x:c>
      <x:c r="H176" s="95" t="str">
        <x:v>多机器人任务分配</x:v>
      </x:c>
      <x:c r="I176" s="95" t="str">
        <x:v>支持无人值守物流；当前对单一EIS入口贡献较低。</x:v>
      </x:c>
      <x:c r="J176" s="95" t="str">
        <x:v>仅围绕制膜、装夹、调理和EIS操作的真实瓶颈逐步自动化。</x:v>
      </x:c>
      <x:c r="K176" s="95" t="str">
        <x:v>可直接支撑当前EIS-only闭环。</x:v>
      </x:c>
      <x:c r="L176" s="95" t="str">
        <x:v>暂缓</x:v>
      </x:c>
      <x:c r="M176" s="95" t="str">
        <x:v>当前不投入</x:v>
      </x:c>
      <x:c r="N176" s="95" t="str">
        <x:v>P1</x:v>
      </x:c>
      <x:c r="O176" s="95" t="str">
        <x:v>https://www.science.org/doi/10.1126/science.adk9227</x:v>
      </x:c>
      <x:c r="P176" s="96" t="str">
        <x:v>待评审</x:v>
      </x:c>
    </x:row>
    <x:row r="177">
      <x:c r="A177" s="94" t="str">
        <x:v>T0173</x:v>
      </x:c>
      <x:c r="B177" s="95" t="str">
        <x:v>实验执行与具身自动化</x:v>
      </x:c>
      <x:c r="C177" s="95" t="str">
        <x:v>移动机器人、物流与多机器人</x:v>
      </x:c>
      <x:c r="D177" s="95" t="str">
        <x:v>当前低优先</x:v>
      </x:c>
      <x:c r="E177" s="100" t="n">
        <x:v>1</x:v>
      </x:c>
      <x:c r="F177" s="95" t="str">
        <x:v>两线共用</x:v>
      </x:c>
      <x:c r="G177" s="95" t="str">
        <x:v>G 实验执行自动化</x:v>
      </x:c>
      <x:c r="H177" s="95" t="str">
        <x:v>市场式分配</x:v>
      </x:c>
      <x:c r="I177" s="95" t="str">
        <x:v>支持无人值守物流；当前对单一EIS入口贡献较低。</x:v>
      </x:c>
      <x:c r="J177" s="95" t="str">
        <x:v>仅围绕制膜、装夹、调理和EIS操作的真实瓶颈逐步自动化。</x:v>
      </x:c>
      <x:c r="K177" s="95" t="str">
        <x:v>可直接支撑当前EIS-only闭环。</x:v>
      </x:c>
      <x:c r="L177" s="95" t="str">
        <x:v>暂缓</x:v>
      </x:c>
      <x:c r="M177" s="95" t="str">
        <x:v>当前不投入</x:v>
      </x:c>
      <x:c r="N177" s="95" t="str">
        <x:v>P1</x:v>
      </x:c>
      <x:c r="O177" s="95" t="str">
        <x:v>https://www.nature.com/articles/s41586-020-2442-2</x:v>
      </x:c>
      <x:c r="P177" s="96" t="str">
        <x:v>待评审</x:v>
      </x:c>
    </x:row>
    <x:row r="178">
      <x:c r="A178" s="94" t="str">
        <x:v>T0174</x:v>
      </x:c>
      <x:c r="B178" s="95" t="str">
        <x:v>实验执行与具身自动化</x:v>
      </x:c>
      <x:c r="C178" s="95" t="str">
        <x:v>移动机器人、物流与多机器人</x:v>
      </x:c>
      <x:c r="D178" s="95" t="str">
        <x:v>当前低优先</x:v>
      </x:c>
      <x:c r="E178" s="100" t="n">
        <x:v>1</x:v>
      </x:c>
      <x:c r="F178" s="95" t="str">
        <x:v>两线共用</x:v>
      </x:c>
      <x:c r="G178" s="95" t="str">
        <x:v>G 实验执行自动化</x:v>
      </x:c>
      <x:c r="H178" s="95" t="str">
        <x:v>中央式协调</x:v>
      </x:c>
      <x:c r="I178" s="95" t="str">
        <x:v>支持无人值守物流；当前对单一EIS入口贡献较低。</x:v>
      </x:c>
      <x:c r="J178" s="95" t="str">
        <x:v>仅围绕制膜、装夹、调理和EIS操作的真实瓶颈逐步自动化。</x:v>
      </x:c>
      <x:c r="K178" s="95" t="str">
        <x:v>可直接支撑当前EIS-only闭环。</x:v>
      </x:c>
      <x:c r="L178" s="95" t="str">
        <x:v>暂缓</x:v>
      </x:c>
      <x:c r="M178" s="95" t="str">
        <x:v>当前不投入</x:v>
      </x:c>
      <x:c r="N178" s="95" t="str">
        <x:v>P1</x:v>
      </x:c>
      <x:c r="O178" s="95" t="str">
        <x:v>https://www.nature.com/articles/s41586-024-08173-7</x:v>
      </x:c>
      <x:c r="P178" s="96" t="str">
        <x:v>待评审</x:v>
      </x:c>
    </x:row>
    <x:row r="179">
      <x:c r="A179" s="94" t="str">
        <x:v>T0175</x:v>
      </x:c>
      <x:c r="B179" s="95" t="str">
        <x:v>实验执行与具身自动化</x:v>
      </x:c>
      <x:c r="C179" s="95" t="str">
        <x:v>移动机器人、物流与多机器人</x:v>
      </x:c>
      <x:c r="D179" s="95" t="str">
        <x:v>当前低优先</x:v>
      </x:c>
      <x:c r="E179" s="100" t="n">
        <x:v>1</x:v>
      </x:c>
      <x:c r="F179" s="95" t="str">
        <x:v>两线共用</x:v>
      </x:c>
      <x:c r="G179" s="95" t="str">
        <x:v>G 实验执行自动化</x:v>
      </x:c>
      <x:c r="H179" s="95" t="str">
        <x:v>分布式协调</x:v>
      </x:c>
      <x:c r="I179" s="95" t="str">
        <x:v>支持无人值守物流；当前对单一EIS入口贡献较低。</x:v>
      </x:c>
      <x:c r="J179" s="95" t="str">
        <x:v>仅围绕制膜、装夹、调理和EIS操作的真实瓶颈逐步自动化。</x:v>
      </x:c>
      <x:c r="K179" s="95" t="str">
        <x:v>可直接支撑当前EIS-only闭环。</x:v>
      </x:c>
      <x:c r="L179" s="95" t="str">
        <x:v>暂缓</x:v>
      </x:c>
      <x:c r="M179" s="95" t="str">
        <x:v>当前不投入</x:v>
      </x:c>
      <x:c r="N179" s="95" t="str">
        <x:v>P1</x:v>
      </x:c>
      <x:c r="O179" s="95" t="str">
        <x:v>https://pubs.rsc.org/en/content/articlehtml/2024/sc/d3sc06206f</x:v>
      </x:c>
      <x:c r="P179" s="96" t="str">
        <x:v>待评审</x:v>
      </x:c>
    </x:row>
    <x:row r="180">
      <x:c r="A180" s="94" t="str">
        <x:v>T0176</x:v>
      </x:c>
      <x:c r="B180" s="95" t="str">
        <x:v>实验执行与具身自动化</x:v>
      </x:c>
      <x:c r="C180" s="95" t="str">
        <x:v>移动机器人、物流与多机器人</x:v>
      </x:c>
      <x:c r="D180" s="95" t="str">
        <x:v>当前低优先</x:v>
      </x:c>
      <x:c r="E180" s="100" t="n">
        <x:v>1</x:v>
      </x:c>
      <x:c r="F180" s="95" t="str">
        <x:v>两线共用</x:v>
      </x:c>
      <x:c r="G180" s="95" t="str">
        <x:v>G 实验执行自动化</x:v>
      </x:c>
      <x:c r="H180" s="95" t="str">
        <x:v>死锁预防</x:v>
      </x:c>
      <x:c r="I180" s="95" t="str">
        <x:v>支持无人值守物流；当前对单一EIS入口贡献较低。</x:v>
      </x:c>
      <x:c r="J180" s="95" t="str">
        <x:v>仅围绕制膜、装夹、调理和EIS操作的真实瓶颈逐步自动化。</x:v>
      </x:c>
      <x:c r="K180" s="95" t="str">
        <x:v>可直接支撑当前EIS-only闭环。</x:v>
      </x:c>
      <x:c r="L180" s="95" t="str">
        <x:v>暂缓</x:v>
      </x:c>
      <x:c r="M180" s="95" t="str">
        <x:v>当前不投入</x:v>
      </x:c>
      <x:c r="N180" s="95" t="str">
        <x:v>P1</x:v>
      </x:c>
      <x:c r="O180" s="95" t="str">
        <x:v>https://www.science.org/doi/10.1126/science.adk9227</x:v>
      </x:c>
      <x:c r="P180" s="96" t="str">
        <x:v>待评审</x:v>
      </x:c>
    </x:row>
    <x:row r="181">
      <x:c r="A181" s="94" t="str">
        <x:v>T0177</x:v>
      </x:c>
      <x:c r="B181" s="95" t="str">
        <x:v>实验执行与具身自动化</x:v>
      </x:c>
      <x:c r="C181" s="95" t="str">
        <x:v>移动机器人、物流与多机器人</x:v>
      </x:c>
      <x:c r="D181" s="95" t="str">
        <x:v>当前低优先</x:v>
      </x:c>
      <x:c r="E181" s="100" t="n">
        <x:v>1</x:v>
      </x:c>
      <x:c r="F181" s="95" t="str">
        <x:v>两线共用</x:v>
      </x:c>
      <x:c r="G181" s="95" t="str">
        <x:v>G 实验执行自动化</x:v>
      </x:c>
      <x:c r="H181" s="95" t="str">
        <x:v>优先级反转处理</x:v>
      </x:c>
      <x:c r="I181" s="95" t="str">
        <x:v>支持无人值守物流；当前对单一EIS入口贡献较低。</x:v>
      </x:c>
      <x:c r="J181" s="95" t="str">
        <x:v>仅围绕制膜、装夹、调理和EIS操作的真实瓶颈逐步自动化。</x:v>
      </x:c>
      <x:c r="K181" s="95" t="str">
        <x:v>可直接支撑当前EIS-only闭环。</x:v>
      </x:c>
      <x:c r="L181" s="95" t="str">
        <x:v>暂缓</x:v>
      </x:c>
      <x:c r="M181" s="95" t="str">
        <x:v>当前不投入</x:v>
      </x:c>
      <x:c r="N181" s="95" t="str">
        <x:v>P1</x:v>
      </x:c>
      <x:c r="O181" s="95" t="str">
        <x:v>https://www.nature.com/articles/s41586-020-2442-2</x:v>
      </x:c>
      <x:c r="P181" s="96" t="str">
        <x:v>待评审</x:v>
      </x:c>
    </x:row>
    <x:row r="182">
      <x:c r="A182" s="94" t="str">
        <x:v>T0178</x:v>
      </x:c>
      <x:c r="B182" s="95" t="str">
        <x:v>实验执行与具身自动化</x:v>
      </x:c>
      <x:c r="C182" s="95" t="str">
        <x:v>移动机器人、物流与多机器人</x:v>
      </x:c>
      <x:c r="D182" s="95" t="str">
        <x:v>当前低优先</x:v>
      </x:c>
      <x:c r="E182" s="100" t="n">
        <x:v>1</x:v>
      </x:c>
      <x:c r="F182" s="95" t="str">
        <x:v>两线共用</x:v>
      </x:c>
      <x:c r="G182" s="95" t="str">
        <x:v>G 实验执行自动化</x:v>
      </x:c>
      <x:c r="H182" s="95" t="str">
        <x:v>电池管理</x:v>
      </x:c>
      <x:c r="I182" s="95" t="str">
        <x:v>支持无人值守物流；当前对单一EIS入口贡献较低。</x:v>
      </x:c>
      <x:c r="J182" s="95" t="str">
        <x:v>仅围绕制膜、装夹、调理和EIS操作的真实瓶颈逐步自动化。</x:v>
      </x:c>
      <x:c r="K182" s="95" t="str">
        <x:v>可直接支撑当前EIS-only闭环。</x:v>
      </x:c>
      <x:c r="L182" s="95" t="str">
        <x:v>暂缓</x:v>
      </x:c>
      <x:c r="M182" s="95" t="str">
        <x:v>当前不投入</x:v>
      </x:c>
      <x:c r="N182" s="95" t="str">
        <x:v>P1</x:v>
      </x:c>
      <x:c r="O182" s="95" t="str">
        <x:v>https://www.nature.com/articles/s41586-024-08173-7</x:v>
      </x:c>
      <x:c r="P182" s="96" t="str">
        <x:v>待评审</x:v>
      </x:c>
    </x:row>
    <x:row r="183">
      <x:c r="A183" s="94" t="str">
        <x:v>T0179</x:v>
      </x:c>
      <x:c r="B183" s="95" t="str">
        <x:v>实验执行与具身自动化</x:v>
      </x:c>
      <x:c r="C183" s="95" t="str">
        <x:v>移动机器人、物流与多机器人</x:v>
      </x:c>
      <x:c r="D183" s="95" t="str">
        <x:v>当前低优先</x:v>
      </x:c>
      <x:c r="E183" s="100" t="n">
        <x:v>1</x:v>
      </x:c>
      <x:c r="F183" s="95" t="str">
        <x:v>两线共用</x:v>
      </x:c>
      <x:c r="G183" s="95" t="str">
        <x:v>G 实验执行自动化</x:v>
      </x:c>
      <x:c r="H183" s="95" t="str">
        <x:v>自动充电</x:v>
      </x:c>
      <x:c r="I183" s="95" t="str">
        <x:v>支持无人值守物流；当前对单一EIS入口贡献较低。</x:v>
      </x:c>
      <x:c r="J183" s="95" t="str">
        <x:v>仅围绕制膜、装夹、调理和EIS操作的真实瓶颈逐步自动化。</x:v>
      </x:c>
      <x:c r="K183" s="95" t="str">
        <x:v>可直接支撑当前EIS-only闭环。</x:v>
      </x:c>
      <x:c r="L183" s="95" t="str">
        <x:v>暂缓</x:v>
      </x:c>
      <x:c r="M183" s="95" t="str">
        <x:v>当前不投入</x:v>
      </x:c>
      <x:c r="N183" s="95" t="str">
        <x:v>P1</x:v>
      </x:c>
      <x:c r="O183" s="95" t="str">
        <x:v>https://pubs.rsc.org/en/content/articlehtml/2024/sc/d3sc06206f</x:v>
      </x:c>
      <x:c r="P183" s="96" t="str">
        <x:v>待评审</x:v>
      </x:c>
    </x:row>
    <x:row r="184">
      <x:c r="A184" s="94" t="str">
        <x:v>T0180</x:v>
      </x:c>
      <x:c r="B184" s="95" t="str">
        <x:v>实验执行与具身自动化</x:v>
      </x:c>
      <x:c r="C184" s="95" t="str">
        <x:v>移动机器人、物流与多机器人</x:v>
      </x:c>
      <x:c r="D184" s="95" t="str">
        <x:v>当前低优先</x:v>
      </x:c>
      <x:c r="E184" s="100" t="n">
        <x:v>1</x:v>
      </x:c>
      <x:c r="F184" s="95" t="str">
        <x:v>两线共用</x:v>
      </x:c>
      <x:c r="G184" s="95" t="str">
        <x:v>G 实验执行自动化</x:v>
      </x:c>
      <x:c r="H184" s="95" t="str">
        <x:v>样品监管链</x:v>
      </x:c>
      <x:c r="I184" s="95" t="str">
        <x:v>支持无人值守物流；当前对单一EIS入口贡献较低。</x:v>
      </x:c>
      <x:c r="J184" s="95" t="str">
        <x:v>仅围绕制膜、装夹、调理和EIS操作的真实瓶颈逐步自动化。</x:v>
      </x:c>
      <x:c r="K184" s="95" t="str">
        <x:v>可直接支撑当前EIS-only闭环。</x:v>
      </x:c>
      <x:c r="L184" s="95" t="str">
        <x:v>暂缓</x:v>
      </x:c>
      <x:c r="M184" s="95" t="str">
        <x:v>当前不投入</x:v>
      </x:c>
      <x:c r="N184" s="95" t="str">
        <x:v>P1</x:v>
      </x:c>
      <x:c r="O184" s="95" t="str">
        <x:v>https://www.science.org/doi/10.1126/science.adk9227</x:v>
      </x:c>
      <x:c r="P184" s="96" t="str">
        <x:v>待评审</x:v>
      </x:c>
    </x:row>
    <x:row r="185">
      <x:c r="A185" s="94" t="str">
        <x:v>T0181</x:v>
      </x:c>
      <x:c r="B185" s="95" t="str">
        <x:v>实验执行与具身自动化</x:v>
      </x:c>
      <x:c r="C185" s="95" t="str">
        <x:v>移动机器人、物流与多机器人</x:v>
      </x:c>
      <x:c r="D185" s="95" t="str">
        <x:v>当前低优先</x:v>
      </x:c>
      <x:c r="E185" s="100" t="n">
        <x:v>1</x:v>
      </x:c>
      <x:c r="F185" s="95" t="str">
        <x:v>两线共用</x:v>
      </x:c>
      <x:c r="G185" s="95" t="str">
        <x:v>G 实验执行自动化</x:v>
      </x:c>
      <x:c r="H185" s="95" t="str">
        <x:v>条码/RFID追踪</x:v>
      </x:c>
      <x:c r="I185" s="95" t="str">
        <x:v>支持无人值守物流；当前对单一EIS入口贡献较低。</x:v>
      </x:c>
      <x:c r="J185" s="95" t="str">
        <x:v>仅围绕制膜、装夹、调理和EIS操作的真实瓶颈逐步自动化。</x:v>
      </x:c>
      <x:c r="K185" s="95" t="str">
        <x:v>可直接支撑当前EIS-only闭环。</x:v>
      </x:c>
      <x:c r="L185" s="95" t="str">
        <x:v>暂缓</x:v>
      </x:c>
      <x:c r="M185" s="95" t="str">
        <x:v>当前不投入</x:v>
      </x:c>
      <x:c r="N185" s="95" t="str">
        <x:v>P1</x:v>
      </x:c>
      <x:c r="O185" s="95" t="str">
        <x:v>https://www.nature.com/articles/s41586-020-2442-2</x:v>
      </x:c>
      <x:c r="P185" s="96" t="str">
        <x:v>待评审</x:v>
      </x:c>
    </x:row>
    <x:row r="186">
      <x:c r="A186" s="94" t="str">
        <x:v>T0182</x:v>
      </x:c>
      <x:c r="B186" s="95" t="str">
        <x:v>实验执行与具身自动化</x:v>
      </x:c>
      <x:c r="C186" s="95" t="str">
        <x:v>移动机器人、物流与多机器人</x:v>
      </x:c>
      <x:c r="D186" s="95" t="str">
        <x:v>当前低优先</x:v>
      </x:c>
      <x:c r="E186" s="100" t="n">
        <x:v>1</x:v>
      </x:c>
      <x:c r="F186" s="95" t="str">
        <x:v>两线共用</x:v>
      </x:c>
      <x:c r="G186" s="95" t="str">
        <x:v>G 实验执行自动化</x:v>
      </x:c>
      <x:c r="H186" s="95" t="str">
        <x:v>机器可读库位</x:v>
      </x:c>
      <x:c r="I186" s="95" t="str">
        <x:v>支持无人值守物流；当前对单一EIS入口贡献较低。</x:v>
      </x:c>
      <x:c r="J186" s="95" t="str">
        <x:v>仅围绕制膜、装夹、调理和EIS操作的真实瓶颈逐步自动化。</x:v>
      </x:c>
      <x:c r="K186" s="95" t="str">
        <x:v>可直接支撑当前EIS-only闭环。</x:v>
      </x:c>
      <x:c r="L186" s="95" t="str">
        <x:v>暂缓</x:v>
      </x:c>
      <x:c r="M186" s="95" t="str">
        <x:v>当前不投入</x:v>
      </x:c>
      <x:c r="N186" s="95" t="str">
        <x:v>P1</x:v>
      </x:c>
      <x:c r="O186" s="95" t="str">
        <x:v>https://www.nature.com/articles/s41586-024-08173-7</x:v>
      </x:c>
      <x:c r="P186" s="96" t="str">
        <x:v>待评审</x:v>
      </x:c>
    </x:row>
    <x:row r="187">
      <x:c r="A187" s="94" t="str">
        <x:v>T0183</x:v>
      </x:c>
      <x:c r="B187" s="95" t="str">
        <x:v>实验执行与具身自动化</x:v>
      </x:c>
      <x:c r="C187" s="95" t="str">
        <x:v>移动机器人、物流与多机器人</x:v>
      </x:c>
      <x:c r="D187" s="95" t="str">
        <x:v>当前低优先</x:v>
      </x:c>
      <x:c r="E187" s="100" t="n">
        <x:v>1</x:v>
      </x:c>
      <x:c r="F187" s="95" t="str">
        <x:v>两线共用</x:v>
      </x:c>
      <x:c r="G187" s="95" t="str">
        <x:v>G 实验执行自动化</x:v>
      </x:c>
      <x:c r="H187" s="95" t="str">
        <x:v>移动操作一体化</x:v>
      </x:c>
      <x:c r="I187" s="95" t="str">
        <x:v>支持无人值守物流；当前对单一EIS入口贡献较低。</x:v>
      </x:c>
      <x:c r="J187" s="95" t="str">
        <x:v>仅围绕制膜、装夹、调理和EIS操作的真实瓶颈逐步自动化。</x:v>
      </x:c>
      <x:c r="K187" s="95" t="str">
        <x:v>可直接支撑当前EIS-only闭环。</x:v>
      </x:c>
      <x:c r="L187" s="95" t="str">
        <x:v>暂缓</x:v>
      </x:c>
      <x:c r="M187" s="95" t="str">
        <x:v>当前不投入</x:v>
      </x:c>
      <x:c r="N187" s="95" t="str">
        <x:v>P1</x:v>
      </x:c>
      <x:c r="O187" s="95" t="str">
        <x:v>https://pubs.rsc.org/en/content/articlehtml/2024/sc/d3sc06206f</x:v>
      </x:c>
      <x:c r="P187" s="96" t="str">
        <x:v>待评审</x:v>
      </x:c>
    </x:row>
    <x:row r="188">
      <x:c r="A188" s="94" t="str">
        <x:v>T0184</x:v>
      </x:c>
      <x:c r="B188" s="95" t="str">
        <x:v>实验执行与具身自动化</x:v>
      </x:c>
      <x:c r="C188" s="95" t="str">
        <x:v>移动机器人、物流与多机器人</x:v>
      </x:c>
      <x:c r="D188" s="95" t="str">
        <x:v>当前低优先</x:v>
      </x:c>
      <x:c r="E188" s="100" t="n">
        <x:v>1</x:v>
      </x:c>
      <x:c r="F188" s="95" t="str">
        <x:v>两线共用</x:v>
      </x:c>
      <x:c r="G188" s="95" t="str">
        <x:v>G 实验执行自动化</x:v>
      </x:c>
      <x:c r="H188" s="95" t="str">
        <x:v>机器人交接协议</x:v>
      </x:c>
      <x:c r="I188" s="95" t="str">
        <x:v>支持无人值守物流；当前对单一EIS入口贡献较低。</x:v>
      </x:c>
      <x:c r="J188" s="95" t="str">
        <x:v>仅围绕制膜、装夹、调理和EIS操作的真实瓶颈逐步自动化。</x:v>
      </x:c>
      <x:c r="K188" s="95" t="str">
        <x:v>可直接支撑当前EIS-only闭环。</x:v>
      </x:c>
      <x:c r="L188" s="95" t="str">
        <x:v>暂缓</x:v>
      </x:c>
      <x:c r="M188" s="95" t="str">
        <x:v>当前不投入</x:v>
      </x:c>
      <x:c r="N188" s="95" t="str">
        <x:v>P1</x:v>
      </x:c>
      <x:c r="O188" s="95" t="str">
        <x:v>https://www.science.org/doi/10.1126/science.adk9227</x:v>
      </x:c>
      <x:c r="P188" s="96" t="str">
        <x:v>待评审</x:v>
      </x:c>
    </x:row>
    <x:row r="189">
      <x:c r="A189" s="94" t="str">
        <x:v>T0185</x:v>
      </x:c>
      <x:c r="B189" s="95" t="str">
        <x:v>实验执行与具身自动化</x:v>
      </x:c>
      <x:c r="C189" s="95" t="str">
        <x:v>移动机器人、物流与多机器人</x:v>
      </x:c>
      <x:c r="D189" s="95" t="str">
        <x:v>当前低优先</x:v>
      </x:c>
      <x:c r="E189" s="100" t="n">
        <x:v>1</x:v>
      </x:c>
      <x:c r="F189" s="95" t="str">
        <x:v>两线共用</x:v>
      </x:c>
      <x:c r="G189" s="95" t="str">
        <x:v>G 实验执行自动化</x:v>
      </x:c>
      <x:c r="H189" s="95" t="str">
        <x:v>传送带集成</x:v>
      </x:c>
      <x:c r="I189" s="95" t="str">
        <x:v>支持无人值守物流；当前对单一EIS入口贡献较低。</x:v>
      </x:c>
      <x:c r="J189" s="95" t="str">
        <x:v>仅围绕制膜、装夹、调理和EIS操作的真实瓶颈逐步自动化。</x:v>
      </x:c>
      <x:c r="K189" s="95" t="str">
        <x:v>可直接支撑当前EIS-only闭环。</x:v>
      </x:c>
      <x:c r="L189" s="95" t="str">
        <x:v>暂缓</x:v>
      </x:c>
      <x:c r="M189" s="95" t="str">
        <x:v>当前不投入</x:v>
      </x:c>
      <x:c r="N189" s="95" t="str">
        <x:v>P1</x:v>
      </x:c>
      <x:c r="O189" s="95" t="str">
        <x:v>https://www.nature.com/articles/s41586-020-2442-2</x:v>
      </x:c>
      <x:c r="P189" s="96" t="str">
        <x:v>待评审</x:v>
      </x:c>
    </x:row>
    <x:row r="190">
      <x:c r="A190" s="94" t="str">
        <x:v>T0186</x:v>
      </x:c>
      <x:c r="B190" s="95" t="str">
        <x:v>实验执行与具身自动化</x:v>
      </x:c>
      <x:c r="C190" s="95" t="str">
        <x:v>移动机器人、物流与多机器人</x:v>
      </x:c>
      <x:c r="D190" s="95" t="str">
        <x:v>当前低优先</x:v>
      </x:c>
      <x:c r="E190" s="100" t="n">
        <x:v>1</x:v>
      </x:c>
      <x:c r="F190" s="95" t="str">
        <x:v>两线共用</x:v>
      </x:c>
      <x:c r="G190" s="95" t="str">
        <x:v>G 实验执行自动化</x:v>
      </x:c>
      <x:c r="H190" s="95" t="str">
        <x:v>气动传输</x:v>
      </x:c>
      <x:c r="I190" s="95" t="str">
        <x:v>支持无人值守物流；当前对单一EIS入口贡献较低。</x:v>
      </x:c>
      <x:c r="J190" s="95" t="str">
        <x:v>仅围绕制膜、装夹、调理和EIS操作的真实瓶颈逐步自动化。</x:v>
      </x:c>
      <x:c r="K190" s="95" t="str">
        <x:v>可直接支撑当前EIS-only闭环。</x:v>
      </x:c>
      <x:c r="L190" s="95" t="str">
        <x:v>暂缓</x:v>
      </x:c>
      <x:c r="M190" s="95" t="str">
        <x:v>当前不投入</x:v>
      </x:c>
      <x:c r="N190" s="95" t="str">
        <x:v>P1</x:v>
      </x:c>
      <x:c r="O190" s="95" t="str">
        <x:v>https://www.nature.com/articles/s41586-024-08173-7</x:v>
      </x:c>
      <x:c r="P190" s="96" t="str">
        <x:v>待评审</x:v>
      </x:c>
    </x:row>
    <x:row r="191">
      <x:c r="A191" s="94" t="str">
        <x:v>T0187</x:v>
      </x:c>
      <x:c r="B191" s="95" t="str">
        <x:v>实验执行与具身自动化</x:v>
      </x:c>
      <x:c r="C191" s="95" t="str">
        <x:v>移动机器人、物流与多机器人</x:v>
      </x:c>
      <x:c r="D191" s="95" t="str">
        <x:v>当前低优先</x:v>
      </x:c>
      <x:c r="E191" s="100" t="n">
        <x:v>1</x:v>
      </x:c>
      <x:c r="F191" s="95" t="str">
        <x:v>两线共用</x:v>
      </x:c>
      <x:c r="G191" s="95" t="str">
        <x:v>G 实验执行自动化</x:v>
      </x:c>
      <x:c r="H191" s="95" t="str">
        <x:v>冷链物流</x:v>
      </x:c>
      <x:c r="I191" s="95" t="str">
        <x:v>支持无人值守物流；当前对单一EIS入口贡献较低。</x:v>
      </x:c>
      <x:c r="J191" s="95" t="str">
        <x:v>仅围绕制膜、装夹、调理和EIS操作的真实瓶颈逐步自动化。</x:v>
      </x:c>
      <x:c r="K191" s="95" t="str">
        <x:v>可直接支撑当前EIS-only闭环。</x:v>
      </x:c>
      <x:c r="L191" s="95" t="str">
        <x:v>暂缓</x:v>
      </x:c>
      <x:c r="M191" s="95" t="str">
        <x:v>当前不投入</x:v>
      </x:c>
      <x:c r="N191" s="95" t="str">
        <x:v>P1</x:v>
      </x:c>
      <x:c r="O191" s="95" t="str">
        <x:v>https://pubs.rsc.org/en/content/articlehtml/2024/sc/d3sc06206f</x:v>
      </x:c>
      <x:c r="P191" s="96" t="str">
        <x:v>待评审</x:v>
      </x:c>
    </x:row>
    <x:row r="192">
      <x:c r="A192" s="94" t="str">
        <x:v>T0188</x:v>
      </x:c>
      <x:c r="B192" s="95" t="str">
        <x:v>实验执行与具身自动化</x:v>
      </x:c>
      <x:c r="C192" s="95" t="str">
        <x:v>移动机器人、物流与多机器人</x:v>
      </x:c>
      <x:c r="D192" s="95" t="str">
        <x:v>当前低优先</x:v>
      </x:c>
      <x:c r="E192" s="100" t="n">
        <x:v>1</x:v>
      </x:c>
      <x:c r="F192" s="95" t="str">
        <x:v>两线共用</x:v>
      </x:c>
      <x:c r="G192" s="95" t="str">
        <x:v>G 实验执行自动化</x:v>
      </x:c>
      <x:c r="H192" s="95" t="str">
        <x:v>危险品运输</x:v>
      </x:c>
      <x:c r="I192" s="95" t="str">
        <x:v>支持无人值守物流；当前对单一EIS入口贡献较低。</x:v>
      </x:c>
      <x:c r="J192" s="95" t="str">
        <x:v>仅围绕制膜、装夹、调理和EIS操作的真实瓶颈逐步自动化。</x:v>
      </x:c>
      <x:c r="K192" s="95" t="str">
        <x:v>可直接支撑当前EIS-only闭环。</x:v>
      </x:c>
      <x:c r="L192" s="95" t="str">
        <x:v>暂缓</x:v>
      </x:c>
      <x:c r="M192" s="95" t="str">
        <x:v>当前不投入</x:v>
      </x:c>
      <x:c r="N192" s="95" t="str">
        <x:v>P1</x:v>
      </x:c>
      <x:c r="O192" s="95" t="str">
        <x:v>https://www.science.org/doi/10.1126/science.adk9227</x:v>
      </x:c>
      <x:c r="P192" s="96" t="str">
        <x:v>待评审</x:v>
      </x:c>
    </x:row>
    <x:row r="193">
      <x:c r="A193" s="94" t="str">
        <x:v>T0189</x:v>
      </x:c>
      <x:c r="B193" s="95" t="str">
        <x:v>实验执行与具身自动化</x:v>
      </x:c>
      <x:c r="C193" s="95" t="str">
        <x:v>移动机器人、物流与多机器人</x:v>
      </x:c>
      <x:c r="D193" s="95" t="str">
        <x:v>当前低优先</x:v>
      </x:c>
      <x:c r="E193" s="100" t="n">
        <x:v>1</x:v>
      </x:c>
      <x:c r="F193" s="95" t="str">
        <x:v>两线共用</x:v>
      </x:c>
      <x:c r="G193" s="95" t="str">
        <x:v>G 实验执行自动化</x:v>
      </x:c>
      <x:c r="H193" s="95" t="str">
        <x:v>泄漏二次围护</x:v>
      </x:c>
      <x:c r="I193" s="95" t="str">
        <x:v>支持无人值守物流；当前对单一EIS入口贡献较低。</x:v>
      </x:c>
      <x:c r="J193" s="95" t="str">
        <x:v>仅围绕制膜、装夹、调理和EIS操作的真实瓶颈逐步自动化。</x:v>
      </x:c>
      <x:c r="K193" s="95" t="str">
        <x:v>可直接支撑当前EIS-only闭环。</x:v>
      </x:c>
      <x:c r="L193" s="95" t="str">
        <x:v>暂缓</x:v>
      </x:c>
      <x:c r="M193" s="95" t="str">
        <x:v>当前不投入</x:v>
      </x:c>
      <x:c r="N193" s="95" t="str">
        <x:v>P2</x:v>
      </x:c>
      <x:c r="O193" s="95" t="str">
        <x:v>https://www.nature.com/articles/s41586-020-2442-2</x:v>
      </x:c>
      <x:c r="P193" s="96" t="str">
        <x:v>待评审</x:v>
      </x:c>
    </x:row>
    <x:row r="194">
      <x:c r="A194" s="94" t="str">
        <x:v>T0190</x:v>
      </x:c>
      <x:c r="B194" s="95" t="str">
        <x:v>实验执行与具身自动化</x:v>
      </x:c>
      <x:c r="C194" s="95" t="str">
        <x:v>移动机器人、物流与多机器人</x:v>
      </x:c>
      <x:c r="D194" s="95" t="str">
        <x:v>当前低优先</x:v>
      </x:c>
      <x:c r="E194" s="100" t="n">
        <x:v>1</x:v>
      </x:c>
      <x:c r="F194" s="95" t="str">
        <x:v>两线共用</x:v>
      </x:c>
      <x:c r="G194" s="95" t="str">
        <x:v>G 实验执行自动化</x:v>
      </x:c>
      <x:c r="H194" s="95" t="str">
        <x:v>负载稳定性</x:v>
      </x:c>
      <x:c r="I194" s="95" t="str">
        <x:v>支持无人值守物流；当前对单一EIS入口贡献较低。</x:v>
      </x:c>
      <x:c r="J194" s="95" t="str">
        <x:v>仅围绕制膜、装夹、调理和EIS操作的真实瓶颈逐步自动化。</x:v>
      </x:c>
      <x:c r="K194" s="95" t="str">
        <x:v>可直接支撑当前EIS-only闭环。</x:v>
      </x:c>
      <x:c r="L194" s="95" t="str">
        <x:v>暂缓</x:v>
      </x:c>
      <x:c r="M194" s="95" t="str">
        <x:v>当前不投入</x:v>
      </x:c>
      <x:c r="N194" s="95" t="str">
        <x:v>P2</x:v>
      </x:c>
      <x:c r="O194" s="95" t="str">
        <x:v>https://www.nature.com/articles/s41586-024-08173-7</x:v>
      </x:c>
      <x:c r="P194" s="96" t="str">
        <x:v>待评审</x:v>
      </x:c>
    </x:row>
    <x:row r="195">
      <x:c r="A195" s="94" t="str">
        <x:v>T0191</x:v>
      </x:c>
      <x:c r="B195" s="95" t="str">
        <x:v>实验执行与具身自动化</x:v>
      </x:c>
      <x:c r="C195" s="95" t="str">
        <x:v>移动机器人、物流与多机器人</x:v>
      </x:c>
      <x:c r="D195" s="95" t="str">
        <x:v>当前低优先</x:v>
      </x:c>
      <x:c r="E195" s="100" t="n">
        <x:v>1</x:v>
      </x:c>
      <x:c r="F195" s="95" t="str">
        <x:v>两线共用</x:v>
      </x:c>
      <x:c r="G195" s="95" t="str">
        <x:v>G 实验执行自动化</x:v>
      </x:c>
      <x:c r="H195" s="95" t="str">
        <x:v>振动限值</x:v>
      </x:c>
      <x:c r="I195" s="95" t="str">
        <x:v>支持无人值守物流；当前对单一EIS入口贡献较低。</x:v>
      </x:c>
      <x:c r="J195" s="95" t="str">
        <x:v>仅围绕制膜、装夹、调理和EIS操作的真实瓶颈逐步自动化。</x:v>
      </x:c>
      <x:c r="K195" s="95" t="str">
        <x:v>可直接支撑当前EIS-only闭环。</x:v>
      </x:c>
      <x:c r="L195" s="95" t="str">
        <x:v>暂缓</x:v>
      </x:c>
      <x:c r="M195" s="95" t="str">
        <x:v>当前不投入</x:v>
      </x:c>
      <x:c r="N195" s="95" t="str">
        <x:v>P2</x:v>
      </x:c>
      <x:c r="O195" s="95" t="str">
        <x:v>https://pubs.rsc.org/en/content/articlehtml/2024/sc/d3sc06206f</x:v>
      </x:c>
      <x:c r="P195" s="96" t="str">
        <x:v>待评审</x:v>
      </x:c>
    </x:row>
    <x:row r="196">
      <x:c r="A196" s="94" t="str">
        <x:v>T0192</x:v>
      </x:c>
      <x:c r="B196" s="95" t="str">
        <x:v>实验执行与具身自动化</x:v>
      </x:c>
      <x:c r="C196" s="95" t="str">
        <x:v>移动机器人、物流与多机器人</x:v>
      </x:c>
      <x:c r="D196" s="95" t="str">
        <x:v>当前低优先</x:v>
      </x:c>
      <x:c r="E196" s="100" t="n">
        <x:v>1</x:v>
      </x:c>
      <x:c r="F196" s="95" t="str">
        <x:v>两线共用</x:v>
      </x:c>
      <x:c r="G196" s="95" t="str">
        <x:v>G 实验执行自动化</x:v>
      </x:c>
      <x:c r="H196" s="95" t="str">
        <x:v>路线风险评分</x:v>
      </x:c>
      <x:c r="I196" s="95" t="str">
        <x:v>支持无人值守物流；当前对单一EIS入口贡献较低。</x:v>
      </x:c>
      <x:c r="J196" s="95" t="str">
        <x:v>仅围绕制膜、装夹、调理和EIS操作的真实瓶颈逐步自动化。</x:v>
      </x:c>
      <x:c r="K196" s="95" t="str">
        <x:v>可直接支撑当前EIS-only闭环。</x:v>
      </x:c>
      <x:c r="L196" s="95" t="str">
        <x:v>暂缓</x:v>
      </x:c>
      <x:c r="M196" s="95" t="str">
        <x:v>当前不投入</x:v>
      </x:c>
      <x:c r="N196" s="95" t="str">
        <x:v>P2</x:v>
      </x:c>
      <x:c r="O196" s="95" t="str">
        <x:v>https://www.science.org/doi/10.1126/science.adk9227</x:v>
      </x:c>
      <x:c r="P196" s="96" t="str">
        <x:v>待评审</x:v>
      </x:c>
    </x:row>
    <x:row r="197">
      <x:c r="A197" s="94" t="str">
        <x:v>T0193</x:v>
      </x:c>
      <x:c r="B197" s="95" t="str">
        <x:v>实验执行与具身自动化</x:v>
      </x:c>
      <x:c r="C197" s="95" t="str">
        <x:v>移动机器人、物流与多机器人</x:v>
      </x:c>
      <x:c r="D197" s="95" t="str">
        <x:v>当前低优先</x:v>
      </x:c>
      <x:c r="E197" s="100" t="n">
        <x:v>1</x:v>
      </x:c>
      <x:c r="F197" s="95" t="str">
        <x:v>两线共用</x:v>
      </x:c>
      <x:c r="G197" s="95" t="str">
        <x:v>G 实验执行自动化</x:v>
      </x:c>
      <x:c r="H197" s="95" t="str">
        <x:v>时间窗调度</x:v>
      </x:c>
      <x:c r="I197" s="95" t="str">
        <x:v>支持无人值守物流；当前对单一EIS入口贡献较低。</x:v>
      </x:c>
      <x:c r="J197" s="95" t="str">
        <x:v>仅围绕制膜、装夹、调理和EIS操作的真实瓶颈逐步自动化。</x:v>
      </x:c>
      <x:c r="K197" s="95" t="str">
        <x:v>可直接支撑当前EIS-only闭环。</x:v>
      </x:c>
      <x:c r="L197" s="95" t="str">
        <x:v>暂缓</x:v>
      </x:c>
      <x:c r="M197" s="95" t="str">
        <x:v>当前不投入</x:v>
      </x:c>
      <x:c r="N197" s="95" t="str">
        <x:v>P2</x:v>
      </x:c>
      <x:c r="O197" s="95" t="str">
        <x:v>https://www.nature.com/articles/s41586-020-2442-2</x:v>
      </x:c>
      <x:c r="P197" s="96" t="str">
        <x:v>待评审</x:v>
      </x:c>
    </x:row>
    <x:row r="198">
      <x:c r="A198" s="94" t="str">
        <x:v>T0194</x:v>
      </x:c>
      <x:c r="B198" s="95" t="str">
        <x:v>实验执行与具身自动化</x:v>
      </x:c>
      <x:c r="C198" s="95" t="str">
        <x:v>移动机器人、物流与多机器人</x:v>
      </x:c>
      <x:c r="D198" s="95" t="str">
        <x:v>当前低优先</x:v>
      </x:c>
      <x:c r="E198" s="100" t="n">
        <x:v>2</x:v>
      </x:c>
      <x:c r="F198" s="95" t="str">
        <x:v>两线共用</x:v>
      </x:c>
      <x:c r="G198" s="95" t="str">
        <x:v>G 实验执行自动化</x:v>
      </x:c>
      <x:c r="H198" s="95" t="str">
        <x:v>人机共域</x:v>
      </x:c>
      <x:c r="I198" s="95" t="str">
        <x:v>支持无人值守物流；当前对单一EIS入口贡献较低。</x:v>
      </x:c>
      <x:c r="J198" s="95" t="str">
        <x:v>仅围绕制膜、装夹、调理和EIS操作的真实瓶颈逐步自动化。</x:v>
      </x:c>
      <x:c r="K198" s="95" t="str">
        <x:v>可直接支撑当前EIS-only闭环。</x:v>
      </x:c>
      <x:c r="L198" s="95" t="str">
        <x:v>暂缓</x:v>
      </x:c>
      <x:c r="M198" s="95" t="str">
        <x:v>当前不投入</x:v>
      </x:c>
      <x:c r="N198" s="95" t="str">
        <x:v>P2</x:v>
      </x:c>
      <x:c r="O198" s="95" t="str">
        <x:v>https://www.nature.com/articles/s41586-024-08173-7</x:v>
      </x:c>
      <x:c r="P198" s="96" t="str">
        <x:v>待评审</x:v>
      </x:c>
    </x:row>
    <x:row r="199">
      <x:c r="A199" s="94" t="str">
        <x:v>T0195</x:v>
      </x:c>
      <x:c r="B199" s="95" t="str">
        <x:v>实验执行与具身自动化</x:v>
      </x:c>
      <x:c r="C199" s="95" t="str">
        <x:v>移动机器人、物流与多机器人</x:v>
      </x:c>
      <x:c r="D199" s="95" t="str">
        <x:v>当前低优先</x:v>
      </x:c>
      <x:c r="E199" s="100" t="n">
        <x:v>1</x:v>
      </x:c>
      <x:c r="F199" s="95" t="str">
        <x:v>两线共用</x:v>
      </x:c>
      <x:c r="G199" s="95" t="str">
        <x:v>G 实验执行自动化</x:v>
      </x:c>
      <x:c r="H199" s="95" t="str">
        <x:v>地理围栏</x:v>
      </x:c>
      <x:c r="I199" s="95" t="str">
        <x:v>支持无人值守物流；当前对单一EIS入口贡献较低。</x:v>
      </x:c>
      <x:c r="J199" s="95" t="str">
        <x:v>仅围绕制膜、装夹、调理和EIS操作的真实瓶颈逐步自动化。</x:v>
      </x:c>
      <x:c r="K199" s="95" t="str">
        <x:v>可直接支撑当前EIS-only闭环。</x:v>
      </x:c>
      <x:c r="L199" s="95" t="str">
        <x:v>暂缓</x:v>
      </x:c>
      <x:c r="M199" s="95" t="str">
        <x:v>当前不投入</x:v>
      </x:c>
      <x:c r="N199" s="95" t="str">
        <x:v>P2</x:v>
      </x:c>
      <x:c r="O199" s="95" t="str">
        <x:v>https://pubs.rsc.org/en/content/articlehtml/2024/sc/d3sc06206f</x:v>
      </x:c>
      <x:c r="P199" s="96" t="str">
        <x:v>待评审</x:v>
      </x:c>
    </x:row>
    <x:row r="200">
      <x:c r="A200" s="94" t="str">
        <x:v>T0196</x:v>
      </x:c>
      <x:c r="B200" s="95" t="str">
        <x:v>实验执行与具身自动化</x:v>
      </x:c>
      <x:c r="C200" s="95" t="str">
        <x:v>移动机器人、物流与多机器人</x:v>
      </x:c>
      <x:c r="D200" s="95" t="str">
        <x:v>当前低优先</x:v>
      </x:c>
      <x:c r="E200" s="100" t="n">
        <x:v>1</x:v>
      </x:c>
      <x:c r="F200" s="95" t="str">
        <x:v>两线共用</x:v>
      </x:c>
      <x:c r="G200" s="95" t="str">
        <x:v>G 实验执行自动化</x:v>
      </x:c>
      <x:c r="H200" s="95" t="str">
        <x:v>区域访问控制</x:v>
      </x:c>
      <x:c r="I200" s="95" t="str">
        <x:v>支持无人值守物流；当前对单一EIS入口贡献较低。</x:v>
      </x:c>
      <x:c r="J200" s="95" t="str">
        <x:v>仅围绕制膜、装夹、调理和EIS操作的真实瓶颈逐步自动化。</x:v>
      </x:c>
      <x:c r="K200" s="95" t="str">
        <x:v>可直接支撑当前EIS-only闭环。</x:v>
      </x:c>
      <x:c r="L200" s="95" t="str">
        <x:v>暂缓</x:v>
      </x:c>
      <x:c r="M200" s="95" t="str">
        <x:v>当前不投入</x:v>
      </x:c>
      <x:c r="N200" s="95" t="str">
        <x:v>P2</x:v>
      </x:c>
      <x:c r="O200" s="95" t="str">
        <x:v>https://www.science.org/doi/10.1126/science.adk9227</x:v>
      </x:c>
      <x:c r="P200" s="96" t="str">
        <x:v>待评审</x:v>
      </x:c>
    </x:row>
    <x:row r="201">
      <x:c r="A201" s="94" t="str">
        <x:v>T0197</x:v>
      </x:c>
      <x:c r="B201" s="95" t="str">
        <x:v>实验执行与具身自动化</x:v>
      </x:c>
      <x:c r="C201" s="95" t="str">
        <x:v>移动机器人、物流与多机器人</x:v>
      </x:c>
      <x:c r="D201" s="95" t="str">
        <x:v>当前低优先</x:v>
      </x:c>
      <x:c r="E201" s="100" t="n">
        <x:v>1</x:v>
      </x:c>
      <x:c r="F201" s="95" t="str">
        <x:v>两线共用</x:v>
      </x:c>
      <x:c r="G201" s="95" t="str">
        <x:v>G 实验执行自动化</x:v>
      </x:c>
      <x:c r="H201" s="95" t="str">
        <x:v>远程遥操作</x:v>
      </x:c>
      <x:c r="I201" s="95" t="str">
        <x:v>支持无人值守物流；当前对单一EIS入口贡献较低。</x:v>
      </x:c>
      <x:c r="J201" s="95" t="str">
        <x:v>仅围绕制膜、装夹、调理和EIS操作的真实瓶颈逐步自动化。</x:v>
      </x:c>
      <x:c r="K201" s="95" t="str">
        <x:v>可直接支撑当前EIS-only闭环。</x:v>
      </x:c>
      <x:c r="L201" s="95" t="str">
        <x:v>暂缓</x:v>
      </x:c>
      <x:c r="M201" s="95" t="str">
        <x:v>当前不投入</x:v>
      </x:c>
      <x:c r="N201" s="95" t="str">
        <x:v>P2</x:v>
      </x:c>
      <x:c r="O201" s="95" t="str">
        <x:v>https://www.nature.com/articles/s41586-020-2442-2</x:v>
      </x:c>
      <x:c r="P201" s="96" t="str">
        <x:v>待评审</x:v>
      </x:c>
    </x:row>
    <x:row r="202">
      <x:c r="A202" s="94" t="str">
        <x:v>T0198</x:v>
      </x:c>
      <x:c r="B202" s="95" t="str">
        <x:v>实验执行与具身自动化</x:v>
      </x:c>
      <x:c r="C202" s="95" t="str">
        <x:v>移动机器人、物流与多机器人</x:v>
      </x:c>
      <x:c r="D202" s="95" t="str">
        <x:v>当前低优先</x:v>
      </x:c>
      <x:c r="E202" s="100" t="n">
        <x:v>1</x:v>
      </x:c>
      <x:c r="F202" s="95" t="str">
        <x:v>两线共用</x:v>
      </x:c>
      <x:c r="G202" s="95" t="str">
        <x:v>G 实验执行自动化</x:v>
      </x:c>
      <x:c r="H202" s="95" t="str">
        <x:v>救援机器人</x:v>
      </x:c>
      <x:c r="I202" s="95" t="str">
        <x:v>支持无人值守物流；当前对单一EIS入口贡献较低。</x:v>
      </x:c>
      <x:c r="J202" s="95" t="str">
        <x:v>仅围绕制膜、装夹、调理和EIS操作的真实瓶颈逐步自动化。</x:v>
      </x:c>
      <x:c r="K202" s="95" t="str">
        <x:v>可直接支撑当前EIS-only闭环。</x:v>
      </x:c>
      <x:c r="L202" s="95" t="str">
        <x:v>暂缓</x:v>
      </x:c>
      <x:c r="M202" s="95" t="str">
        <x:v>当前不投入</x:v>
      </x:c>
      <x:c r="N202" s="95" t="str">
        <x:v>P2</x:v>
      </x:c>
      <x:c r="O202" s="95" t="str">
        <x:v>https://www.nature.com/articles/s41586-024-08173-7</x:v>
      </x:c>
      <x:c r="P202" s="96" t="str">
        <x:v>待评审</x:v>
      </x:c>
    </x:row>
    <x:row r="203">
      <x:c r="A203" s="94" t="str">
        <x:v>T0199</x:v>
      </x:c>
      <x:c r="B203" s="95" t="str">
        <x:v>实验执行与具身自动化</x:v>
      </x:c>
      <x:c r="C203" s="95" t="str">
        <x:v>移动机器人、物流与多机器人</x:v>
      </x:c>
      <x:c r="D203" s="95" t="str">
        <x:v>当前低优先</x:v>
      </x:c>
      <x:c r="E203" s="100" t="n">
        <x:v>1</x:v>
      </x:c>
      <x:c r="F203" s="95" t="str">
        <x:v>两线共用</x:v>
      </x:c>
      <x:c r="G203" s="95" t="str">
        <x:v>G 实验执行自动化</x:v>
      </x:c>
      <x:c r="H203" s="95" t="str">
        <x:v>群体冗余</x:v>
      </x:c>
      <x:c r="I203" s="95" t="str">
        <x:v>支持无人值守物流；当前对单一EIS入口贡献较低。</x:v>
      </x:c>
      <x:c r="J203" s="95" t="str">
        <x:v>仅围绕制膜、装夹、调理和EIS操作的真实瓶颈逐步自动化。</x:v>
      </x:c>
      <x:c r="K203" s="95" t="str">
        <x:v>可直接支撑当前EIS-only闭环。</x:v>
      </x:c>
      <x:c r="L203" s="95" t="str">
        <x:v>暂缓</x:v>
      </x:c>
      <x:c r="M203" s="95" t="str">
        <x:v>当前不投入</x:v>
      </x:c>
      <x:c r="N203" s="95" t="str">
        <x:v>P2</x:v>
      </x:c>
      <x:c r="O203" s="95" t="str">
        <x:v>https://pubs.rsc.org/en/content/articlehtml/2024/sc/d3sc06206f</x:v>
      </x:c>
      <x:c r="P203" s="96" t="str">
        <x:v>待评审</x:v>
      </x:c>
    </x:row>
    <x:row r="204">
      <x:c r="A204" s="94" t="str">
        <x:v>T0200</x:v>
      </x:c>
      <x:c r="B204" s="95" t="str">
        <x:v>实验执行与具身自动化</x:v>
      </x:c>
      <x:c r="C204" s="95" t="str">
        <x:v>移动机器人、物流与多机器人</x:v>
      </x:c>
      <x:c r="D204" s="95" t="str">
        <x:v>当前低优先</x:v>
      </x:c>
      <x:c r="E204" s="100" t="n">
        <x:v>1</x:v>
      </x:c>
      <x:c r="F204" s="95" t="str">
        <x:v>两线共用</x:v>
      </x:c>
      <x:c r="G204" s="95" t="str">
        <x:v>G 实验执行自动化</x:v>
      </x:c>
      <x:c r="H204" s="95" t="str">
        <x:v>分布式实验物流</x:v>
      </x:c>
      <x:c r="I204" s="95" t="str">
        <x:v>支持无人值守物流；当前对单一EIS入口贡献较低。</x:v>
      </x:c>
      <x:c r="J204" s="95" t="str">
        <x:v>仅围绕制膜、装夹、调理和EIS操作的真实瓶颈逐步自动化。</x:v>
      </x:c>
      <x:c r="K204" s="95" t="str">
        <x:v>可直接支撑当前EIS-only闭环。</x:v>
      </x:c>
      <x:c r="L204" s="95" t="str">
        <x:v>暂缓</x:v>
      </x:c>
      <x:c r="M204" s="95" t="str">
        <x:v>当前不投入</x:v>
      </x:c>
      <x:c r="N204" s="95" t="str">
        <x:v>P2</x:v>
      </x:c>
      <x:c r="O204" s="95" t="str">
        <x:v>https://www.science.org/doi/10.1126/science.adk9227</x:v>
      </x:c>
      <x:c r="P204" s="96" t="str">
        <x:v>待评审</x:v>
      </x:c>
    </x:row>
    <x:row r="205">
      <x:c r="A205" s="94" t="str">
        <x:v>T0201</x:v>
      </x:c>
      <x:c r="B205" s="95" t="str">
        <x:v>实验执行与具身自动化</x:v>
      </x:c>
      <x:c r="C205" s="95" t="str">
        <x:v>液体处理与微流控</x:v>
      </x:c>
      <x:c r="D205" s="95" t="str">
        <x:v>当前低优先</x:v>
      </x:c>
      <x:c r="E205" s="100" t="n">
        <x:v>3</x:v>
      </x:c>
      <x:c r="F205" s="95" t="str">
        <x:v>实验执行</x:v>
      </x:c>
      <x:c r="G205" s="95" t="str">
        <x:v>G 实验执行自动化</x:v>
      </x:c>
      <x:c r="H205" s="95" t="str">
        <x:v>移液精密度</x:v>
      </x:c>
      <x:c r="I205" s="95" t="str">
        <x:v>提高酸液、浆料和调配步骤的一致性；需结合高黏体系适配。</x:v>
      </x:c>
      <x:c r="J205" s="95" t="str">
        <x:v>仅围绕制膜、装夹、调理和EIS操作的真实瓶颈逐步自动化。</x:v>
      </x:c>
      <x:c r="K205" s="95" t="str">
        <x:v>可直接支撑当前EIS-only闭环。</x:v>
      </x:c>
      <x:c r="L205" s="95" t="str">
        <x:v>暂缓</x:v>
      </x:c>
      <x:c r="M205" s="95" t="str">
        <x:v>当前不投入</x:v>
      </x:c>
      <x:c r="N205" s="95" t="str">
        <x:v>P0</x:v>
      </x:c>
      <x:c r="O205" s="95" t="str">
        <x:v>https://pubs.acs.org/doi/10.1021/acs.chemrev.4c00055</x:v>
      </x:c>
      <x:c r="P205" s="96" t="str">
        <x:v>待评审</x:v>
      </x:c>
    </x:row>
    <x:row r="206">
      <x:c r="A206" s="94" t="str">
        <x:v>T0202</x:v>
      </x:c>
      <x:c r="B206" s="95" t="str">
        <x:v>实验执行与具身自动化</x:v>
      </x:c>
      <x:c r="C206" s="95" t="str">
        <x:v>液体处理与微流控</x:v>
      </x:c>
      <x:c r="D206" s="95" t="str">
        <x:v>当前低优先</x:v>
      </x:c>
      <x:c r="E206" s="100" t="n">
        <x:v>3</x:v>
      </x:c>
      <x:c r="F206" s="95" t="str">
        <x:v>实验执行</x:v>
      </x:c>
      <x:c r="G206" s="95" t="str">
        <x:v>G 实验执行自动化</x:v>
      </x:c>
      <x:c r="H206" s="95" t="str">
        <x:v>移液准确度</x:v>
      </x:c>
      <x:c r="I206" s="95" t="str">
        <x:v>提高酸液、浆料和调配步骤的一致性；需结合高黏体系适配。</x:v>
      </x:c>
      <x:c r="J206" s="95" t="str">
        <x:v>仅围绕制膜、装夹、调理和EIS操作的真实瓶颈逐步自动化。</x:v>
      </x:c>
      <x:c r="K206" s="95" t="str">
        <x:v>可直接支撑当前EIS-only闭环。</x:v>
      </x:c>
      <x:c r="L206" s="95" t="str">
        <x:v>暂缓</x:v>
      </x:c>
      <x:c r="M206" s="95" t="str">
        <x:v>当前不投入</x:v>
      </x:c>
      <x:c r="N206" s="95" t="str">
        <x:v>P0</x:v>
      </x:c>
      <x:c r="O206" s="95" t="str">
        <x:v>https://royalsocietypublishing.org/rsos/article/12/7/250646/235354/Autonomous-self-driving-laboratories-a-review-of</x:v>
      </x:c>
      <x:c r="P206" s="96" t="str">
        <x:v>待评审</x:v>
      </x:c>
    </x:row>
    <x:row r="207">
      <x:c r="A207" s="94" t="str">
        <x:v>T0203</x:v>
      </x:c>
      <x:c r="B207" s="95" t="str">
        <x:v>实验执行与具身自动化</x:v>
      </x:c>
      <x:c r="C207" s="95" t="str">
        <x:v>液体处理与微流控</x:v>
      </x:c>
      <x:c r="D207" s="95" t="str">
        <x:v>当前低优先</x:v>
      </x:c>
      <x:c r="E207" s="100" t="n">
        <x:v>3</x:v>
      </x:c>
      <x:c r="F207" s="95" t="str">
        <x:v>实验执行</x:v>
      </x:c>
      <x:c r="G207" s="95" t="str">
        <x:v>G 实验执行自动化</x:v>
      </x:c>
      <x:c r="H207" s="95" t="str">
        <x:v>移液校准</x:v>
      </x:c>
      <x:c r="I207" s="95" t="str">
        <x:v>提高酸液、浆料和调配步骤的一致性；需结合高黏体系适配。</x:v>
      </x:c>
      <x:c r="J207" s="95" t="str">
        <x:v>仅围绕制膜、装夹、调理和EIS操作的真实瓶颈逐步自动化。</x:v>
      </x:c>
      <x:c r="K207" s="95" t="str">
        <x:v>可直接支撑当前EIS-only闭环。</x:v>
      </x:c>
      <x:c r="L207" s="95" t="str">
        <x:v>暂缓</x:v>
      </x:c>
      <x:c r="M207" s="95" t="str">
        <x:v>当前不投入</x:v>
      </x:c>
      <x:c r="N207" s="95" t="str">
        <x:v>P0</x:v>
      </x:c>
      <x:c r="O207" s="95" t="str">
        <x:v>https://www.science.org/doi/10.1126/sciadv.adj0461</x:v>
      </x:c>
      <x:c r="P207" s="96" t="str">
        <x:v>待评审</x:v>
      </x:c>
    </x:row>
    <x:row r="208">
      <x:c r="A208" s="94" t="str">
        <x:v>T0204</x:v>
      </x:c>
      <x:c r="B208" s="95" t="str">
        <x:v>实验执行与具身自动化</x:v>
      </x:c>
      <x:c r="C208" s="95" t="str">
        <x:v>液体处理与微流控</x:v>
      </x:c>
      <x:c r="D208" s="95" t="str">
        <x:v>当前低优先</x:v>
      </x:c>
      <x:c r="E208" s="100" t="n">
        <x:v>3</x:v>
      </x:c>
      <x:c r="F208" s="95" t="str">
        <x:v>实验执行</x:v>
      </x:c>
      <x:c r="G208" s="95" t="str">
        <x:v>G 实验执行自动化</x:v>
      </x:c>
      <x:c r="H208" s="95" t="str">
        <x:v>重量法校准</x:v>
      </x:c>
      <x:c r="I208" s="95" t="str">
        <x:v>提高酸液、浆料和调配步骤的一致性；需结合高黏体系适配。</x:v>
      </x:c>
      <x:c r="J208" s="95" t="str">
        <x:v>仅围绕制膜、装夹、调理和EIS操作的真实瓶颈逐步自动化。</x:v>
      </x:c>
      <x:c r="K208" s="95" t="str">
        <x:v>可直接支撑当前EIS-only闭环。</x:v>
      </x:c>
      <x:c r="L208" s="95" t="str">
        <x:v>暂缓</x:v>
      </x:c>
      <x:c r="M208" s="95" t="str">
        <x:v>当前不投入</x:v>
      </x:c>
      <x:c r="N208" s="95" t="str">
        <x:v>P0</x:v>
      </x:c>
      <x:c r="O208" s="95" t="str">
        <x:v>https://www.nature.com/articles/s41467-024-55655-3</x:v>
      </x:c>
      <x:c r="P208" s="96" t="str">
        <x:v>待评审</x:v>
      </x:c>
    </x:row>
    <x:row r="209">
      <x:c r="A209" s="94" t="str">
        <x:v>T0205</x:v>
      </x:c>
      <x:c r="B209" s="95" t="str">
        <x:v>实验执行与具身自动化</x:v>
      </x:c>
      <x:c r="C209" s="95" t="str">
        <x:v>液体处理与微流控</x:v>
      </x:c>
      <x:c r="D209" s="95" t="str">
        <x:v>当前低优先</x:v>
      </x:c>
      <x:c r="E209" s="100" t="n">
        <x:v>3</x:v>
      </x:c>
      <x:c r="F209" s="95" t="str">
        <x:v>实验执行</x:v>
      </x:c>
      <x:c r="G209" s="95" t="str">
        <x:v>G 实验执行自动化</x:v>
      </x:c>
      <x:c r="H209" s="95" t="str">
        <x:v>光度法校准</x:v>
      </x:c>
      <x:c r="I209" s="95" t="str">
        <x:v>提高酸液、浆料和调配步骤的一致性；需结合高黏体系适配。</x:v>
      </x:c>
      <x:c r="J209" s="95" t="str">
        <x:v>仅围绕制膜、装夹、调理和EIS操作的真实瓶颈逐步自动化。</x:v>
      </x:c>
      <x:c r="K209" s="95" t="str">
        <x:v>可直接支撑当前EIS-only闭环。</x:v>
      </x:c>
      <x:c r="L209" s="95" t="str">
        <x:v>暂缓</x:v>
      </x:c>
      <x:c r="M209" s="95" t="str">
        <x:v>当前不投入</x:v>
      </x:c>
      <x:c r="N209" s="95" t="str">
        <x:v>P0</x:v>
      </x:c>
      <x:c r="O209" s="95" t="str">
        <x:v>https://pubs.acs.org/doi/10.1021/acs.chemrev.4c00055</x:v>
      </x:c>
      <x:c r="P209" s="96" t="str">
        <x:v>待评审</x:v>
      </x:c>
    </x:row>
    <x:row r="210">
      <x:c r="A210" s="94" t="str">
        <x:v>T0206</x:v>
      </x:c>
      <x:c r="B210" s="95" t="str">
        <x:v>实验执行与具身自动化</x:v>
      </x:c>
      <x:c r="C210" s="95" t="str">
        <x:v>液体处理与微流控</x:v>
      </x:c>
      <x:c r="D210" s="95" t="str">
        <x:v>当前低优先</x:v>
      </x:c>
      <x:c r="E210" s="100" t="n">
        <x:v>3</x:v>
      </x:c>
      <x:c r="F210" s="95" t="str">
        <x:v>实验执行</x:v>
      </x:c>
      <x:c r="G210" s="95" t="str">
        <x:v>G 实验执行自动化</x:v>
      </x:c>
      <x:c r="H210" s="95" t="str">
        <x:v>液体类别</x:v>
      </x:c>
      <x:c r="I210" s="95" t="str">
        <x:v>提高酸液、浆料和调配步骤的一致性；需结合高黏体系适配。</x:v>
      </x:c>
      <x:c r="J210" s="95" t="str">
        <x:v>仅围绕制膜、装夹、调理和EIS操作的真实瓶颈逐步自动化。</x:v>
      </x:c>
      <x:c r="K210" s="95" t="str">
        <x:v>可直接支撑当前EIS-only闭环。</x:v>
      </x:c>
      <x:c r="L210" s="95" t="str">
        <x:v>暂缓</x:v>
      </x:c>
      <x:c r="M210" s="95" t="str">
        <x:v>当前不投入</x:v>
      </x:c>
      <x:c r="N210" s="95" t="str">
        <x:v>P0</x:v>
      </x:c>
      <x:c r="O210" s="95" t="str">
        <x:v>https://royalsocietypublishing.org/rsos/article/12/7/250646/235354/Autonomous-self-driving-laboratories-a-review-of</x:v>
      </x:c>
      <x:c r="P210" s="96" t="str">
        <x:v>待评审</x:v>
      </x:c>
    </x:row>
    <x:row r="211">
      <x:c r="A211" s="94" t="str">
        <x:v>T0207</x:v>
      </x:c>
      <x:c r="B211" s="95" t="str">
        <x:v>实验执行与具身自动化</x:v>
      </x:c>
      <x:c r="C211" s="95" t="str">
        <x:v>液体处理与微流控</x:v>
      </x:c>
      <x:c r="D211" s="95" t="str">
        <x:v>当前低优先</x:v>
      </x:c>
      <x:c r="E211" s="100" t="n">
        <x:v>3</x:v>
      </x:c>
      <x:c r="F211" s="95" t="str">
        <x:v>实验执行</x:v>
      </x:c>
      <x:c r="G211" s="95" t="str">
        <x:v>G 实验执行自动化</x:v>
      </x:c>
      <x:c r="H211" s="95" t="str">
        <x:v>黏度补偿</x:v>
      </x:c>
      <x:c r="I211" s="95" t="str">
        <x:v>提高酸液、浆料和调配步骤的一致性；需结合高黏体系适配。</x:v>
      </x:c>
      <x:c r="J211" s="95" t="str">
        <x:v>仅围绕制膜、装夹、调理和EIS操作的真实瓶颈逐步自动化。</x:v>
      </x:c>
      <x:c r="K211" s="95" t="str">
        <x:v>可直接支撑当前EIS-only闭环。</x:v>
      </x:c>
      <x:c r="L211" s="95" t="str">
        <x:v>暂缓</x:v>
      </x:c>
      <x:c r="M211" s="95" t="str">
        <x:v>当前不投入</x:v>
      </x:c>
      <x:c r="N211" s="95" t="str">
        <x:v>P0</x:v>
      </x:c>
      <x:c r="O211" s="95" t="str">
        <x:v>https://www.science.org/doi/10.1126/sciadv.adj0461</x:v>
      </x:c>
      <x:c r="P211" s="96" t="str">
        <x:v>待评审</x:v>
      </x:c>
    </x:row>
    <x:row r="212">
      <x:c r="A212" s="94" t="str">
        <x:v>T0208</x:v>
      </x:c>
      <x:c r="B212" s="95" t="str">
        <x:v>实验执行与具身自动化</x:v>
      </x:c>
      <x:c r="C212" s="95" t="str">
        <x:v>液体处理与微流控</x:v>
      </x:c>
      <x:c r="D212" s="95" t="str">
        <x:v>当前低优先</x:v>
      </x:c>
      <x:c r="E212" s="100" t="n">
        <x:v>3</x:v>
      </x:c>
      <x:c r="F212" s="95" t="str">
        <x:v>实验执行</x:v>
      </x:c>
      <x:c r="G212" s="95" t="str">
        <x:v>G 实验执行自动化</x:v>
      </x:c>
      <x:c r="H212" s="95" t="str">
        <x:v>表面张力补偿</x:v>
      </x:c>
      <x:c r="I212" s="95" t="str">
        <x:v>提高酸液、浆料和调配步骤的一致性；需结合高黏体系适配。</x:v>
      </x:c>
      <x:c r="J212" s="95" t="str">
        <x:v>仅围绕制膜、装夹、调理和EIS操作的真实瓶颈逐步自动化。</x:v>
      </x:c>
      <x:c r="K212" s="95" t="str">
        <x:v>可直接支撑当前EIS-only闭环。</x:v>
      </x:c>
      <x:c r="L212" s="95" t="str">
        <x:v>暂缓</x:v>
      </x:c>
      <x:c r="M212" s="95" t="str">
        <x:v>当前不投入</x:v>
      </x:c>
      <x:c r="N212" s="95" t="str">
        <x:v>P0</x:v>
      </x:c>
      <x:c r="O212" s="95" t="str">
        <x:v>https://www.nature.com/articles/s41467-024-55655-3</x:v>
      </x:c>
      <x:c r="P212" s="96" t="str">
        <x:v>待评审</x:v>
      </x:c>
    </x:row>
    <x:row r="213">
      <x:c r="A213" s="94" t="str">
        <x:v>T0209</x:v>
      </x:c>
      <x:c r="B213" s="95" t="str">
        <x:v>实验执行与具身自动化</x:v>
      </x:c>
      <x:c r="C213" s="95" t="str">
        <x:v>液体处理与微流控</x:v>
      </x:c>
      <x:c r="D213" s="95" t="str">
        <x:v>当前低优先</x:v>
      </x:c>
      <x:c r="E213" s="100" t="n">
        <x:v>3</x:v>
      </x:c>
      <x:c r="F213" s="95" t="str">
        <x:v>实验执行</x:v>
      </x:c>
      <x:c r="G213" s="95" t="str">
        <x:v>G 实验执行自动化</x:v>
      </x:c>
      <x:c r="H213" s="95" t="str">
        <x:v>密度补偿</x:v>
      </x:c>
      <x:c r="I213" s="95" t="str">
        <x:v>提高酸液、浆料和调配步骤的一致性；需结合高黏体系适配。</x:v>
      </x:c>
      <x:c r="J213" s="95" t="str">
        <x:v>仅围绕制膜、装夹、调理和EIS操作的真实瓶颈逐步自动化。</x:v>
      </x:c>
      <x:c r="K213" s="95" t="str">
        <x:v>可直接支撑当前EIS-only闭环。</x:v>
      </x:c>
      <x:c r="L213" s="95" t="str">
        <x:v>暂缓</x:v>
      </x:c>
      <x:c r="M213" s="95" t="str">
        <x:v>当前不投入</x:v>
      </x:c>
      <x:c r="N213" s="95" t="str">
        <x:v>P0</x:v>
      </x:c>
      <x:c r="O213" s="95" t="str">
        <x:v>https://pubs.acs.org/doi/10.1021/acs.chemrev.4c00055</x:v>
      </x:c>
      <x:c r="P213" s="96" t="str">
        <x:v>待评审</x:v>
      </x:c>
    </x:row>
    <x:row r="214">
      <x:c r="A214" s="94" t="str">
        <x:v>T0210</x:v>
      </x:c>
      <x:c r="B214" s="95" t="str">
        <x:v>实验执行与具身自动化</x:v>
      </x:c>
      <x:c r="C214" s="95" t="str">
        <x:v>液体处理与微流控</x:v>
      </x:c>
      <x:c r="D214" s="95" t="str">
        <x:v>当前低优先</x:v>
      </x:c>
      <x:c r="E214" s="100" t="n">
        <x:v>3</x:v>
      </x:c>
      <x:c r="F214" s="95" t="str">
        <x:v>实验执行</x:v>
      </x:c>
      <x:c r="G214" s="95" t="str">
        <x:v>G 实验执行自动化</x:v>
      </x:c>
      <x:c r="H214" s="95" t="str">
        <x:v>蒸发补偿</x:v>
      </x:c>
      <x:c r="I214" s="95" t="str">
        <x:v>提高酸液、浆料和调配步骤的一致性；需结合高黏体系适配。</x:v>
      </x:c>
      <x:c r="J214" s="95" t="str">
        <x:v>仅围绕制膜、装夹、调理和EIS操作的真实瓶颈逐步自动化。</x:v>
      </x:c>
      <x:c r="K214" s="95" t="str">
        <x:v>可直接支撑当前EIS-only闭环。</x:v>
      </x:c>
      <x:c r="L214" s="95" t="str">
        <x:v>暂缓</x:v>
      </x:c>
      <x:c r="M214" s="95" t="str">
        <x:v>当前不投入</x:v>
      </x:c>
      <x:c r="N214" s="95" t="str">
        <x:v>P0</x:v>
      </x:c>
      <x:c r="O214" s="95" t="str">
        <x:v>https://royalsocietypublishing.org/rsos/article/12/7/250646/235354/Autonomous-self-driving-laboratories-a-review-of</x:v>
      </x:c>
      <x:c r="P214" s="96" t="str">
        <x:v>待评审</x:v>
      </x:c>
    </x:row>
    <x:row r="215">
      <x:c r="A215" s="94" t="str">
        <x:v>T0211</x:v>
      </x:c>
      <x:c r="B215" s="95" t="str">
        <x:v>实验执行与具身自动化</x:v>
      </x:c>
      <x:c r="C215" s="95" t="str">
        <x:v>液体处理与微流控</x:v>
      </x:c>
      <x:c r="D215" s="95" t="str">
        <x:v>当前低优先</x:v>
      </x:c>
      <x:c r="E215" s="100" t="n">
        <x:v>3</x:v>
      </x:c>
      <x:c r="F215" s="95" t="str">
        <x:v>实验执行</x:v>
      </x:c>
      <x:c r="G215" s="95" t="str">
        <x:v>G 实验执行自动化</x:v>
      </x:c>
      <x:c r="H215" s="95" t="str">
        <x:v>死体积管理</x:v>
      </x:c>
      <x:c r="I215" s="95" t="str">
        <x:v>提高酸液、浆料和调配步骤的一致性；需结合高黏体系适配。</x:v>
      </x:c>
      <x:c r="J215" s="95" t="str">
        <x:v>仅围绕制膜、装夹、调理和EIS操作的真实瓶颈逐步自动化。</x:v>
      </x:c>
      <x:c r="K215" s="95" t="str">
        <x:v>可直接支撑当前EIS-only闭环。</x:v>
      </x:c>
      <x:c r="L215" s="95" t="str">
        <x:v>暂缓</x:v>
      </x:c>
      <x:c r="M215" s="95" t="str">
        <x:v>当前不投入</x:v>
      </x:c>
      <x:c r="N215" s="95" t="str">
        <x:v>P1</x:v>
      </x:c>
      <x:c r="O215" s="95" t="str">
        <x:v>https://www.science.org/doi/10.1126/sciadv.adj0461</x:v>
      </x:c>
      <x:c r="P215" s="96" t="str">
        <x:v>待评审</x:v>
      </x:c>
    </x:row>
    <x:row r="216">
      <x:c r="A216" s="94" t="str">
        <x:v>T0212</x:v>
      </x:c>
      <x:c r="B216" s="95" t="str">
        <x:v>实验执行与具身自动化</x:v>
      </x:c>
      <x:c r="C216" s="95" t="str">
        <x:v>液体处理与微流控</x:v>
      </x:c>
      <x:c r="D216" s="95" t="str">
        <x:v>当前低优先</x:v>
      </x:c>
      <x:c r="E216" s="100" t="n">
        <x:v>3</x:v>
      </x:c>
      <x:c r="F216" s="95" t="str">
        <x:v>实验执行</x:v>
      </x:c>
      <x:c r="G216" s="95" t="str">
        <x:v>G 实验执行自动化</x:v>
      </x:c>
      <x:c r="H216" s="95" t="str">
        <x:v>携带污染控制</x:v>
      </x:c>
      <x:c r="I216" s="95" t="str">
        <x:v>提高酸液、浆料和调配步骤的一致性；需结合高黏体系适配。</x:v>
      </x:c>
      <x:c r="J216" s="95" t="str">
        <x:v>仅围绕制膜、装夹、调理和EIS操作的真实瓶颈逐步自动化。</x:v>
      </x:c>
      <x:c r="K216" s="95" t="str">
        <x:v>可直接支撑当前EIS-only闭环。</x:v>
      </x:c>
      <x:c r="L216" s="95" t="str">
        <x:v>暂缓</x:v>
      </x:c>
      <x:c r="M216" s="95" t="str">
        <x:v>当前不投入</x:v>
      </x:c>
      <x:c r="N216" s="95" t="str">
        <x:v>P1</x:v>
      </x:c>
      <x:c r="O216" s="95" t="str">
        <x:v>https://www.nature.com/articles/s41467-024-55655-3</x:v>
      </x:c>
      <x:c r="P216" s="96" t="str">
        <x:v>待评审</x:v>
      </x:c>
    </x:row>
    <x:row r="217">
      <x:c r="A217" s="94" t="str">
        <x:v>T0213</x:v>
      </x:c>
      <x:c r="B217" s="95" t="str">
        <x:v>实验执行与具身自动化</x:v>
      </x:c>
      <x:c r="C217" s="95" t="str">
        <x:v>液体处理与微流控</x:v>
      </x:c>
      <x:c r="D217" s="95" t="str">
        <x:v>当前低优先</x:v>
      </x:c>
      <x:c r="E217" s="100" t="n">
        <x:v>3</x:v>
      </x:c>
      <x:c r="F217" s="95" t="str">
        <x:v>实验执行</x:v>
      </x:c>
      <x:c r="G217" s="95" t="str">
        <x:v>G 实验执行自动化</x:v>
      </x:c>
      <x:c r="H217" s="95" t="str">
        <x:v>气溶胶控制</x:v>
      </x:c>
      <x:c r="I217" s="95" t="str">
        <x:v>提高酸液、浆料和调配步骤的一致性；需结合高黏体系适配。</x:v>
      </x:c>
      <x:c r="J217" s="95" t="str">
        <x:v>仅围绕制膜、装夹、调理和EIS操作的真实瓶颈逐步自动化。</x:v>
      </x:c>
      <x:c r="K217" s="95" t="str">
        <x:v>可直接支撑当前EIS-only闭环。</x:v>
      </x:c>
      <x:c r="L217" s="95" t="str">
        <x:v>暂缓</x:v>
      </x:c>
      <x:c r="M217" s="95" t="str">
        <x:v>当前不投入</x:v>
      </x:c>
      <x:c r="N217" s="95" t="str">
        <x:v>P1</x:v>
      </x:c>
      <x:c r="O217" s="95" t="str">
        <x:v>https://pubs.acs.org/doi/10.1021/acs.chemrev.4c00055</x:v>
      </x:c>
      <x:c r="P217" s="96" t="str">
        <x:v>待评审</x:v>
      </x:c>
    </x:row>
    <x:row r="218">
      <x:c r="A218" s="94" t="str">
        <x:v>T0214</x:v>
      </x:c>
      <x:c r="B218" s="95" t="str">
        <x:v>实验执行与具身自动化</x:v>
      </x:c>
      <x:c r="C218" s="95" t="str">
        <x:v>液体处理与微流控</x:v>
      </x:c>
      <x:c r="D218" s="95" t="str">
        <x:v>当前低优先</x:v>
      </x:c>
      <x:c r="E218" s="100" t="n">
        <x:v>3</x:v>
      </x:c>
      <x:c r="F218" s="95" t="str">
        <x:v>实验执行</x:v>
      </x:c>
      <x:c r="G218" s="95" t="str">
        <x:v>G 实验执行自动化</x:v>
      </x:c>
      <x:c r="H218" s="95" t="str">
        <x:v>吸头选择</x:v>
      </x:c>
      <x:c r="I218" s="95" t="str">
        <x:v>提高酸液、浆料和调配步骤的一致性；需结合高黏体系适配。</x:v>
      </x:c>
      <x:c r="J218" s="95" t="str">
        <x:v>仅围绕制膜、装夹、调理和EIS操作的真实瓶颈逐步自动化。</x:v>
      </x:c>
      <x:c r="K218" s="95" t="str">
        <x:v>可直接支撑当前EIS-only闭环。</x:v>
      </x:c>
      <x:c r="L218" s="95" t="str">
        <x:v>暂缓</x:v>
      </x:c>
      <x:c r="M218" s="95" t="str">
        <x:v>当前不投入</x:v>
      </x:c>
      <x:c r="N218" s="95" t="str">
        <x:v>P1</x:v>
      </x:c>
      <x:c r="O218" s="95" t="str">
        <x:v>https://royalsocietypublishing.org/rsos/article/12/7/250646/235354/Autonomous-self-driving-laboratories-a-review-of</x:v>
      </x:c>
      <x:c r="P218" s="96" t="str">
        <x:v>待评审</x:v>
      </x:c>
    </x:row>
    <x:row r="219">
      <x:c r="A219" s="94" t="str">
        <x:v>T0215</x:v>
      </x:c>
      <x:c r="B219" s="95" t="str">
        <x:v>实验执行与具身自动化</x:v>
      </x:c>
      <x:c r="C219" s="95" t="str">
        <x:v>液体处理与微流控</x:v>
      </x:c>
      <x:c r="D219" s="95" t="str">
        <x:v>当前低优先</x:v>
      </x:c>
      <x:c r="E219" s="100" t="n">
        <x:v>3</x:v>
      </x:c>
      <x:c r="F219" s="95" t="str">
        <x:v>实验执行</x:v>
      </x:c>
      <x:c r="G219" s="95" t="str">
        <x:v>G 实验执行自动化</x:v>
      </x:c>
      <x:c r="H219" s="95" t="str">
        <x:v>吸头检测</x:v>
      </x:c>
      <x:c r="I219" s="95" t="str">
        <x:v>提高酸液、浆料和调配步骤的一致性；需结合高黏体系适配。</x:v>
      </x:c>
      <x:c r="J219" s="95" t="str">
        <x:v>仅围绕制膜、装夹、调理和EIS操作的真实瓶颈逐步自动化。</x:v>
      </x:c>
      <x:c r="K219" s="95" t="str">
        <x:v>可直接支撑当前EIS-only闭环。</x:v>
      </x:c>
      <x:c r="L219" s="95" t="str">
        <x:v>暂缓</x:v>
      </x:c>
      <x:c r="M219" s="95" t="str">
        <x:v>当前不投入</x:v>
      </x:c>
      <x:c r="N219" s="95" t="str">
        <x:v>P1</x:v>
      </x:c>
      <x:c r="O219" s="95" t="str">
        <x:v>https://www.science.org/doi/10.1126/sciadv.adj0461</x:v>
      </x:c>
      <x:c r="P219" s="96" t="str">
        <x:v>待评审</x:v>
      </x:c>
    </x:row>
    <x:row r="220">
      <x:c r="A220" s="94" t="str">
        <x:v>T0216</x:v>
      </x:c>
      <x:c r="B220" s="95" t="str">
        <x:v>实验执行与具身自动化</x:v>
      </x:c>
      <x:c r="C220" s="95" t="str">
        <x:v>液体处理与微流控</x:v>
      </x:c>
      <x:c r="D220" s="95" t="str">
        <x:v>当前低优先</x:v>
      </x:c>
      <x:c r="E220" s="100" t="n">
        <x:v>3</x:v>
      </x:c>
      <x:c r="F220" s="95" t="str">
        <x:v>实验执行</x:v>
      </x:c>
      <x:c r="G220" s="95" t="str">
        <x:v>G 实验执行自动化</x:v>
      </x:c>
      <x:c r="H220" s="95" t="str">
        <x:v>液面检测</x:v>
      </x:c>
      <x:c r="I220" s="95" t="str">
        <x:v>提高酸液、浆料和调配步骤的一致性；需结合高黏体系适配。</x:v>
      </x:c>
      <x:c r="J220" s="95" t="str">
        <x:v>仅围绕制膜、装夹、调理和EIS操作的真实瓶颈逐步自动化。</x:v>
      </x:c>
      <x:c r="K220" s="95" t="str">
        <x:v>可直接支撑当前EIS-only闭环。</x:v>
      </x:c>
      <x:c r="L220" s="95" t="str">
        <x:v>暂缓</x:v>
      </x:c>
      <x:c r="M220" s="95" t="str">
        <x:v>当前不投入</x:v>
      </x:c>
      <x:c r="N220" s="95" t="str">
        <x:v>P1</x:v>
      </x:c>
      <x:c r="O220" s="95" t="str">
        <x:v>https://www.nature.com/articles/s41467-024-55655-3</x:v>
      </x:c>
      <x:c r="P220" s="96" t="str">
        <x:v>待评审</x:v>
      </x:c>
    </x:row>
    <x:row r="221">
      <x:c r="A221" s="94" t="str">
        <x:v>T0217</x:v>
      </x:c>
      <x:c r="B221" s="95" t="str">
        <x:v>实验执行与具身自动化</x:v>
      </x:c>
      <x:c r="C221" s="95" t="str">
        <x:v>液体处理与微流控</x:v>
      </x:c>
      <x:c r="D221" s="95" t="str">
        <x:v>当前低优先</x:v>
      </x:c>
      <x:c r="E221" s="100" t="n">
        <x:v>3</x:v>
      </x:c>
      <x:c r="F221" s="95" t="str">
        <x:v>实验执行</x:v>
      </x:c>
      <x:c r="G221" s="95" t="str">
        <x:v>G 实验执行自动化</x:v>
      </x:c>
      <x:c r="H221" s="95" t="str">
        <x:v>吸液曲线</x:v>
      </x:c>
      <x:c r="I221" s="95" t="str">
        <x:v>提高酸液、浆料和调配步骤的一致性；需结合高黏体系适配。</x:v>
      </x:c>
      <x:c r="J221" s="95" t="str">
        <x:v>仅围绕制膜、装夹、调理和EIS操作的真实瓶颈逐步自动化。</x:v>
      </x:c>
      <x:c r="K221" s="95" t="str">
        <x:v>可直接支撑当前EIS-only闭环。</x:v>
      </x:c>
      <x:c r="L221" s="95" t="str">
        <x:v>暂缓</x:v>
      </x:c>
      <x:c r="M221" s="95" t="str">
        <x:v>当前不投入</x:v>
      </x:c>
      <x:c r="N221" s="95" t="str">
        <x:v>P1</x:v>
      </x:c>
      <x:c r="O221" s="95" t="str">
        <x:v>https://pubs.acs.org/doi/10.1021/acs.chemrev.4c00055</x:v>
      </x:c>
      <x:c r="P221" s="96" t="str">
        <x:v>待评审</x:v>
      </x:c>
    </x:row>
    <x:row r="222">
      <x:c r="A222" s="94" t="str">
        <x:v>T0218</x:v>
      </x:c>
      <x:c r="B222" s="95" t="str">
        <x:v>实验执行与具身自动化</x:v>
      </x:c>
      <x:c r="C222" s="95" t="str">
        <x:v>液体处理与微流控</x:v>
      </x:c>
      <x:c r="D222" s="95" t="str">
        <x:v>当前低优先</x:v>
      </x:c>
      <x:c r="E222" s="100" t="n">
        <x:v>3</x:v>
      </x:c>
      <x:c r="F222" s="95" t="str">
        <x:v>实验执行</x:v>
      </x:c>
      <x:c r="G222" s="95" t="str">
        <x:v>G 实验执行自动化</x:v>
      </x:c>
      <x:c r="H222" s="95" t="str">
        <x:v>排液曲线</x:v>
      </x:c>
      <x:c r="I222" s="95" t="str">
        <x:v>提高酸液、浆料和调配步骤的一致性；需结合高黏体系适配。</x:v>
      </x:c>
      <x:c r="J222" s="95" t="str">
        <x:v>仅围绕制膜、装夹、调理和EIS操作的真实瓶颈逐步自动化。</x:v>
      </x:c>
      <x:c r="K222" s="95" t="str">
        <x:v>可直接支撑当前EIS-only闭环。</x:v>
      </x:c>
      <x:c r="L222" s="95" t="str">
        <x:v>暂缓</x:v>
      </x:c>
      <x:c r="M222" s="95" t="str">
        <x:v>当前不投入</x:v>
      </x:c>
      <x:c r="N222" s="95" t="str">
        <x:v>P1</x:v>
      </x:c>
      <x:c r="O222" s="95" t="str">
        <x:v>https://royalsocietypublishing.org/rsos/article/12/7/250646/235354/Autonomous-self-driving-laboratories-a-review-of</x:v>
      </x:c>
      <x:c r="P222" s="96" t="str">
        <x:v>待评审</x:v>
      </x:c>
    </x:row>
    <x:row r="223">
      <x:c r="A223" s="94" t="str">
        <x:v>T0219</x:v>
      </x:c>
      <x:c r="B223" s="95" t="str">
        <x:v>实验执行与具身自动化</x:v>
      </x:c>
      <x:c r="C223" s="95" t="str">
        <x:v>液体处理与微流控</x:v>
      </x:c>
      <x:c r="D223" s="95" t="str">
        <x:v>当前低优先</x:v>
      </x:c>
      <x:c r="E223" s="100" t="n">
        <x:v>3</x:v>
      </x:c>
      <x:c r="F223" s="95" t="str">
        <x:v>实验执行</x:v>
      </x:c>
      <x:c r="G223" s="95" t="str">
        <x:v>G 实验执行自动化</x:v>
      </x:c>
      <x:c r="H223" s="95" t="str">
        <x:v>混匀策略</x:v>
      </x:c>
      <x:c r="I223" s="95" t="str">
        <x:v>提高酸液、浆料和调配步骤的一致性；需结合高黏体系适配。</x:v>
      </x:c>
      <x:c r="J223" s="95" t="str">
        <x:v>仅围绕制膜、装夹、调理和EIS操作的真实瓶颈逐步自动化。</x:v>
      </x:c>
      <x:c r="K223" s="95" t="str">
        <x:v>可直接支撑当前EIS-only闭环。</x:v>
      </x:c>
      <x:c r="L223" s="95" t="str">
        <x:v>暂缓</x:v>
      </x:c>
      <x:c r="M223" s="95" t="str">
        <x:v>当前不投入</x:v>
      </x:c>
      <x:c r="N223" s="95" t="str">
        <x:v>P1</x:v>
      </x:c>
      <x:c r="O223" s="95" t="str">
        <x:v>https://www.science.org/doi/10.1126/sciadv.adj0461</x:v>
      </x:c>
      <x:c r="P223" s="96" t="str">
        <x:v>待评审</x:v>
      </x:c>
    </x:row>
    <x:row r="224">
      <x:c r="A224" s="94" t="str">
        <x:v>T0220</x:v>
      </x:c>
      <x:c r="B224" s="95" t="str">
        <x:v>实验执行与具身自动化</x:v>
      </x:c>
      <x:c r="C224" s="95" t="str">
        <x:v>液体处理与微流控</x:v>
      </x:c>
      <x:c r="D224" s="95" t="str">
        <x:v>当前低优先</x:v>
      </x:c>
      <x:c r="E224" s="100" t="n">
        <x:v>3</x:v>
      </x:c>
      <x:c r="F224" s="95" t="str">
        <x:v>实验执行</x:v>
      </x:c>
      <x:c r="G224" s="95" t="str">
        <x:v>G 实验执行自动化</x:v>
      </x:c>
      <x:c r="H224" s="95" t="str">
        <x:v>梯度稀释</x:v>
      </x:c>
      <x:c r="I224" s="95" t="str">
        <x:v>提高酸液、浆料和调配步骤的一致性；需结合高黏体系适配。</x:v>
      </x:c>
      <x:c r="J224" s="95" t="str">
        <x:v>仅围绕制膜、装夹、调理和EIS操作的真实瓶颈逐步自动化。</x:v>
      </x:c>
      <x:c r="K224" s="95" t="str">
        <x:v>可直接支撑当前EIS-only闭环。</x:v>
      </x:c>
      <x:c r="L224" s="95" t="str">
        <x:v>暂缓</x:v>
      </x:c>
      <x:c r="M224" s="95" t="str">
        <x:v>当前不投入</x:v>
      </x:c>
      <x:c r="N224" s="95" t="str">
        <x:v>P1</x:v>
      </x:c>
      <x:c r="O224" s="95" t="str">
        <x:v>https://www.nature.com/articles/s41467-024-55655-3</x:v>
      </x:c>
      <x:c r="P224" s="96" t="str">
        <x:v>待评审</x:v>
      </x:c>
    </x:row>
    <x:row r="225">
      <x:c r="A225" s="94" t="str">
        <x:v>T0221</x:v>
      </x:c>
      <x:c r="B225" s="95" t="str">
        <x:v>实验执行与具身自动化</x:v>
      </x:c>
      <x:c r="C225" s="95" t="str">
        <x:v>液体处理与微流控</x:v>
      </x:c>
      <x:c r="D225" s="95" t="str">
        <x:v>当前低优先</x:v>
      </x:c>
      <x:c r="E225" s="100" t="n">
        <x:v>3</x:v>
      </x:c>
      <x:c r="F225" s="95" t="str">
        <x:v>实验执行</x:v>
      </x:c>
      <x:c r="G225" s="95" t="str">
        <x:v>G 实验执行自动化</x:v>
      </x:c>
      <x:c r="H225" s="95" t="str">
        <x:v>样品归一化</x:v>
      </x:c>
      <x:c r="I225" s="95" t="str">
        <x:v>提高酸液、浆料和调配步骤的一致性；需结合高黏体系适配。</x:v>
      </x:c>
      <x:c r="J225" s="95" t="str">
        <x:v>仅围绕制膜、装夹、调理和EIS操作的真实瓶颈逐步自动化。</x:v>
      </x:c>
      <x:c r="K225" s="95" t="str">
        <x:v>可直接支撑当前EIS-only闭环。</x:v>
      </x:c>
      <x:c r="L225" s="95" t="str">
        <x:v>暂缓</x:v>
      </x:c>
      <x:c r="M225" s="95" t="str">
        <x:v>当前不投入</x:v>
      </x:c>
      <x:c r="N225" s="95" t="str">
        <x:v>P1</x:v>
      </x:c>
      <x:c r="O225" s="95" t="str">
        <x:v>https://pubs.acs.org/doi/10.1021/acs.chemrev.4c00055</x:v>
      </x:c>
      <x:c r="P225" s="96" t="str">
        <x:v>待评审</x:v>
      </x:c>
    </x:row>
    <x:row r="226">
      <x:c r="A226" s="94" t="str">
        <x:v>T0222</x:v>
      </x:c>
      <x:c r="B226" s="95" t="str">
        <x:v>实验执行与具身自动化</x:v>
      </x:c>
      <x:c r="C226" s="95" t="str">
        <x:v>液体处理与微流控</x:v>
      </x:c>
      <x:c r="D226" s="95" t="str">
        <x:v>当前低优先</x:v>
      </x:c>
      <x:c r="E226" s="100" t="n">
        <x:v>3</x:v>
      </x:c>
      <x:c r="F226" s="95" t="str">
        <x:v>实验执行</x:v>
      </x:c>
      <x:c r="G226" s="95" t="str">
        <x:v>G 实验执行自动化</x:v>
      </x:c>
      <x:c r="H226" s="95" t="str">
        <x:v>加料顺序</x:v>
      </x:c>
      <x:c r="I226" s="95" t="str">
        <x:v>提高酸液、浆料和调配步骤的一致性；需结合高黏体系适配。</x:v>
      </x:c>
      <x:c r="J226" s="95" t="str">
        <x:v>仅围绕制膜、装夹、调理和EIS操作的真实瓶颈逐步自动化。</x:v>
      </x:c>
      <x:c r="K226" s="95" t="str">
        <x:v>可直接支撑当前EIS-only闭环。</x:v>
      </x:c>
      <x:c r="L226" s="95" t="str">
        <x:v>暂缓</x:v>
      </x:c>
      <x:c r="M226" s="95" t="str">
        <x:v>当前不投入</x:v>
      </x:c>
      <x:c r="N226" s="95" t="str">
        <x:v>P1</x:v>
      </x:c>
      <x:c r="O226" s="95" t="str">
        <x:v>https://royalsocietypublishing.org/rsos/article/12/7/250646/235354/Autonomous-self-driving-laboratories-a-review-of</x:v>
      </x:c>
      <x:c r="P226" s="96" t="str">
        <x:v>待评审</x:v>
      </x:c>
    </x:row>
    <x:row r="227">
      <x:c r="A227" s="94" t="str">
        <x:v>T0223</x:v>
      </x:c>
      <x:c r="B227" s="95" t="str">
        <x:v>实验执行与具身自动化</x:v>
      </x:c>
      <x:c r="C227" s="95" t="str">
        <x:v>液体处理与微流控</x:v>
      </x:c>
      <x:c r="D227" s="95" t="str">
        <x:v>当前低优先</x:v>
      </x:c>
      <x:c r="E227" s="100" t="n">
        <x:v>3</x:v>
      </x:c>
      <x:c r="F227" s="95" t="str">
        <x:v>实验执行</x:v>
      </x:c>
      <x:c r="G227" s="95" t="str">
        <x:v>G 实验执行自动化</x:v>
      </x:c>
      <x:c r="H227" s="95" t="str">
        <x:v>自动pH调节</x:v>
      </x:c>
      <x:c r="I227" s="95" t="str">
        <x:v>提高酸液、浆料和调配步骤的一致性；需结合高黏体系适配。</x:v>
      </x:c>
      <x:c r="J227" s="95" t="str">
        <x:v>仅围绕制膜、装夹、调理和EIS操作的真实瓶颈逐步自动化。</x:v>
      </x:c>
      <x:c r="K227" s="95" t="str">
        <x:v>可直接支撑当前EIS-only闭环。</x:v>
      </x:c>
      <x:c r="L227" s="95" t="str">
        <x:v>暂缓</x:v>
      </x:c>
      <x:c r="M227" s="95" t="str">
        <x:v>当前不投入</x:v>
      </x:c>
      <x:c r="N227" s="95" t="str">
        <x:v>P1</x:v>
      </x:c>
      <x:c r="O227" s="95" t="str">
        <x:v>https://www.science.org/doi/10.1126/sciadv.adj0461</x:v>
      </x:c>
      <x:c r="P227" s="96" t="str">
        <x:v>待评审</x:v>
      </x:c>
    </x:row>
    <x:row r="228">
      <x:c r="A228" s="94" t="str">
        <x:v>T0224</x:v>
      </x:c>
      <x:c r="B228" s="95" t="str">
        <x:v>实验执行与具身自动化</x:v>
      </x:c>
      <x:c r="C228" s="95" t="str">
        <x:v>液体处理与微流控</x:v>
      </x:c>
      <x:c r="D228" s="95" t="str">
        <x:v>当前低优先</x:v>
      </x:c>
      <x:c r="E228" s="100" t="n">
        <x:v>3</x:v>
      </x:c>
      <x:c r="F228" s="95" t="str">
        <x:v>实验执行</x:v>
      </x:c>
      <x:c r="G228" s="95" t="str">
        <x:v>G 实验执行自动化</x:v>
      </x:c>
      <x:c r="H228" s="95" t="str">
        <x:v>自动滴定</x:v>
      </x:c>
      <x:c r="I228" s="95" t="str">
        <x:v>提高酸液、浆料和调配步骤的一致性；需结合高黏体系适配。</x:v>
      </x:c>
      <x:c r="J228" s="95" t="str">
        <x:v>仅围绕制膜、装夹、调理和EIS操作的真实瓶颈逐步自动化。</x:v>
      </x:c>
      <x:c r="K228" s="95" t="str">
        <x:v>可直接支撑当前EIS-only闭环。</x:v>
      </x:c>
      <x:c r="L228" s="95" t="str">
        <x:v>暂缓</x:v>
      </x:c>
      <x:c r="M228" s="95" t="str">
        <x:v>当前不投入</x:v>
      </x:c>
      <x:c r="N228" s="95" t="str">
        <x:v>P1</x:v>
      </x:c>
      <x:c r="O228" s="95" t="str">
        <x:v>https://www.nature.com/articles/s41467-024-55655-3</x:v>
      </x:c>
      <x:c r="P228" s="96" t="str">
        <x:v>待评审</x:v>
      </x:c>
    </x:row>
    <x:row r="229">
      <x:c r="A229" s="94" t="str">
        <x:v>T0225</x:v>
      </x:c>
      <x:c r="B229" s="95" t="str">
        <x:v>实验执行与具身自动化</x:v>
      </x:c>
      <x:c r="C229" s="95" t="str">
        <x:v>液体处理与微流控</x:v>
      </x:c>
      <x:c r="D229" s="95" t="str">
        <x:v>当前低优先</x:v>
      </x:c>
      <x:c r="E229" s="100" t="n">
        <x:v>3</x:v>
      </x:c>
      <x:c r="F229" s="95" t="str">
        <x:v>实验执行</x:v>
      </x:c>
      <x:c r="G229" s="95" t="str">
        <x:v>G 实验执行自动化</x:v>
      </x:c>
      <x:c r="H229" s="95" t="str">
        <x:v>自动过滤</x:v>
      </x:c>
      <x:c r="I229" s="95" t="str">
        <x:v>提高酸液、浆料和调配步骤的一致性；需结合高黏体系适配。</x:v>
      </x:c>
      <x:c r="J229" s="95" t="str">
        <x:v>仅围绕制膜、装夹、调理和EIS操作的真实瓶颈逐步自动化。</x:v>
      </x:c>
      <x:c r="K229" s="95" t="str">
        <x:v>可直接支撑当前EIS-only闭环。</x:v>
      </x:c>
      <x:c r="L229" s="95" t="str">
        <x:v>暂缓</x:v>
      </x:c>
      <x:c r="M229" s="95" t="str">
        <x:v>当前不投入</x:v>
      </x:c>
      <x:c r="N229" s="95" t="str">
        <x:v>P1</x:v>
      </x:c>
      <x:c r="O229" s="95" t="str">
        <x:v>https://pubs.acs.org/doi/10.1021/acs.chemrev.4c00055</x:v>
      </x:c>
      <x:c r="P229" s="96" t="str">
        <x:v>待评审</x:v>
      </x:c>
    </x:row>
    <x:row r="230">
      <x:c r="A230" s="94" t="str">
        <x:v>T0226</x:v>
      </x:c>
      <x:c r="B230" s="95" t="str">
        <x:v>实验执行与具身自动化</x:v>
      </x:c>
      <x:c r="C230" s="95" t="str">
        <x:v>液体处理与微流控</x:v>
      </x:c>
      <x:c r="D230" s="95" t="str">
        <x:v>当前低优先</x:v>
      </x:c>
      <x:c r="E230" s="100" t="n">
        <x:v>3</x:v>
      </x:c>
      <x:c r="F230" s="95" t="str">
        <x:v>实验执行</x:v>
      </x:c>
      <x:c r="G230" s="95" t="str">
        <x:v>G 实验执行自动化</x:v>
      </x:c>
      <x:c r="H230" s="95" t="str">
        <x:v>自动离心</x:v>
      </x:c>
      <x:c r="I230" s="95" t="str">
        <x:v>提高酸液、浆料和调配步骤的一致性；需结合高黏体系适配。</x:v>
      </x:c>
      <x:c r="J230" s="95" t="str">
        <x:v>仅围绕制膜、装夹、调理和EIS操作的真实瓶颈逐步自动化。</x:v>
      </x:c>
      <x:c r="K230" s="95" t="str">
        <x:v>可直接支撑当前EIS-only闭环。</x:v>
      </x:c>
      <x:c r="L230" s="95" t="str">
        <x:v>暂缓</x:v>
      </x:c>
      <x:c r="M230" s="95" t="str">
        <x:v>当前不投入</x:v>
      </x:c>
      <x:c r="N230" s="95" t="str">
        <x:v>P1</x:v>
      </x:c>
      <x:c r="O230" s="95" t="str">
        <x:v>https://royalsocietypublishing.org/rsos/article/12/7/250646/235354/Autonomous-self-driving-laboratories-a-review-of</x:v>
      </x:c>
      <x:c r="P230" s="96" t="str">
        <x:v>待评审</x:v>
      </x:c>
    </x:row>
    <x:row r="231">
      <x:c r="A231" s="94" t="str">
        <x:v>T0227</x:v>
      </x:c>
      <x:c r="B231" s="95" t="str">
        <x:v>实验执行与具身自动化</x:v>
      </x:c>
      <x:c r="C231" s="95" t="str">
        <x:v>液体处理与微流控</x:v>
      </x:c>
      <x:c r="D231" s="95" t="str">
        <x:v>当前低优先</x:v>
      </x:c>
      <x:c r="E231" s="100" t="n">
        <x:v>3</x:v>
      </x:c>
      <x:c r="F231" s="95" t="str">
        <x:v>实验执行</x:v>
      </x:c>
      <x:c r="G231" s="95" t="str">
        <x:v>G 实验执行自动化</x:v>
      </x:c>
      <x:c r="H231" s="95" t="str">
        <x:v>相分离</x:v>
      </x:c>
      <x:c r="I231" s="95" t="str">
        <x:v>提高酸液、浆料和调配步骤的一致性；需结合高黏体系适配。</x:v>
      </x:c>
      <x:c r="J231" s="95" t="str">
        <x:v>仅围绕制膜、装夹、调理和EIS操作的真实瓶颈逐步自动化。</x:v>
      </x:c>
      <x:c r="K231" s="95" t="str">
        <x:v>可直接支撑当前EIS-only闭环。</x:v>
      </x:c>
      <x:c r="L231" s="95" t="str">
        <x:v>暂缓</x:v>
      </x:c>
      <x:c r="M231" s="95" t="str">
        <x:v>当前不投入</x:v>
      </x:c>
      <x:c r="N231" s="95" t="str">
        <x:v>P1</x:v>
      </x:c>
      <x:c r="O231" s="95" t="str">
        <x:v>https://www.science.org/doi/10.1126/sciadv.adj0461</x:v>
      </x:c>
      <x:c r="P231" s="96" t="str">
        <x:v>待评审</x:v>
      </x:c>
    </x:row>
    <x:row r="232">
      <x:c r="A232" s="94" t="str">
        <x:v>T0228</x:v>
      </x:c>
      <x:c r="B232" s="95" t="str">
        <x:v>实验执行与具身自动化</x:v>
      </x:c>
      <x:c r="C232" s="95" t="str">
        <x:v>液体处理与微流控</x:v>
      </x:c>
      <x:c r="D232" s="95" t="str">
        <x:v>当前低优先</x:v>
      </x:c>
      <x:c r="E232" s="100" t="n">
        <x:v>3</x:v>
      </x:c>
      <x:c r="F232" s="95" t="str">
        <x:v>实验执行</x:v>
      </x:c>
      <x:c r="G232" s="95" t="str">
        <x:v>G 实验执行自动化</x:v>
      </x:c>
      <x:c r="H232" s="95" t="str">
        <x:v>液液萃取</x:v>
      </x:c>
      <x:c r="I232" s="95" t="str">
        <x:v>提高酸液、浆料和调配步骤的一致性；需结合高黏体系适配。</x:v>
      </x:c>
      <x:c r="J232" s="95" t="str">
        <x:v>仅围绕制膜、装夹、调理和EIS操作的真实瓶颈逐步自动化。</x:v>
      </x:c>
      <x:c r="K232" s="95" t="str">
        <x:v>可直接支撑当前EIS-only闭环。</x:v>
      </x:c>
      <x:c r="L232" s="95" t="str">
        <x:v>暂缓</x:v>
      </x:c>
      <x:c r="M232" s="95" t="str">
        <x:v>当前不投入</x:v>
      </x:c>
      <x:c r="N232" s="95" t="str">
        <x:v>P1</x:v>
      </x:c>
      <x:c r="O232" s="95" t="str">
        <x:v>https://www.nature.com/articles/s41467-024-55655-3</x:v>
      </x:c>
      <x:c r="P232" s="96" t="str">
        <x:v>待评审</x:v>
      </x:c>
    </x:row>
    <x:row r="233">
      <x:c r="A233" s="94" t="str">
        <x:v>T0229</x:v>
      </x:c>
      <x:c r="B233" s="95" t="str">
        <x:v>实验执行与具身自动化</x:v>
      </x:c>
      <x:c r="C233" s="95" t="str">
        <x:v>液体处理与微流控</x:v>
      </x:c>
      <x:c r="D233" s="95" t="str">
        <x:v>当前低优先</x:v>
      </x:c>
      <x:c r="E233" s="100" t="n">
        <x:v>3</x:v>
      </x:c>
      <x:c r="F233" s="95" t="str">
        <x:v>实验执行</x:v>
      </x:c>
      <x:c r="G233" s="95" t="str">
        <x:v>G 实验执行自动化</x:v>
      </x:c>
      <x:c r="H233" s="95" t="str">
        <x:v>液滴微流控</x:v>
      </x:c>
      <x:c r="I233" s="95" t="str">
        <x:v>提高酸液、浆料和调配步骤的一致性；需结合高黏体系适配。</x:v>
      </x:c>
      <x:c r="J233" s="95" t="str">
        <x:v>仅围绕制膜、装夹、调理和EIS操作的真实瓶颈逐步自动化。</x:v>
      </x:c>
      <x:c r="K233" s="95" t="str">
        <x:v>可直接支撑当前EIS-only闭环。</x:v>
      </x:c>
      <x:c r="L233" s="95" t="str">
        <x:v>暂缓</x:v>
      </x:c>
      <x:c r="M233" s="95" t="str">
        <x:v>当前不投入</x:v>
      </x:c>
      <x:c r="N233" s="95" t="str">
        <x:v>P2</x:v>
      </x:c>
      <x:c r="O233" s="95" t="str">
        <x:v>https://pubs.acs.org/doi/10.1021/acs.chemrev.4c00055</x:v>
      </x:c>
      <x:c r="P233" s="96" t="str">
        <x:v>待评审</x:v>
      </x:c>
    </x:row>
    <x:row r="234">
      <x:c r="A234" s="94" t="str">
        <x:v>T0230</x:v>
      </x:c>
      <x:c r="B234" s="95" t="str">
        <x:v>实验执行与具身自动化</x:v>
      </x:c>
      <x:c r="C234" s="95" t="str">
        <x:v>液体处理与微流控</x:v>
      </x:c>
      <x:c r="D234" s="95" t="str">
        <x:v>当前低优先</x:v>
      </x:c>
      <x:c r="E234" s="100" t="n">
        <x:v>3</x:v>
      </x:c>
      <x:c r="F234" s="95" t="str">
        <x:v>实验执行</x:v>
      </x:c>
      <x:c r="G234" s="95" t="str">
        <x:v>G 实验执行自动化</x:v>
      </x:c>
      <x:c r="H234" s="95" t="str">
        <x:v>连续流微流控</x:v>
      </x:c>
      <x:c r="I234" s="95" t="str">
        <x:v>提高酸液、浆料和调配步骤的一致性；需结合高黏体系适配。</x:v>
      </x:c>
      <x:c r="J234" s="95" t="str">
        <x:v>仅围绕制膜、装夹、调理和EIS操作的真实瓶颈逐步自动化。</x:v>
      </x:c>
      <x:c r="K234" s="95" t="str">
        <x:v>可直接支撑当前EIS-only闭环。</x:v>
      </x:c>
      <x:c r="L234" s="95" t="str">
        <x:v>暂缓</x:v>
      </x:c>
      <x:c r="M234" s="95" t="str">
        <x:v>当前不投入</x:v>
      </x:c>
      <x:c r="N234" s="95" t="str">
        <x:v>P2</x:v>
      </x:c>
      <x:c r="O234" s="95" t="str">
        <x:v>https://royalsocietypublishing.org/rsos/article/12/7/250646/235354/Autonomous-self-driving-laboratories-a-review-of</x:v>
      </x:c>
      <x:c r="P234" s="96" t="str">
        <x:v>待评审</x:v>
      </x:c>
    </x:row>
    <x:row r="235">
      <x:c r="A235" s="94" t="str">
        <x:v>T0231</x:v>
      </x:c>
      <x:c r="B235" s="95" t="str">
        <x:v>实验执行与具身自动化</x:v>
      </x:c>
      <x:c r="C235" s="95" t="str">
        <x:v>液体处理与微流控</x:v>
      </x:c>
      <x:c r="D235" s="95" t="str">
        <x:v>当前低优先</x:v>
      </x:c>
      <x:c r="E235" s="100" t="n">
        <x:v>3</x:v>
      </x:c>
      <x:c r="F235" s="95" t="str">
        <x:v>实验执行</x:v>
      </x:c>
      <x:c r="G235" s="95" t="str">
        <x:v>G 实验执行自动化</x:v>
      </x:c>
      <x:c r="H235" s="95" t="str">
        <x:v>数字微流控</x:v>
      </x:c>
      <x:c r="I235" s="95" t="str">
        <x:v>提高酸液、浆料和调配步骤的一致性；需结合高黏体系适配。</x:v>
      </x:c>
      <x:c r="J235" s="95" t="str">
        <x:v>仅围绕制膜、装夹、调理和EIS操作的真实瓶颈逐步自动化。</x:v>
      </x:c>
      <x:c r="K235" s="95" t="str">
        <x:v>可直接支撑当前EIS-only闭环。</x:v>
      </x:c>
      <x:c r="L235" s="95" t="str">
        <x:v>暂缓</x:v>
      </x:c>
      <x:c r="M235" s="95" t="str">
        <x:v>当前不投入</x:v>
      </x:c>
      <x:c r="N235" s="95" t="str">
        <x:v>P2</x:v>
      </x:c>
      <x:c r="O235" s="95" t="str">
        <x:v>https://www.science.org/doi/10.1126/sciadv.adj0461</x:v>
      </x:c>
      <x:c r="P235" s="96" t="str">
        <x:v>待评审</x:v>
      </x:c>
    </x:row>
    <x:row r="236">
      <x:c r="A236" s="94" t="str">
        <x:v>T0232</x:v>
      </x:c>
      <x:c r="B236" s="95" t="str">
        <x:v>实验执行与具身自动化</x:v>
      </x:c>
      <x:c r="C236" s="95" t="str">
        <x:v>液体处理与微流控</x:v>
      </x:c>
      <x:c r="D236" s="95" t="str">
        <x:v>当前低优先</x:v>
      </x:c>
      <x:c r="E236" s="100" t="n">
        <x:v>3</x:v>
      </x:c>
      <x:c r="F236" s="95" t="str">
        <x:v>实验执行</x:v>
      </x:c>
      <x:c r="G236" s="95" t="str">
        <x:v>G 实验执行自动化</x:v>
      </x:c>
      <x:c r="H236" s="95" t="str">
        <x:v>芯片实验室</x:v>
      </x:c>
      <x:c r="I236" s="95" t="str">
        <x:v>提高酸液、浆料和调配步骤的一致性；需结合高黏体系适配。</x:v>
      </x:c>
      <x:c r="J236" s="95" t="str">
        <x:v>仅围绕制膜、装夹、调理和EIS操作的真实瓶颈逐步自动化。</x:v>
      </x:c>
      <x:c r="K236" s="95" t="str">
        <x:v>可直接支撑当前EIS-only闭环。</x:v>
      </x:c>
      <x:c r="L236" s="95" t="str">
        <x:v>暂缓</x:v>
      </x:c>
      <x:c r="M236" s="95" t="str">
        <x:v>当前不投入</x:v>
      </x:c>
      <x:c r="N236" s="95" t="str">
        <x:v>P2</x:v>
      </x:c>
      <x:c r="O236" s="95" t="str">
        <x:v>https://www.nature.com/articles/s41467-024-55655-3</x:v>
      </x:c>
      <x:c r="P236" s="96" t="str">
        <x:v>待评审</x:v>
      </x:c>
    </x:row>
    <x:row r="237">
      <x:c r="A237" s="94" t="str">
        <x:v>T0233</x:v>
      </x:c>
      <x:c r="B237" s="95" t="str">
        <x:v>实验执行与具身自动化</x:v>
      </x:c>
      <x:c r="C237" s="95" t="str">
        <x:v>液体处理与微流控</x:v>
      </x:c>
      <x:c r="D237" s="95" t="str">
        <x:v>当前低优先</x:v>
      </x:c>
      <x:c r="E237" s="100" t="n">
        <x:v>3</x:v>
      </x:c>
      <x:c r="F237" s="95" t="str">
        <x:v>实验执行</x:v>
      </x:c>
      <x:c r="G237" s="95" t="str">
        <x:v>G 实验执行自动化</x:v>
      </x:c>
      <x:c r="H237" s="95" t="str">
        <x:v>微反应器</x:v>
      </x:c>
      <x:c r="I237" s="95" t="str">
        <x:v>提高酸液、浆料和调配步骤的一致性；需结合高黏体系适配。</x:v>
      </x:c>
      <x:c r="J237" s="95" t="str">
        <x:v>仅围绕制膜、装夹、调理和EIS操作的真实瓶颈逐步自动化。</x:v>
      </x:c>
      <x:c r="K237" s="95" t="str">
        <x:v>可直接支撑当前EIS-only闭环。</x:v>
      </x:c>
      <x:c r="L237" s="95" t="str">
        <x:v>暂缓</x:v>
      </x:c>
      <x:c r="M237" s="95" t="str">
        <x:v>当前不投入</x:v>
      </x:c>
      <x:c r="N237" s="95" t="str">
        <x:v>P2</x:v>
      </x:c>
      <x:c r="O237" s="95" t="str">
        <x:v>https://pubs.acs.org/doi/10.1021/acs.chemrev.4c00055</x:v>
      </x:c>
      <x:c r="P237" s="96" t="str">
        <x:v>待评审</x:v>
      </x:c>
    </x:row>
    <x:row r="238">
      <x:c r="A238" s="94" t="str">
        <x:v>T0234</x:v>
      </x:c>
      <x:c r="B238" s="95" t="str">
        <x:v>实验执行与具身自动化</x:v>
      </x:c>
      <x:c r="C238" s="95" t="str">
        <x:v>液体处理与微流控</x:v>
      </x:c>
      <x:c r="D238" s="95" t="str">
        <x:v>当前低优先</x:v>
      </x:c>
      <x:c r="E238" s="100" t="n">
        <x:v>3</x:v>
      </x:c>
      <x:c r="F238" s="95" t="str">
        <x:v>实验执行</x:v>
      </x:c>
      <x:c r="G238" s="95" t="str">
        <x:v>G 实验执行自动化</x:v>
      </x:c>
      <x:c r="H238" s="95" t="str">
        <x:v>阀阵列控制</x:v>
      </x:c>
      <x:c r="I238" s="95" t="str">
        <x:v>提高酸液、浆料和调配步骤的一致性；需结合高黏体系适配。</x:v>
      </x:c>
      <x:c r="J238" s="95" t="str">
        <x:v>仅围绕制膜、装夹、调理和EIS操作的真实瓶颈逐步自动化。</x:v>
      </x:c>
      <x:c r="K238" s="95" t="str">
        <x:v>可直接支撑当前EIS-only闭环。</x:v>
      </x:c>
      <x:c r="L238" s="95" t="str">
        <x:v>暂缓</x:v>
      </x:c>
      <x:c r="M238" s="95" t="str">
        <x:v>当前不投入</x:v>
      </x:c>
      <x:c r="N238" s="95" t="str">
        <x:v>P2</x:v>
      </x:c>
      <x:c r="O238" s="95" t="str">
        <x:v>https://royalsocietypublishing.org/rsos/article/12/7/250646/235354/Autonomous-self-driving-laboratories-a-review-of</x:v>
      </x:c>
      <x:c r="P238" s="96" t="str">
        <x:v>待评审</x:v>
      </x:c>
    </x:row>
    <x:row r="239">
      <x:c r="A239" s="94" t="str">
        <x:v>T0235</x:v>
      </x:c>
      <x:c r="B239" s="95" t="str">
        <x:v>实验执行与具身自动化</x:v>
      </x:c>
      <x:c r="C239" s="95" t="str">
        <x:v>液体处理与微流控</x:v>
      </x:c>
      <x:c r="D239" s="95" t="str">
        <x:v>当前低优先</x:v>
      </x:c>
      <x:c r="E239" s="100" t="n">
        <x:v>3</x:v>
      </x:c>
      <x:c r="F239" s="95" t="str">
        <x:v>实验执行</x:v>
      </x:c>
      <x:c r="G239" s="95" t="str">
        <x:v>G 实验执行自动化</x:v>
      </x:c>
      <x:c r="H239" s="95" t="str">
        <x:v>泵闭环控制</x:v>
      </x:c>
      <x:c r="I239" s="95" t="str">
        <x:v>提高酸液、浆料和调配步骤的一致性；需结合高黏体系适配。</x:v>
      </x:c>
      <x:c r="J239" s="95" t="str">
        <x:v>仅围绕制膜、装夹、调理和EIS操作的真实瓶颈逐步自动化。</x:v>
      </x:c>
      <x:c r="K239" s="95" t="str">
        <x:v>可直接支撑当前EIS-only闭环。</x:v>
      </x:c>
      <x:c r="L239" s="95" t="str">
        <x:v>暂缓</x:v>
      </x:c>
      <x:c r="M239" s="95" t="str">
        <x:v>当前不投入</x:v>
      </x:c>
      <x:c r="N239" s="95" t="str">
        <x:v>P2</x:v>
      </x:c>
      <x:c r="O239" s="95" t="str">
        <x:v>https://www.science.org/doi/10.1126/sciadv.adj0461</x:v>
      </x:c>
      <x:c r="P239" s="96" t="str">
        <x:v>待评审</x:v>
      </x:c>
    </x:row>
    <x:row r="240">
      <x:c r="A240" s="94" t="str">
        <x:v>T0236</x:v>
      </x:c>
      <x:c r="B240" s="95" t="str">
        <x:v>实验执行与具身自动化</x:v>
      </x:c>
      <x:c r="C240" s="95" t="str">
        <x:v>液体处理与微流控</x:v>
      </x:c>
      <x:c r="D240" s="95" t="str">
        <x:v>当前低优先</x:v>
      </x:c>
      <x:c r="E240" s="100" t="n">
        <x:v>3</x:v>
      </x:c>
      <x:c r="F240" s="95" t="str">
        <x:v>实验执行</x:v>
      </x:c>
      <x:c r="G240" s="95" t="str">
        <x:v>G 实验执行自动化</x:v>
      </x:c>
      <x:c r="H240" s="95" t="str">
        <x:v>气泡检测</x:v>
      </x:c>
      <x:c r="I240" s="95" t="str">
        <x:v>提高酸液、浆料和调配步骤的一致性；需结合高黏体系适配。</x:v>
      </x:c>
      <x:c r="J240" s="95" t="str">
        <x:v>仅围绕制膜、装夹、调理和EIS操作的真实瓶颈逐步自动化。</x:v>
      </x:c>
      <x:c r="K240" s="95" t="str">
        <x:v>可直接支撑当前EIS-only闭环。</x:v>
      </x:c>
      <x:c r="L240" s="95" t="str">
        <x:v>暂缓</x:v>
      </x:c>
      <x:c r="M240" s="95" t="str">
        <x:v>当前不投入</x:v>
      </x:c>
      <x:c r="N240" s="95" t="str">
        <x:v>P2</x:v>
      </x:c>
      <x:c r="O240" s="95" t="str">
        <x:v>https://www.nature.com/articles/s41467-024-55655-3</x:v>
      </x:c>
      <x:c r="P240" s="96" t="str">
        <x:v>待评审</x:v>
      </x:c>
    </x:row>
    <x:row r="241">
      <x:c r="A241" s="94" t="str">
        <x:v>T0237</x:v>
      </x:c>
      <x:c r="B241" s="95" t="str">
        <x:v>实验执行与具身自动化</x:v>
      </x:c>
      <x:c r="C241" s="95" t="str">
        <x:v>液体处理与微流控</x:v>
      </x:c>
      <x:c r="D241" s="95" t="str">
        <x:v>当前低优先</x:v>
      </x:c>
      <x:c r="E241" s="100" t="n">
        <x:v>3</x:v>
      </x:c>
      <x:c r="F241" s="95" t="str">
        <x:v>实验执行</x:v>
      </x:c>
      <x:c r="G241" s="95" t="str">
        <x:v>G 实验执行自动化</x:v>
      </x:c>
      <x:c r="H241" s="95" t="str">
        <x:v>堵塞检测</x:v>
      </x:c>
      <x:c r="I241" s="95" t="str">
        <x:v>提高酸液、浆料和调配步骤的一致性；需结合高黏体系适配。</x:v>
      </x:c>
      <x:c r="J241" s="95" t="str">
        <x:v>仅围绕制膜、装夹、调理和EIS操作的真实瓶颈逐步自动化。</x:v>
      </x:c>
      <x:c r="K241" s="95" t="str">
        <x:v>可直接支撑当前EIS-only闭环。</x:v>
      </x:c>
      <x:c r="L241" s="95" t="str">
        <x:v>暂缓</x:v>
      </x:c>
      <x:c r="M241" s="95" t="str">
        <x:v>当前不投入</x:v>
      </x:c>
      <x:c r="N241" s="95" t="str">
        <x:v>P2</x:v>
      </x:c>
      <x:c r="O241" s="95" t="str">
        <x:v>https://pubs.acs.org/doi/10.1021/acs.chemrev.4c00055</x:v>
      </x:c>
      <x:c r="P241" s="96" t="str">
        <x:v>待评审</x:v>
      </x:c>
    </x:row>
    <x:row r="242">
      <x:c r="A242" s="94" t="str">
        <x:v>T0238</x:v>
      </x:c>
      <x:c r="B242" s="95" t="str">
        <x:v>实验执行与具身自动化</x:v>
      </x:c>
      <x:c r="C242" s="95" t="str">
        <x:v>液体处理与微流控</x:v>
      </x:c>
      <x:c r="D242" s="95" t="str">
        <x:v>当前低优先</x:v>
      </x:c>
      <x:c r="E242" s="100" t="n">
        <x:v>3</x:v>
      </x:c>
      <x:c r="F242" s="95" t="str">
        <x:v>实验执行</x:v>
      </x:c>
      <x:c r="G242" s="95" t="str">
        <x:v>G 实验执行自动化</x:v>
      </x:c>
      <x:c r="H242" s="95" t="str">
        <x:v>在线稀释</x:v>
      </x:c>
      <x:c r="I242" s="95" t="str">
        <x:v>提高酸液、浆料和调配步骤的一致性；需结合高黏体系适配。</x:v>
      </x:c>
      <x:c r="J242" s="95" t="str">
        <x:v>仅围绕制膜、装夹、调理和EIS操作的真实瓶颈逐步自动化。</x:v>
      </x:c>
      <x:c r="K242" s="95" t="str">
        <x:v>可直接支撑当前EIS-only闭环。</x:v>
      </x:c>
      <x:c r="L242" s="95" t="str">
        <x:v>暂缓</x:v>
      </x:c>
      <x:c r="M242" s="95" t="str">
        <x:v>当前不投入</x:v>
      </x:c>
      <x:c r="N242" s="95" t="str">
        <x:v>P2</x:v>
      </x:c>
      <x:c r="O242" s="95" t="str">
        <x:v>https://royalsocietypublishing.org/rsos/article/12/7/250646/235354/Autonomous-self-driving-laboratories-a-review-of</x:v>
      </x:c>
      <x:c r="P242" s="96" t="str">
        <x:v>待评审</x:v>
      </x:c>
    </x:row>
    <x:row r="243">
      <x:c r="A243" s="94" t="str">
        <x:v>T0239</x:v>
      </x:c>
      <x:c r="B243" s="95" t="str">
        <x:v>实验执行与具身自动化</x:v>
      </x:c>
      <x:c r="C243" s="95" t="str">
        <x:v>液体处理与微流控</x:v>
      </x:c>
      <x:c r="D243" s="95" t="str">
        <x:v>当前低优先</x:v>
      </x:c>
      <x:c r="E243" s="100" t="n">
        <x:v>3</x:v>
      </x:c>
      <x:c r="F243" s="95" t="str">
        <x:v>实验执行</x:v>
      </x:c>
      <x:c r="G243" s="95" t="str">
        <x:v>G 实验执行自动化</x:v>
      </x:c>
      <x:c r="H243" s="95" t="str">
        <x:v>纳升级处理</x:v>
      </x:c>
      <x:c r="I243" s="95" t="str">
        <x:v>提高酸液、浆料和调配步骤的一致性；需结合高黏体系适配。</x:v>
      </x:c>
      <x:c r="J243" s="95" t="str">
        <x:v>仅围绕制膜、装夹、调理和EIS操作的真实瓶颈逐步自动化。</x:v>
      </x:c>
      <x:c r="K243" s="95" t="str">
        <x:v>可直接支撑当前EIS-only闭环。</x:v>
      </x:c>
      <x:c r="L243" s="95" t="str">
        <x:v>暂缓</x:v>
      </x:c>
      <x:c r="M243" s="95" t="str">
        <x:v>当前不投入</x:v>
      </x:c>
      <x:c r="N243" s="95" t="str">
        <x:v>P2</x:v>
      </x:c>
      <x:c r="O243" s="95" t="str">
        <x:v>https://www.science.org/doi/10.1126/sciadv.adj0461</x:v>
      </x:c>
      <x:c r="P243" s="96" t="str">
        <x:v>待评审</x:v>
      </x:c>
    </x:row>
    <x:row r="244">
      <x:c r="A244" s="94" t="str">
        <x:v>T0240</x:v>
      </x:c>
      <x:c r="B244" s="95" t="str">
        <x:v>实验执行与具身自动化</x:v>
      </x:c>
      <x:c r="C244" s="95" t="str">
        <x:v>液体处理与微流控</x:v>
      </x:c>
      <x:c r="D244" s="95" t="str">
        <x:v>当前低优先</x:v>
      </x:c>
      <x:c r="E244" s="100" t="n">
        <x:v>3</x:v>
      </x:c>
      <x:c r="F244" s="95" t="str">
        <x:v>实验执行</x:v>
      </x:c>
      <x:c r="G244" s="95" t="str">
        <x:v>G 实验执行自动化</x:v>
      </x:c>
      <x:c r="H244" s="95" t="str">
        <x:v>闭环定量加液</x:v>
      </x:c>
      <x:c r="I244" s="95" t="str">
        <x:v>提高酸液、浆料和调配步骤的一致性；需结合高黏体系适配。</x:v>
      </x:c>
      <x:c r="J244" s="95" t="str">
        <x:v>仅围绕制膜、装夹、调理和EIS操作的真实瓶颈逐步自动化。</x:v>
      </x:c>
      <x:c r="K244" s="95" t="str">
        <x:v>可直接支撑当前EIS-only闭环。</x:v>
      </x:c>
      <x:c r="L244" s="95" t="str">
        <x:v>暂缓</x:v>
      </x:c>
      <x:c r="M244" s="95" t="str">
        <x:v>当前不投入</x:v>
      </x:c>
      <x:c r="N244" s="95" t="str">
        <x:v>P2</x:v>
      </x:c>
      <x:c r="O244" s="95" t="str">
        <x:v>https://www.nature.com/articles/s41467-024-55655-3</x:v>
      </x:c>
      <x:c r="P244" s="96" t="str">
        <x:v>待评审</x:v>
      </x:c>
    </x:row>
    <x:row r="245">
      <x:c r="A245" s="94" t="str">
        <x:v>T0241</x:v>
      </x:c>
      <x:c r="B245" s="95" t="str">
        <x:v>实验执行与具身自动化</x:v>
      </x:c>
      <x:c r="C245" s="95" t="str">
        <x:v>固体、粉体与合成自动化</x:v>
      </x:c>
      <x:c r="D245" s="95" t="str">
        <x:v>研究储备</x:v>
      </x:c>
      <x:c r="E245" s="100" t="n">
        <x:v>5</x:v>
      </x:c>
      <x:c r="F245" s="95" t="str">
        <x:v>实验执行</x:v>
      </x:c>
      <x:c r="G245" s="95" t="str">
        <x:v>G 实验执行自动化</x:v>
      </x:c>
      <x:c r="H245" s="95" t="str">
        <x:v>粉体定量分配</x:v>
      </x:c>
      <x:c r="I245" s="95" t="str">
        <x:v>控制黏土/聚合物称量、混合与膜制备批间差。</x:v>
      </x:c>
      <x:c r="J245" s="95" t="str">
        <x:v>仅围绕制膜、装夹、调理和EIS操作的真实瓶颈逐步自动化。</x:v>
      </x:c>
      <x:c r="K245" s="95" t="str">
        <x:v>可直接支撑当前EIS-only闭环。</x:v>
      </x:c>
      <x:c r="L245" s="95" t="str">
        <x:v>M3 研究储备</x:v>
      </x:c>
      <x:c r="M245" s="95" t="str">
        <x:v>条件具备后</x:v>
      </x:c>
      <x:c r="N245" s="95" t="str">
        <x:v>P0</x:v>
      </x:c>
      <x:c r="O245" s="95" t="str">
        <x:v>https://www.nature.com/articles/s41586-023-06734-w</x:v>
      </x:c>
      <x:c r="P245" s="96" t="str">
        <x:v>待评审</x:v>
      </x:c>
    </x:row>
    <x:row r="246">
      <x:c r="A246" s="94" t="str">
        <x:v>T0242</x:v>
      </x:c>
      <x:c r="B246" s="95" t="str">
        <x:v>实验执行与具身自动化</x:v>
      </x:c>
      <x:c r="C246" s="95" t="str">
        <x:v>固体、粉体与合成自动化</x:v>
      </x:c>
      <x:c r="D246" s="95" t="str">
        <x:v>研究储备</x:v>
      </x:c>
      <x:c r="E246" s="100" t="n">
        <x:v>5</x:v>
      </x:c>
      <x:c r="F246" s="95" t="str">
        <x:v>实验执行</x:v>
      </x:c>
      <x:c r="G246" s="95" t="str">
        <x:v>G 实验执行自动化</x:v>
      </x:c>
      <x:c r="H246" s="95" t="str">
        <x:v>微量粉体称量</x:v>
      </x:c>
      <x:c r="I246" s="95" t="str">
        <x:v>控制黏土/聚合物称量、混合与膜制备批间差。</x:v>
      </x:c>
      <x:c r="J246" s="95" t="str">
        <x:v>仅围绕制膜、装夹、调理和EIS操作的真实瓶颈逐步自动化。</x:v>
      </x:c>
      <x:c r="K246" s="95" t="str">
        <x:v>可直接支撑当前EIS-only闭环。</x:v>
      </x:c>
      <x:c r="L246" s="95" t="str">
        <x:v>M3 研究储备</x:v>
      </x:c>
      <x:c r="M246" s="95" t="str">
        <x:v>条件具备后</x:v>
      </x:c>
      <x:c r="N246" s="95" t="str">
        <x:v>P0</x:v>
      </x:c>
      <x:c r="O246" s="95" t="str">
        <x:v>https://pubs.rsc.org/en/content/articlehtml/2024/sc/d3sc06206f</x:v>
      </x:c>
      <x:c r="P246" s="96" t="str">
        <x:v>待评审</x:v>
      </x:c>
    </x:row>
    <x:row r="247">
      <x:c r="A247" s="94" t="str">
        <x:v>T0243</x:v>
      </x:c>
      <x:c r="B247" s="95" t="str">
        <x:v>实验执行与具身自动化</x:v>
      </x:c>
      <x:c r="C247" s="95" t="str">
        <x:v>固体、粉体与合成自动化</x:v>
      </x:c>
      <x:c r="D247" s="95" t="str">
        <x:v>研究储备</x:v>
      </x:c>
      <x:c r="E247" s="100" t="n">
        <x:v>5</x:v>
      </x:c>
      <x:c r="F247" s="95" t="str">
        <x:v>实验执行</x:v>
      </x:c>
      <x:c r="G247" s="95" t="str">
        <x:v>G 实验执行自动化</x:v>
      </x:c>
      <x:c r="H247" s="95" t="str">
        <x:v>体积密度建模</x:v>
      </x:c>
      <x:c r="I247" s="95" t="str">
        <x:v>控制黏土/聚合物称量、混合与膜制备批间差。</x:v>
      </x:c>
      <x:c r="J247" s="95" t="str">
        <x:v>仅围绕制膜、装夹、调理和EIS操作的真实瓶颈逐步自动化。</x:v>
      </x:c>
      <x:c r="K247" s="95" t="str">
        <x:v>可直接支撑当前EIS-only闭环。</x:v>
      </x:c>
      <x:c r="L247" s="95" t="str">
        <x:v>M3 研究储备</x:v>
      </x:c>
      <x:c r="M247" s="95" t="str">
        <x:v>条件具备后</x:v>
      </x:c>
      <x:c r="N247" s="95" t="str">
        <x:v>P0</x:v>
      </x:c>
      <x:c r="O247" s="95" t="str">
        <x:v>https://www.science.org/doi/10.1126/sciadv.adj0461</x:v>
      </x:c>
      <x:c r="P247" s="96" t="str">
        <x:v>待评审</x:v>
      </x:c>
    </x:row>
    <x:row r="248">
      <x:c r="A248" s="94" t="str">
        <x:v>T0244</x:v>
      </x:c>
      <x:c r="B248" s="95" t="str">
        <x:v>实验执行与具身自动化</x:v>
      </x:c>
      <x:c r="C248" s="95" t="str">
        <x:v>固体、粉体与合成自动化</x:v>
      </x:c>
      <x:c r="D248" s="95" t="str">
        <x:v>研究储备</x:v>
      </x:c>
      <x:c r="E248" s="100" t="n">
        <x:v>5</x:v>
      </x:c>
      <x:c r="F248" s="95" t="str">
        <x:v>实验执行</x:v>
      </x:c>
      <x:c r="G248" s="95" t="str">
        <x:v>G 实验执行自动化</x:v>
      </x:c>
      <x:c r="H248" s="95" t="str">
        <x:v>流动性表征</x:v>
      </x:c>
      <x:c r="I248" s="95" t="str">
        <x:v>控制黏土/聚合物称量、混合与膜制备批间差。</x:v>
      </x:c>
      <x:c r="J248" s="95" t="str">
        <x:v>仅围绕制膜、装夹、调理和EIS操作的真实瓶颈逐步自动化。</x:v>
      </x:c>
      <x:c r="K248" s="95" t="str">
        <x:v>可直接支撑当前EIS-only闭环。</x:v>
      </x:c>
      <x:c r="L248" s="95" t="str">
        <x:v>M3 研究储备</x:v>
      </x:c>
      <x:c r="M248" s="95" t="str">
        <x:v>条件具备后</x:v>
      </x:c>
      <x:c r="N248" s="95" t="str">
        <x:v>P0</x:v>
      </x:c>
      <x:c r="O248" s="95" t="str">
        <x:v>https://www.nature.com/articles/s41467-024-55655-3</x:v>
      </x:c>
      <x:c r="P248" s="96" t="str">
        <x:v>待评审</x:v>
      </x:c>
    </x:row>
    <x:row r="249">
      <x:c r="A249" s="94" t="str">
        <x:v>T0245</x:v>
      </x:c>
      <x:c r="B249" s="95" t="str">
        <x:v>实验执行与具身自动化</x:v>
      </x:c>
      <x:c r="C249" s="95" t="str">
        <x:v>固体、粉体与合成自动化</x:v>
      </x:c>
      <x:c r="D249" s="95" t="str">
        <x:v>研究储备</x:v>
      </x:c>
      <x:c r="E249" s="100" t="n">
        <x:v>5</x:v>
      </x:c>
      <x:c r="F249" s="95" t="str">
        <x:v>实验执行</x:v>
      </x:c>
      <x:c r="G249" s="95" t="str">
        <x:v>G 实验执行自动化</x:v>
      </x:c>
      <x:c r="H249" s="95" t="str">
        <x:v>吸湿性管理</x:v>
      </x:c>
      <x:c r="I249" s="95" t="str">
        <x:v>控制黏土/聚合物称量、混合与膜制备批间差。</x:v>
      </x:c>
      <x:c r="J249" s="95" t="str">
        <x:v>仅围绕制膜、装夹、调理和EIS操作的真实瓶颈逐步自动化。</x:v>
      </x:c>
      <x:c r="K249" s="95" t="str">
        <x:v>可直接支撑当前EIS-only闭环。</x:v>
      </x:c>
      <x:c r="L249" s="95" t="str">
        <x:v>M3 研究储备</x:v>
      </x:c>
      <x:c r="M249" s="95" t="str">
        <x:v>条件具备后</x:v>
      </x:c>
      <x:c r="N249" s="95" t="str">
        <x:v>P0</x:v>
      </x:c>
      <x:c r="O249" s="95" t="str">
        <x:v>https://www.nature.com/articles/s41586-023-06734-w</x:v>
      </x:c>
      <x:c r="P249" s="96" t="str">
        <x:v>待评审</x:v>
      </x:c>
    </x:row>
    <x:row r="250">
      <x:c r="A250" s="94" t="str">
        <x:v>T0246</x:v>
      </x:c>
      <x:c r="B250" s="95" t="str">
        <x:v>实验执行与具身自动化</x:v>
      </x:c>
      <x:c r="C250" s="95" t="str">
        <x:v>固体、粉体与合成自动化</x:v>
      </x:c>
      <x:c r="D250" s="95" t="str">
        <x:v>研究储备</x:v>
      </x:c>
      <x:c r="E250" s="100" t="n">
        <x:v>5</x:v>
      </x:c>
      <x:c r="F250" s="95" t="str">
        <x:v>实验执行</x:v>
      </x:c>
      <x:c r="G250" s="95" t="str">
        <x:v>G 实验执行自动化</x:v>
      </x:c>
      <x:c r="H250" s="95" t="str">
        <x:v>静电消除</x:v>
      </x:c>
      <x:c r="I250" s="95" t="str">
        <x:v>控制黏土/聚合物称量、混合与膜制备批间差。</x:v>
      </x:c>
      <x:c r="J250" s="95" t="str">
        <x:v>仅围绕制膜、装夹、调理和EIS操作的真实瓶颈逐步自动化。</x:v>
      </x:c>
      <x:c r="K250" s="95" t="str">
        <x:v>可直接支撑当前EIS-only闭环。</x:v>
      </x:c>
      <x:c r="L250" s="95" t="str">
        <x:v>M3 研究储备</x:v>
      </x:c>
      <x:c r="M250" s="95" t="str">
        <x:v>条件具备后</x:v>
      </x:c>
      <x:c r="N250" s="95" t="str">
        <x:v>P0</x:v>
      </x:c>
      <x:c r="O250" s="95" t="str">
        <x:v>https://pubs.rsc.org/en/content/articlehtml/2024/sc/d3sc06206f</x:v>
      </x:c>
      <x:c r="P250" s="96" t="str">
        <x:v>待评审</x:v>
      </x:c>
    </x:row>
    <x:row r="251">
      <x:c r="A251" s="94" t="str">
        <x:v>T0247</x:v>
      </x:c>
      <x:c r="B251" s="95" t="str">
        <x:v>实验执行与具身自动化</x:v>
      </x:c>
      <x:c r="C251" s="95" t="str">
        <x:v>固体、粉体与合成自动化</x:v>
      </x:c>
      <x:c r="D251" s="95" t="str">
        <x:v>研究储备</x:v>
      </x:c>
      <x:c r="E251" s="100" t="n">
        <x:v>5</x:v>
      </x:c>
      <x:c r="F251" s="95" t="str">
        <x:v>实验执行</x:v>
      </x:c>
      <x:c r="G251" s="95" t="str">
        <x:v>G 实验执行自动化</x:v>
      </x:c>
      <x:c r="H251" s="95" t="str">
        <x:v>结块识别</x:v>
      </x:c>
      <x:c r="I251" s="95" t="str">
        <x:v>控制黏土/聚合物称量、混合与膜制备批间差。</x:v>
      </x:c>
      <x:c r="J251" s="95" t="str">
        <x:v>仅围绕制膜、装夹、调理和EIS操作的真实瓶颈逐步自动化。</x:v>
      </x:c>
      <x:c r="K251" s="95" t="str">
        <x:v>可直接支撑当前EIS-only闭环。</x:v>
      </x:c>
      <x:c r="L251" s="95" t="str">
        <x:v>M3 研究储备</x:v>
      </x:c>
      <x:c r="M251" s="95" t="str">
        <x:v>条件具备后</x:v>
      </x:c>
      <x:c r="N251" s="95" t="str">
        <x:v>P0</x:v>
      </x:c>
      <x:c r="O251" s="95" t="str">
        <x:v>https://www.science.org/doi/10.1126/sciadv.adj0461</x:v>
      </x:c>
      <x:c r="P251" s="96" t="str">
        <x:v>待评审</x:v>
      </x:c>
    </x:row>
    <x:row r="252">
      <x:c r="A252" s="94" t="str">
        <x:v>T0248</x:v>
      </x:c>
      <x:c r="B252" s="95" t="str">
        <x:v>实验执行与具身自动化</x:v>
      </x:c>
      <x:c r="C252" s="95" t="str">
        <x:v>固体、粉体与合成自动化</x:v>
      </x:c>
      <x:c r="D252" s="95" t="str">
        <x:v>研究储备</x:v>
      </x:c>
      <x:c r="E252" s="100" t="n">
        <x:v>5</x:v>
      </x:c>
      <x:c r="F252" s="95" t="str">
        <x:v>实验执行</x:v>
      </x:c>
      <x:c r="G252" s="95" t="str">
        <x:v>G 实验执行自动化</x:v>
      </x:c>
      <x:c r="H252" s="95" t="str">
        <x:v>粒径分布</x:v>
      </x:c>
      <x:c r="I252" s="95" t="str">
        <x:v>控制黏土/聚合物称量、混合与膜制备批间差。</x:v>
      </x:c>
      <x:c r="J252" s="95" t="str">
        <x:v>仅围绕制膜、装夹、调理和EIS操作的真实瓶颈逐步自动化。</x:v>
      </x:c>
      <x:c r="K252" s="95" t="str">
        <x:v>可直接支撑当前EIS-only闭环。</x:v>
      </x:c>
      <x:c r="L252" s="95" t="str">
        <x:v>M3 研究储备</x:v>
      </x:c>
      <x:c r="M252" s="95" t="str">
        <x:v>条件具备后</x:v>
      </x:c>
      <x:c r="N252" s="95" t="str">
        <x:v>P0</x:v>
      </x:c>
      <x:c r="O252" s="95" t="str">
        <x:v>https://www.nature.com/articles/s41467-024-55655-3</x:v>
      </x:c>
      <x:c r="P252" s="96" t="str">
        <x:v>待评审</x:v>
      </x:c>
    </x:row>
    <x:row r="253">
      <x:c r="A253" s="94" t="str">
        <x:v>T0249</x:v>
      </x:c>
      <x:c r="B253" s="95" t="str">
        <x:v>实验执行与具身自动化</x:v>
      </x:c>
      <x:c r="C253" s="95" t="str">
        <x:v>固体、粉体与合成自动化</x:v>
      </x:c>
      <x:c r="D253" s="95" t="str">
        <x:v>研究储备</x:v>
      </x:c>
      <x:c r="E253" s="100" t="n">
        <x:v>5</x:v>
      </x:c>
      <x:c r="F253" s="95" t="str">
        <x:v>实验执行</x:v>
      </x:c>
      <x:c r="G253" s="95" t="str">
        <x:v>G 实验执行自动化</x:v>
      </x:c>
      <x:c r="H253" s="95" t="str">
        <x:v>自动筛分</x:v>
      </x:c>
      <x:c r="I253" s="95" t="str">
        <x:v>控制黏土/聚合物称量、混合与膜制备批间差。</x:v>
      </x:c>
      <x:c r="J253" s="95" t="str">
        <x:v>仅围绕制膜、装夹、调理和EIS操作的真实瓶颈逐步自动化。</x:v>
      </x:c>
      <x:c r="K253" s="95" t="str">
        <x:v>可直接支撑当前EIS-only闭环。</x:v>
      </x:c>
      <x:c r="L253" s="95" t="str">
        <x:v>M3 研究储备</x:v>
      </x:c>
      <x:c r="M253" s="95" t="str">
        <x:v>条件具备后</x:v>
      </x:c>
      <x:c r="N253" s="95" t="str">
        <x:v>P0</x:v>
      </x:c>
      <x:c r="O253" s="95" t="str">
        <x:v>https://www.nature.com/articles/s41586-023-06734-w</x:v>
      </x:c>
      <x:c r="P253" s="96" t="str">
        <x:v>待评审</x:v>
      </x:c>
    </x:row>
    <x:row r="254">
      <x:c r="A254" s="94" t="str">
        <x:v>T0250</x:v>
      </x:c>
      <x:c r="B254" s="95" t="str">
        <x:v>实验执行与具身自动化</x:v>
      </x:c>
      <x:c r="C254" s="95" t="str">
        <x:v>固体、粉体与合成自动化</x:v>
      </x:c>
      <x:c r="D254" s="95" t="str">
        <x:v>研究储备</x:v>
      </x:c>
      <x:c r="E254" s="100" t="n">
        <x:v>5</x:v>
      </x:c>
      <x:c r="F254" s="95" t="str">
        <x:v>实验执行</x:v>
      </x:c>
      <x:c r="G254" s="95" t="str">
        <x:v>G 实验执行自动化</x:v>
      </x:c>
      <x:c r="H254" s="95" t="str">
        <x:v>球磨</x:v>
      </x:c>
      <x:c r="I254" s="95" t="str">
        <x:v>控制黏土/聚合物称量、混合与膜制备批间差。</x:v>
      </x:c>
      <x:c r="J254" s="95" t="str">
        <x:v>仅围绕制膜、装夹、调理和EIS操作的真实瓶颈逐步自动化。</x:v>
      </x:c>
      <x:c r="K254" s="95" t="str">
        <x:v>可直接支撑当前EIS-only闭环。</x:v>
      </x:c>
      <x:c r="L254" s="95" t="str">
        <x:v>M3 研究储备</x:v>
      </x:c>
      <x:c r="M254" s="95" t="str">
        <x:v>条件具备后</x:v>
      </x:c>
      <x:c r="N254" s="95" t="str">
        <x:v>P0</x:v>
      </x:c>
      <x:c r="O254" s="95" t="str">
        <x:v>https://pubs.rsc.org/en/content/articlehtml/2024/sc/d3sc06206f</x:v>
      </x:c>
      <x:c r="P254" s="96" t="str">
        <x:v>待评审</x:v>
      </x:c>
    </x:row>
    <x:row r="255">
      <x:c r="A255" s="94" t="str">
        <x:v>T0251</x:v>
      </x:c>
      <x:c r="B255" s="95" t="str">
        <x:v>实验执行与具身自动化</x:v>
      </x:c>
      <x:c r="C255" s="95" t="str">
        <x:v>固体、粉体与合成自动化</x:v>
      </x:c>
      <x:c r="D255" s="95" t="str">
        <x:v>研究储备</x:v>
      </x:c>
      <x:c r="E255" s="100" t="n">
        <x:v>5</x:v>
      </x:c>
      <x:c r="F255" s="95" t="str">
        <x:v>实验执行</x:v>
      </x:c>
      <x:c r="G255" s="95" t="str">
        <x:v>G 实验执行自动化</x:v>
      </x:c>
      <x:c r="H255" s="95" t="str">
        <x:v>研磨</x:v>
      </x:c>
      <x:c r="I255" s="95" t="str">
        <x:v>控制黏土/聚合物称量、混合与膜制备批间差。</x:v>
      </x:c>
      <x:c r="J255" s="95" t="str">
        <x:v>仅围绕制膜、装夹、调理和EIS操作的真实瓶颈逐步自动化。</x:v>
      </x:c>
      <x:c r="K255" s="95" t="str">
        <x:v>可直接支撑当前EIS-only闭环。</x:v>
      </x:c>
      <x:c r="L255" s="95" t="str">
        <x:v>M3 研究储备</x:v>
      </x:c>
      <x:c r="M255" s="95" t="str">
        <x:v>条件具备后</x:v>
      </x:c>
      <x:c r="N255" s="95" t="str">
        <x:v>P1</x:v>
      </x:c>
      <x:c r="O255" s="95" t="str">
        <x:v>https://www.science.org/doi/10.1126/sciadv.adj0461</x:v>
      </x:c>
      <x:c r="P255" s="96" t="str">
        <x:v>待评审</x:v>
      </x:c>
    </x:row>
    <x:row r="256">
      <x:c r="A256" s="94" t="str">
        <x:v>T0252</x:v>
      </x:c>
      <x:c r="B256" s="95" t="str">
        <x:v>实验执行与具身自动化</x:v>
      </x:c>
      <x:c r="C256" s="95" t="str">
        <x:v>固体、粉体与合成自动化</x:v>
      </x:c>
      <x:c r="D256" s="95" t="str">
        <x:v>研究储备</x:v>
      </x:c>
      <x:c r="E256" s="100" t="n">
        <x:v>5</x:v>
      </x:c>
      <x:c r="F256" s="95" t="str">
        <x:v>实验执行</x:v>
      </x:c>
      <x:c r="G256" s="95" t="str">
        <x:v>G 实验执行自动化</x:v>
      </x:c>
      <x:c r="H256" s="95" t="str">
        <x:v>固体混合</x:v>
      </x:c>
      <x:c r="I256" s="95" t="str">
        <x:v>控制黏土/聚合物称量、混合与膜制备批间差。</x:v>
      </x:c>
      <x:c r="J256" s="95" t="str">
        <x:v>仅围绕制膜、装夹、调理和EIS操作的真实瓶颈逐步自动化。</x:v>
      </x:c>
      <x:c r="K256" s="95" t="str">
        <x:v>可直接支撑当前EIS-only闭环。</x:v>
      </x:c>
      <x:c r="L256" s="95" t="str">
        <x:v>M3 研究储备</x:v>
      </x:c>
      <x:c r="M256" s="95" t="str">
        <x:v>条件具备后</x:v>
      </x:c>
      <x:c r="N256" s="95" t="str">
        <x:v>P1</x:v>
      </x:c>
      <x:c r="O256" s="95" t="str">
        <x:v>https://www.nature.com/articles/s41467-024-55655-3</x:v>
      </x:c>
      <x:c r="P256" s="96" t="str">
        <x:v>待评审</x:v>
      </x:c>
    </x:row>
    <x:row r="257">
      <x:c r="A257" s="94" t="str">
        <x:v>T0253</x:v>
      </x:c>
      <x:c r="B257" s="95" t="str">
        <x:v>实验执行与具身自动化</x:v>
      </x:c>
      <x:c r="C257" s="95" t="str">
        <x:v>固体、粉体与合成自动化</x:v>
      </x:c>
      <x:c r="D257" s="95" t="str">
        <x:v>研究储备</x:v>
      </x:c>
      <x:c r="E257" s="100" t="n">
        <x:v>5</x:v>
      </x:c>
      <x:c r="F257" s="95" t="str">
        <x:v>实验执行</x:v>
      </x:c>
      <x:c r="G257" s="95" t="str">
        <x:v>G 实验执行自动化</x:v>
      </x:c>
      <x:c r="H257" s="95" t="str">
        <x:v>压片</x:v>
      </x:c>
      <x:c r="I257" s="95" t="str">
        <x:v>控制黏土/聚合物称量、混合与膜制备批间差。</x:v>
      </x:c>
      <x:c r="J257" s="95" t="str">
        <x:v>仅围绕制膜、装夹、调理和EIS操作的真实瓶颈逐步自动化。</x:v>
      </x:c>
      <x:c r="K257" s="95" t="str">
        <x:v>可直接支撑当前EIS-only闭环。</x:v>
      </x:c>
      <x:c r="L257" s="95" t="str">
        <x:v>M3 研究储备</x:v>
      </x:c>
      <x:c r="M257" s="95" t="str">
        <x:v>条件具备后</x:v>
      </x:c>
      <x:c r="N257" s="95" t="str">
        <x:v>P1</x:v>
      </x:c>
      <x:c r="O257" s="95" t="str">
        <x:v>https://www.nature.com/articles/s41586-023-06734-w</x:v>
      </x:c>
      <x:c r="P257" s="96" t="str">
        <x:v>待评审</x:v>
      </x:c>
    </x:row>
    <x:row r="258">
      <x:c r="A258" s="94" t="str">
        <x:v>T0254</x:v>
      </x:c>
      <x:c r="B258" s="95" t="str">
        <x:v>实验执行与具身自动化</x:v>
      </x:c>
      <x:c r="C258" s="95" t="str">
        <x:v>固体、粉体与合成自动化</x:v>
      </x:c>
      <x:c r="D258" s="95" t="str">
        <x:v>研究储备</x:v>
      </x:c>
      <x:c r="E258" s="100" t="n">
        <x:v>5</x:v>
      </x:c>
      <x:c r="F258" s="95" t="str">
        <x:v>实验执行</x:v>
      </x:c>
      <x:c r="G258" s="95" t="str">
        <x:v>G 实验执行自动化</x:v>
      </x:c>
      <x:c r="H258" s="95" t="str">
        <x:v>造粒</x:v>
      </x:c>
      <x:c r="I258" s="95" t="str">
        <x:v>控制黏土/聚合物称量、混合与膜制备批间差。</x:v>
      </x:c>
      <x:c r="J258" s="95" t="str">
        <x:v>仅围绕制膜、装夹、调理和EIS操作的真实瓶颈逐步自动化。</x:v>
      </x:c>
      <x:c r="K258" s="95" t="str">
        <x:v>可直接支撑当前EIS-only闭环。</x:v>
      </x:c>
      <x:c r="L258" s="95" t="str">
        <x:v>M3 研究储备</x:v>
      </x:c>
      <x:c r="M258" s="95" t="str">
        <x:v>条件具备后</x:v>
      </x:c>
      <x:c r="N258" s="95" t="str">
        <x:v>P1</x:v>
      </x:c>
      <x:c r="O258" s="95" t="str">
        <x:v>https://pubs.rsc.org/en/content/articlehtml/2024/sc/d3sc06206f</x:v>
      </x:c>
      <x:c r="P258" s="96" t="str">
        <x:v>待评审</x:v>
      </x:c>
    </x:row>
    <x:row r="259">
      <x:c r="A259" s="94" t="str">
        <x:v>T0255</x:v>
      </x:c>
      <x:c r="B259" s="95" t="str">
        <x:v>实验执行与具身自动化</x:v>
      </x:c>
      <x:c r="C259" s="95" t="str">
        <x:v>固体、粉体与合成自动化</x:v>
      </x:c>
      <x:c r="D259" s="95" t="str">
        <x:v>研究储备</x:v>
      </x:c>
      <x:c r="E259" s="100" t="n">
        <x:v>5</x:v>
      </x:c>
      <x:c r="F259" s="95" t="str">
        <x:v>实验执行</x:v>
      </x:c>
      <x:c r="G259" s="95" t="str">
        <x:v>G 实验执行自动化</x:v>
      </x:c>
      <x:c r="H259" s="95" t="str">
        <x:v>坩埚装填</x:v>
      </x:c>
      <x:c r="I259" s="95" t="str">
        <x:v>控制黏土/聚合物称量、混合与膜制备批间差。</x:v>
      </x:c>
      <x:c r="J259" s="95" t="str">
        <x:v>仅围绕制膜、装夹、调理和EIS操作的真实瓶颈逐步自动化。</x:v>
      </x:c>
      <x:c r="K259" s="95" t="str">
        <x:v>可直接支撑当前EIS-only闭环。</x:v>
      </x:c>
      <x:c r="L259" s="95" t="str">
        <x:v>M3 研究储备</x:v>
      </x:c>
      <x:c r="M259" s="95" t="str">
        <x:v>条件具备后</x:v>
      </x:c>
      <x:c r="N259" s="95" t="str">
        <x:v>P1</x:v>
      </x:c>
      <x:c r="O259" s="95" t="str">
        <x:v>https://www.science.org/doi/10.1126/sciadv.adj0461</x:v>
      </x:c>
      <x:c r="P259" s="96" t="str">
        <x:v>待评审</x:v>
      </x:c>
    </x:row>
    <x:row r="260">
      <x:c r="A260" s="94" t="str">
        <x:v>T0256</x:v>
      </x:c>
      <x:c r="B260" s="95" t="str">
        <x:v>实验执行与具身自动化</x:v>
      </x:c>
      <x:c r="C260" s="95" t="str">
        <x:v>固体、粉体与合成自动化</x:v>
      </x:c>
      <x:c r="D260" s="95" t="str">
        <x:v>研究储备</x:v>
      </x:c>
      <x:c r="E260" s="100" t="n">
        <x:v>5</x:v>
      </x:c>
      <x:c r="F260" s="95" t="str">
        <x:v>实验执行</x:v>
      </x:c>
      <x:c r="G260" s="95" t="str">
        <x:v>G 实验执行自动化</x:v>
      </x:c>
      <x:c r="H260" s="95" t="str">
        <x:v>炉体自动上下料</x:v>
      </x:c>
      <x:c r="I260" s="95" t="str">
        <x:v>控制黏土/聚合物称量、混合与膜制备批间差。</x:v>
      </x:c>
      <x:c r="J260" s="95" t="str">
        <x:v>仅围绕制膜、装夹、调理和EIS操作的真实瓶颈逐步自动化。</x:v>
      </x:c>
      <x:c r="K260" s="95" t="str">
        <x:v>可直接支撑当前EIS-only闭环。</x:v>
      </x:c>
      <x:c r="L260" s="95" t="str">
        <x:v>M3 研究储备</x:v>
      </x:c>
      <x:c r="M260" s="95" t="str">
        <x:v>条件具备后</x:v>
      </x:c>
      <x:c r="N260" s="95" t="str">
        <x:v>P1</x:v>
      </x:c>
      <x:c r="O260" s="95" t="str">
        <x:v>https://www.nature.com/articles/s41467-024-55655-3</x:v>
      </x:c>
      <x:c r="P260" s="96" t="str">
        <x:v>待评审</x:v>
      </x:c>
    </x:row>
    <x:row r="261">
      <x:c r="A261" s="94" t="str">
        <x:v>T0257</x:v>
      </x:c>
      <x:c r="B261" s="95" t="str">
        <x:v>实验执行与具身自动化</x:v>
      </x:c>
      <x:c r="C261" s="95" t="str">
        <x:v>固体、粉体与合成自动化</x:v>
      </x:c>
      <x:c r="D261" s="95" t="str">
        <x:v>研究储备</x:v>
      </x:c>
      <x:c r="E261" s="100" t="n">
        <x:v>5</x:v>
      </x:c>
      <x:c r="F261" s="95" t="str">
        <x:v>实验执行</x:v>
      </x:c>
      <x:c r="G261" s="95" t="str">
        <x:v>G 实验执行自动化</x:v>
      </x:c>
      <x:c r="H261" s="95" t="str">
        <x:v>温度程序控制</x:v>
      </x:c>
      <x:c r="I261" s="95" t="str">
        <x:v>控制黏土/聚合物称量、混合与膜制备批间差。</x:v>
      </x:c>
      <x:c r="J261" s="95" t="str">
        <x:v>仅围绕制膜、装夹、调理和EIS操作的真实瓶颈逐步自动化。</x:v>
      </x:c>
      <x:c r="K261" s="95" t="str">
        <x:v>可直接支撑当前EIS-only闭环。</x:v>
      </x:c>
      <x:c r="L261" s="95" t="str">
        <x:v>M3 研究储备</x:v>
      </x:c>
      <x:c r="M261" s="95" t="str">
        <x:v>条件具备后</x:v>
      </x:c>
      <x:c r="N261" s="95" t="str">
        <x:v>P1</x:v>
      </x:c>
      <x:c r="O261" s="95" t="str">
        <x:v>https://www.nature.com/articles/s41586-023-06734-w</x:v>
      </x:c>
      <x:c r="P261" s="96" t="str">
        <x:v>待评审</x:v>
      </x:c>
    </x:row>
    <x:row r="262">
      <x:c r="A262" s="94" t="str">
        <x:v>T0258</x:v>
      </x:c>
      <x:c r="B262" s="95" t="str">
        <x:v>实验执行与具身自动化</x:v>
      </x:c>
      <x:c r="C262" s="95" t="str">
        <x:v>固体、粉体与合成自动化</x:v>
      </x:c>
      <x:c r="D262" s="95" t="str">
        <x:v>研究储备</x:v>
      </x:c>
      <x:c r="E262" s="100" t="n">
        <x:v>5</x:v>
      </x:c>
      <x:c r="F262" s="95" t="str">
        <x:v>实验执行</x:v>
      </x:c>
      <x:c r="G262" s="95" t="str">
        <x:v>G 实验执行自动化</x:v>
      </x:c>
      <x:c r="H262" s="95" t="str">
        <x:v>保护气氛控制</x:v>
      </x:c>
      <x:c r="I262" s="95" t="str">
        <x:v>控制黏土/聚合物称量、混合与膜制备批间差。</x:v>
      </x:c>
      <x:c r="J262" s="95" t="str">
        <x:v>仅围绕制膜、装夹、调理和EIS操作的真实瓶颈逐步自动化。</x:v>
      </x:c>
      <x:c r="K262" s="95" t="str">
        <x:v>可直接支撑当前EIS-only闭环。</x:v>
      </x:c>
      <x:c r="L262" s="95" t="str">
        <x:v>M3 研究储备</x:v>
      </x:c>
      <x:c r="M262" s="95" t="str">
        <x:v>条件具备后</x:v>
      </x:c>
      <x:c r="N262" s="95" t="str">
        <x:v>P1</x:v>
      </x:c>
      <x:c r="O262" s="95" t="str">
        <x:v>https://pubs.rsc.org/en/content/articlehtml/2024/sc/d3sc06206f</x:v>
      </x:c>
      <x:c r="P262" s="96" t="str">
        <x:v>待评审</x:v>
      </x:c>
    </x:row>
    <x:row r="263">
      <x:c r="A263" s="94" t="str">
        <x:v>T0259</x:v>
      </x:c>
      <x:c r="B263" s="95" t="str">
        <x:v>实验执行与具身自动化</x:v>
      </x:c>
      <x:c r="C263" s="95" t="str">
        <x:v>固体、粉体与合成自动化</x:v>
      </x:c>
      <x:c r="D263" s="95" t="str">
        <x:v>研究储备</x:v>
      </x:c>
      <x:c r="E263" s="100" t="n">
        <x:v>5</x:v>
      </x:c>
      <x:c r="F263" s="95" t="str">
        <x:v>实验执行</x:v>
      </x:c>
      <x:c r="G263" s="95" t="str">
        <x:v>G 实验执行自动化</x:v>
      </x:c>
      <x:c r="H263" s="95" t="str">
        <x:v>手套箱粉体操作</x:v>
      </x:c>
      <x:c r="I263" s="95" t="str">
        <x:v>控制黏土/聚合物称量、混合与膜制备批间差。</x:v>
      </x:c>
      <x:c r="J263" s="95" t="str">
        <x:v>仅围绕制膜、装夹、调理和EIS操作的真实瓶颈逐步自动化。</x:v>
      </x:c>
      <x:c r="K263" s="95" t="str">
        <x:v>可直接支撑当前EIS-only闭环。</x:v>
      </x:c>
      <x:c r="L263" s="95" t="str">
        <x:v>M3 研究储备</x:v>
      </x:c>
      <x:c r="M263" s="95" t="str">
        <x:v>条件具备后</x:v>
      </x:c>
      <x:c r="N263" s="95" t="str">
        <x:v>P1</x:v>
      </x:c>
      <x:c r="O263" s="95" t="str">
        <x:v>https://www.science.org/doi/10.1126/sciadv.adj0461</x:v>
      </x:c>
      <x:c r="P263" s="96" t="str">
        <x:v>待评审</x:v>
      </x:c>
    </x:row>
    <x:row r="264">
      <x:c r="A264" s="94" t="str">
        <x:v>T0260</x:v>
      </x:c>
      <x:c r="B264" s="95" t="str">
        <x:v>实验执行与具身自动化</x:v>
      </x:c>
      <x:c r="C264" s="95" t="str">
        <x:v>固体、粉体与合成自动化</x:v>
      </x:c>
      <x:c r="D264" s="95" t="str">
        <x:v>研究储备</x:v>
      </x:c>
      <x:c r="E264" s="100" t="n">
        <x:v>5</x:v>
      </x:c>
      <x:c r="F264" s="95" t="str">
        <x:v>实验执行</x:v>
      </x:c>
      <x:c r="G264" s="95" t="str">
        <x:v>G 实验执行自动化</x:v>
      </x:c>
      <x:c r="H264" s="95" t="str">
        <x:v>真空处理</x:v>
      </x:c>
      <x:c r="I264" s="95" t="str">
        <x:v>控制黏土/聚合物称量、混合与膜制备批间差。</x:v>
      </x:c>
      <x:c r="J264" s="95" t="str">
        <x:v>仅围绕制膜、装夹、调理和EIS操作的真实瓶颈逐步自动化。</x:v>
      </x:c>
      <x:c r="K264" s="95" t="str">
        <x:v>可直接支撑当前EIS-only闭环。</x:v>
      </x:c>
      <x:c r="L264" s="95" t="str">
        <x:v>M3 研究储备</x:v>
      </x:c>
      <x:c r="M264" s="95" t="str">
        <x:v>条件具备后</x:v>
      </x:c>
      <x:c r="N264" s="95" t="str">
        <x:v>P1</x:v>
      </x:c>
      <x:c r="O264" s="95" t="str">
        <x:v>https://www.nature.com/articles/s41467-024-55655-3</x:v>
      </x:c>
      <x:c r="P264" s="96" t="str">
        <x:v>待评审</x:v>
      </x:c>
    </x:row>
    <x:row r="265">
      <x:c r="A265" s="94" t="str">
        <x:v>T0261</x:v>
      </x:c>
      <x:c r="B265" s="95" t="str">
        <x:v>实验执行与具身自动化</x:v>
      </x:c>
      <x:c r="C265" s="95" t="str">
        <x:v>固体、粉体与合成自动化</x:v>
      </x:c>
      <x:c r="D265" s="95" t="str">
        <x:v>研究储备</x:v>
      </x:c>
      <x:c r="E265" s="100" t="n">
        <x:v>5</x:v>
      </x:c>
      <x:c r="F265" s="95" t="str">
        <x:v>实验执行</x:v>
      </x:c>
      <x:c r="G265" s="95" t="str">
        <x:v>G 实验执行自动化</x:v>
      </x:c>
      <x:c r="H265" s="95" t="str">
        <x:v>退火</x:v>
      </x:c>
      <x:c r="I265" s="95" t="str">
        <x:v>控制黏土/聚合物称量、混合与膜制备批间差。</x:v>
      </x:c>
      <x:c r="J265" s="95" t="str">
        <x:v>仅围绕制膜、装夹、调理和EIS操作的真实瓶颈逐步自动化。</x:v>
      </x:c>
      <x:c r="K265" s="95" t="str">
        <x:v>可直接支撑当前EIS-only闭环。</x:v>
      </x:c>
      <x:c r="L265" s="95" t="str">
        <x:v>M3 研究储备</x:v>
      </x:c>
      <x:c r="M265" s="95" t="str">
        <x:v>条件具备后</x:v>
      </x:c>
      <x:c r="N265" s="95" t="str">
        <x:v>P1</x:v>
      </x:c>
      <x:c r="O265" s="95" t="str">
        <x:v>https://www.nature.com/articles/s41586-023-06734-w</x:v>
      </x:c>
      <x:c r="P265" s="96" t="str">
        <x:v>待评审</x:v>
      </x:c>
    </x:row>
    <x:row r="266">
      <x:c r="A266" s="94" t="str">
        <x:v>T0262</x:v>
      </x:c>
      <x:c r="B266" s="95" t="str">
        <x:v>实验执行与具身自动化</x:v>
      </x:c>
      <x:c r="C266" s="95" t="str">
        <x:v>固体、粉体与合成自动化</x:v>
      </x:c>
      <x:c r="D266" s="95" t="str">
        <x:v>研究储备</x:v>
      </x:c>
      <x:c r="E266" s="100" t="n">
        <x:v>5</x:v>
      </x:c>
      <x:c r="F266" s="95" t="str">
        <x:v>实验执行</x:v>
      </x:c>
      <x:c r="G266" s="95" t="str">
        <x:v>G 实验执行自动化</x:v>
      </x:c>
      <x:c r="H266" s="95" t="str">
        <x:v>煅烧</x:v>
      </x:c>
      <x:c r="I266" s="95" t="str">
        <x:v>控制黏土/聚合物称量、混合与膜制备批间差。</x:v>
      </x:c>
      <x:c r="J266" s="95" t="str">
        <x:v>仅围绕制膜、装夹、调理和EIS操作的真实瓶颈逐步自动化。</x:v>
      </x:c>
      <x:c r="K266" s="95" t="str">
        <x:v>可直接支撑当前EIS-only闭环。</x:v>
      </x:c>
      <x:c r="L266" s="95" t="str">
        <x:v>M3 研究储备</x:v>
      </x:c>
      <x:c r="M266" s="95" t="str">
        <x:v>条件具备后</x:v>
      </x:c>
      <x:c r="N266" s="95" t="str">
        <x:v>P1</x:v>
      </x:c>
      <x:c r="O266" s="95" t="str">
        <x:v>https://pubs.rsc.org/en/content/articlehtml/2024/sc/d3sc06206f</x:v>
      </x:c>
      <x:c r="P266" s="96" t="str">
        <x:v>待评审</x:v>
      </x:c>
    </x:row>
    <x:row r="267">
      <x:c r="A267" s="94" t="str">
        <x:v>T0263</x:v>
      </x:c>
      <x:c r="B267" s="95" t="str">
        <x:v>实验执行与具身自动化</x:v>
      </x:c>
      <x:c r="C267" s="95" t="str">
        <x:v>固体、粉体与合成自动化</x:v>
      </x:c>
      <x:c r="D267" s="95" t="str">
        <x:v>研究储备</x:v>
      </x:c>
      <x:c r="E267" s="100" t="n">
        <x:v>5</x:v>
      </x:c>
      <x:c r="F267" s="95" t="str">
        <x:v>实验执行</x:v>
      </x:c>
      <x:c r="G267" s="95" t="str">
        <x:v>G 实验执行自动化</x:v>
      </x:c>
      <x:c r="H267" s="95" t="str">
        <x:v>烧结</x:v>
      </x:c>
      <x:c r="I267" s="95" t="str">
        <x:v>控制黏土/聚合物称量、混合与膜制备批间差。</x:v>
      </x:c>
      <x:c r="J267" s="95" t="str">
        <x:v>仅围绕制膜、装夹、调理和EIS操作的真实瓶颈逐步自动化。</x:v>
      </x:c>
      <x:c r="K267" s="95" t="str">
        <x:v>可直接支撑当前EIS-only闭环。</x:v>
      </x:c>
      <x:c r="L267" s="95" t="str">
        <x:v>M3 研究储备</x:v>
      </x:c>
      <x:c r="M267" s="95" t="str">
        <x:v>条件具备后</x:v>
      </x:c>
      <x:c r="N267" s="95" t="str">
        <x:v>P1</x:v>
      </x:c>
      <x:c r="O267" s="95" t="str">
        <x:v>https://www.science.org/doi/10.1126/sciadv.adj0461</x:v>
      </x:c>
      <x:c r="P267" s="96" t="str">
        <x:v>待评审</x:v>
      </x:c>
    </x:row>
    <x:row r="268">
      <x:c r="A268" s="94" t="str">
        <x:v>T0264</x:v>
      </x:c>
      <x:c r="B268" s="95" t="str">
        <x:v>实验执行与具身自动化</x:v>
      </x:c>
      <x:c r="C268" s="95" t="str">
        <x:v>固体、粉体与合成自动化</x:v>
      </x:c>
      <x:c r="D268" s="95" t="str">
        <x:v>研究储备</x:v>
      </x:c>
      <x:c r="E268" s="100" t="n">
        <x:v>5</x:v>
      </x:c>
      <x:c r="F268" s="95" t="str">
        <x:v>实验执行</x:v>
      </x:c>
      <x:c r="G268" s="95" t="str">
        <x:v>G 实验执行自动化</x:v>
      </x:c>
      <x:c r="H268" s="95" t="str">
        <x:v>淬火</x:v>
      </x:c>
      <x:c r="I268" s="95" t="str">
        <x:v>控制黏土/聚合物称量、混合与膜制备批间差。</x:v>
      </x:c>
      <x:c r="J268" s="95" t="str">
        <x:v>仅围绕制膜、装夹、调理和EIS操作的真实瓶颈逐步自动化。</x:v>
      </x:c>
      <x:c r="K268" s="95" t="str">
        <x:v>可直接支撑当前EIS-only闭环。</x:v>
      </x:c>
      <x:c r="L268" s="95" t="str">
        <x:v>M3 研究储备</x:v>
      </x:c>
      <x:c r="M268" s="95" t="str">
        <x:v>条件具备后</x:v>
      </x:c>
      <x:c r="N268" s="95" t="str">
        <x:v>P1</x:v>
      </x:c>
      <x:c r="O268" s="95" t="str">
        <x:v>https://www.nature.com/articles/s41467-024-55655-3</x:v>
      </x:c>
      <x:c r="P268" s="96" t="str">
        <x:v>待评审</x:v>
      </x:c>
    </x:row>
    <x:row r="269">
      <x:c r="A269" s="94" t="str">
        <x:v>T0265</x:v>
      </x:c>
      <x:c r="B269" s="95" t="str">
        <x:v>实验执行与具身自动化</x:v>
      </x:c>
      <x:c r="C269" s="95" t="str">
        <x:v>固体、粉体与合成自动化</x:v>
      </x:c>
      <x:c r="D269" s="95" t="str">
        <x:v>研究储备</x:v>
      </x:c>
      <x:c r="E269" s="100" t="n">
        <x:v>5</x:v>
      </x:c>
      <x:c r="F269" s="95" t="str">
        <x:v>实验执行</x:v>
      </x:c>
      <x:c r="G269" s="95" t="str">
        <x:v>G 实验执行自动化</x:v>
      </x:c>
      <x:c r="H269" s="95" t="str">
        <x:v>固相反应</x:v>
      </x:c>
      <x:c r="I269" s="95" t="str">
        <x:v>控制黏土/聚合物称量、混合与膜制备批间差。</x:v>
      </x:c>
      <x:c r="J269" s="95" t="str">
        <x:v>仅围绕制膜、装夹、调理和EIS操作的真实瓶颈逐步自动化。</x:v>
      </x:c>
      <x:c r="K269" s="95" t="str">
        <x:v>可直接支撑当前EIS-only闭环。</x:v>
      </x:c>
      <x:c r="L269" s="95" t="str">
        <x:v>M3 研究储备</x:v>
      </x:c>
      <x:c r="M269" s="95" t="str">
        <x:v>条件具备后</x:v>
      </x:c>
      <x:c r="N269" s="95" t="str">
        <x:v>P1</x:v>
      </x:c>
      <x:c r="O269" s="95" t="str">
        <x:v>https://www.nature.com/articles/s41586-023-06734-w</x:v>
      </x:c>
      <x:c r="P269" s="96" t="str">
        <x:v>待评审</x:v>
      </x:c>
    </x:row>
    <x:row r="270">
      <x:c r="A270" s="94" t="str">
        <x:v>T0266</x:v>
      </x:c>
      <x:c r="B270" s="95" t="str">
        <x:v>实验执行与具身自动化</x:v>
      </x:c>
      <x:c r="C270" s="95" t="str">
        <x:v>固体、粉体与合成自动化</x:v>
      </x:c>
      <x:c r="D270" s="95" t="str">
        <x:v>研究储备</x:v>
      </x:c>
      <x:c r="E270" s="100" t="n">
        <x:v>5</x:v>
      </x:c>
      <x:c r="F270" s="95" t="str">
        <x:v>实验执行</x:v>
      </x:c>
      <x:c r="G270" s="95" t="str">
        <x:v>G 实验执行自动化</x:v>
      </x:c>
      <x:c r="H270" s="95" t="str">
        <x:v>机械化学</x:v>
      </x:c>
      <x:c r="I270" s="95" t="str">
        <x:v>控制黏土/聚合物称量、混合与膜制备批间差。</x:v>
      </x:c>
      <x:c r="J270" s="95" t="str">
        <x:v>仅围绕制膜、装夹、调理和EIS操作的真实瓶颈逐步自动化。</x:v>
      </x:c>
      <x:c r="K270" s="95" t="str">
        <x:v>可直接支撑当前EIS-only闭环。</x:v>
      </x:c>
      <x:c r="L270" s="95" t="str">
        <x:v>M3 研究储备</x:v>
      </x:c>
      <x:c r="M270" s="95" t="str">
        <x:v>条件具备后</x:v>
      </x:c>
      <x:c r="N270" s="95" t="str">
        <x:v>P1</x:v>
      </x:c>
      <x:c r="O270" s="95" t="str">
        <x:v>https://pubs.rsc.org/en/content/articlehtml/2024/sc/d3sc06206f</x:v>
      </x:c>
      <x:c r="P270" s="96" t="str">
        <x:v>待评审</x:v>
      </x:c>
    </x:row>
    <x:row r="271">
      <x:c r="A271" s="94" t="str">
        <x:v>T0267</x:v>
      </x:c>
      <x:c r="B271" s="95" t="str">
        <x:v>实验执行与具身自动化</x:v>
      </x:c>
      <x:c r="C271" s="95" t="str">
        <x:v>固体、粉体与合成自动化</x:v>
      </x:c>
      <x:c r="D271" s="95" t="str">
        <x:v>研究储备</x:v>
      </x:c>
      <x:c r="E271" s="100" t="n">
        <x:v>5</x:v>
      </x:c>
      <x:c r="F271" s="95" t="str">
        <x:v>实验执行</x:v>
      </x:c>
      <x:c r="G271" s="95" t="str">
        <x:v>G 实验执行自动化</x:v>
      </x:c>
      <x:c r="H271" s="95" t="str">
        <x:v>晶体生长</x:v>
      </x:c>
      <x:c r="I271" s="95" t="str">
        <x:v>控制黏土/聚合物称量、混合与膜制备批间差。</x:v>
      </x:c>
      <x:c r="J271" s="95" t="str">
        <x:v>仅围绕制膜、装夹、调理和EIS操作的真实瓶颈逐步自动化。</x:v>
      </x:c>
      <x:c r="K271" s="95" t="str">
        <x:v>可直接支撑当前EIS-only闭环。</x:v>
      </x:c>
      <x:c r="L271" s="95" t="str">
        <x:v>M3 研究储备</x:v>
      </x:c>
      <x:c r="M271" s="95" t="str">
        <x:v>条件具备后</x:v>
      </x:c>
      <x:c r="N271" s="95" t="str">
        <x:v>P1</x:v>
      </x:c>
      <x:c r="O271" s="95" t="str">
        <x:v>https://www.science.org/doi/10.1126/sciadv.adj0461</x:v>
      </x:c>
      <x:c r="P271" s="96" t="str">
        <x:v>待评审</x:v>
      </x:c>
    </x:row>
    <x:row r="272">
      <x:c r="A272" s="94" t="str">
        <x:v>T0268</x:v>
      </x:c>
      <x:c r="B272" s="95" t="str">
        <x:v>实验执行与具身自动化</x:v>
      </x:c>
      <x:c r="C272" s="95" t="str">
        <x:v>固体、粉体与合成自动化</x:v>
      </x:c>
      <x:c r="D272" s="95" t="str">
        <x:v>研究储备</x:v>
      </x:c>
      <x:c r="E272" s="100" t="n">
        <x:v>5</x:v>
      </x:c>
      <x:c r="F272" s="95" t="str">
        <x:v>实验执行</x:v>
      </x:c>
      <x:c r="G272" s="95" t="str">
        <x:v>G 实验执行自动化</x:v>
      </x:c>
      <x:c r="H272" s="95" t="str">
        <x:v>沉淀合成</x:v>
      </x:c>
      <x:c r="I272" s="95" t="str">
        <x:v>控制黏土/聚合物称量、混合与膜制备批间差。</x:v>
      </x:c>
      <x:c r="J272" s="95" t="str">
        <x:v>仅围绕制膜、装夹、调理和EIS操作的真实瓶颈逐步自动化。</x:v>
      </x:c>
      <x:c r="K272" s="95" t="str">
        <x:v>可直接支撑当前EIS-only闭环。</x:v>
      </x:c>
      <x:c r="L272" s="95" t="str">
        <x:v>M3 研究储备</x:v>
      </x:c>
      <x:c r="M272" s="95" t="str">
        <x:v>条件具备后</x:v>
      </x:c>
      <x:c r="N272" s="95" t="str">
        <x:v>P1</x:v>
      </x:c>
      <x:c r="O272" s="95" t="str">
        <x:v>https://www.nature.com/articles/s41467-024-55655-3</x:v>
      </x:c>
      <x:c r="P272" s="96" t="str">
        <x:v>待评审</x:v>
      </x:c>
    </x:row>
    <x:row r="273">
      <x:c r="A273" s="94" t="str">
        <x:v>T0269</x:v>
      </x:c>
      <x:c r="B273" s="95" t="str">
        <x:v>实验执行与具身自动化</x:v>
      </x:c>
      <x:c r="C273" s="95" t="str">
        <x:v>固体、粉体与合成自动化</x:v>
      </x:c>
      <x:c r="D273" s="95" t="str">
        <x:v>研究储备</x:v>
      </x:c>
      <x:c r="E273" s="100" t="n">
        <x:v>5</x:v>
      </x:c>
      <x:c r="F273" s="95" t="str">
        <x:v>实验执行</x:v>
      </x:c>
      <x:c r="G273" s="95" t="str">
        <x:v>G 实验执行自动化</x:v>
      </x:c>
      <x:c r="H273" s="95" t="str">
        <x:v>自动结晶</x:v>
      </x:c>
      <x:c r="I273" s="95" t="str">
        <x:v>控制黏土/聚合物称量、混合与膜制备批间差。</x:v>
      </x:c>
      <x:c r="J273" s="95" t="str">
        <x:v>仅围绕制膜、装夹、调理和EIS操作的真实瓶颈逐步自动化。</x:v>
      </x:c>
      <x:c r="K273" s="95" t="str">
        <x:v>可直接支撑当前EIS-only闭环。</x:v>
      </x:c>
      <x:c r="L273" s="95" t="str">
        <x:v>M3 研究储备</x:v>
      </x:c>
      <x:c r="M273" s="95" t="str">
        <x:v>条件具备后</x:v>
      </x:c>
      <x:c r="N273" s="95" t="str">
        <x:v>P2</x:v>
      </x:c>
      <x:c r="O273" s="95" t="str">
        <x:v>https://www.nature.com/articles/s41586-023-06734-w</x:v>
      </x:c>
      <x:c r="P273" s="96" t="str">
        <x:v>待评审</x:v>
      </x:c>
    </x:row>
    <x:row r="274">
      <x:c r="A274" s="94" t="str">
        <x:v>T0270</x:v>
      </x:c>
      <x:c r="B274" s="95" t="str">
        <x:v>实验执行与具身自动化</x:v>
      </x:c>
      <x:c r="C274" s="95" t="str">
        <x:v>固体、粉体与合成自动化</x:v>
      </x:c>
      <x:c r="D274" s="95" t="str">
        <x:v>研究储备</x:v>
      </x:c>
      <x:c r="E274" s="100" t="n">
        <x:v>5</x:v>
      </x:c>
      <x:c r="F274" s="95" t="str">
        <x:v>实验执行</x:v>
      </x:c>
      <x:c r="G274" s="95" t="str">
        <x:v>G 实验执行自动化</x:v>
      </x:c>
      <x:c r="H274" s="95" t="str">
        <x:v>固液分离</x:v>
      </x:c>
      <x:c r="I274" s="95" t="str">
        <x:v>控制黏土/聚合物称量、混合与膜制备批间差。</x:v>
      </x:c>
      <x:c r="J274" s="95" t="str">
        <x:v>仅围绕制膜、装夹、调理和EIS操作的真实瓶颈逐步自动化。</x:v>
      </x:c>
      <x:c r="K274" s="95" t="str">
        <x:v>可直接支撑当前EIS-only闭环。</x:v>
      </x:c>
      <x:c r="L274" s="95" t="str">
        <x:v>M3 研究储备</x:v>
      </x:c>
      <x:c r="M274" s="95" t="str">
        <x:v>条件具备后</x:v>
      </x:c>
      <x:c r="N274" s="95" t="str">
        <x:v>P2</x:v>
      </x:c>
      <x:c r="O274" s="95" t="str">
        <x:v>https://pubs.rsc.org/en/content/articlehtml/2024/sc/d3sc06206f</x:v>
      </x:c>
      <x:c r="P274" s="96" t="str">
        <x:v>待评审</x:v>
      </x:c>
    </x:row>
    <x:row r="275">
      <x:c r="A275" s="94" t="str">
        <x:v>T0271</x:v>
      </x:c>
      <x:c r="B275" s="95" t="str">
        <x:v>实验执行与具身自动化</x:v>
      </x:c>
      <x:c r="C275" s="95" t="str">
        <x:v>固体、粉体与合成自动化</x:v>
      </x:c>
      <x:c r="D275" s="95" t="str">
        <x:v>研究储备</x:v>
      </x:c>
      <x:c r="E275" s="100" t="n">
        <x:v>5</x:v>
      </x:c>
      <x:c r="F275" s="95" t="str">
        <x:v>实验执行</x:v>
      </x:c>
      <x:c r="G275" s="95" t="str">
        <x:v>G 实验执行自动化</x:v>
      </x:c>
      <x:c r="H275" s="95" t="str">
        <x:v>自动干燥</x:v>
      </x:c>
      <x:c r="I275" s="95" t="str">
        <x:v>控制黏土/聚合物称量、混合与膜制备批间差。</x:v>
      </x:c>
      <x:c r="J275" s="95" t="str">
        <x:v>仅围绕制膜、装夹、调理和EIS操作的真实瓶颈逐步自动化。</x:v>
      </x:c>
      <x:c r="K275" s="95" t="str">
        <x:v>可直接支撑当前EIS-only闭环。</x:v>
      </x:c>
      <x:c r="L275" s="95" t="str">
        <x:v>M3 研究储备</x:v>
      </x:c>
      <x:c r="M275" s="95" t="str">
        <x:v>条件具备后</x:v>
      </x:c>
      <x:c r="N275" s="95" t="str">
        <x:v>P2</x:v>
      </x:c>
      <x:c r="O275" s="95" t="str">
        <x:v>https://www.science.org/doi/10.1126/sciadv.adj0461</x:v>
      </x:c>
      <x:c r="P275" s="96" t="str">
        <x:v>待评审</x:v>
      </x:c>
    </x:row>
    <x:row r="276">
      <x:c r="A276" s="94" t="str">
        <x:v>T0272</x:v>
      </x:c>
      <x:c r="B276" s="95" t="str">
        <x:v>实验执行与具身自动化</x:v>
      </x:c>
      <x:c r="C276" s="95" t="str">
        <x:v>固体、粉体与合成自动化</x:v>
      </x:c>
      <x:c r="D276" s="95" t="str">
        <x:v>研究储备</x:v>
      </x:c>
      <x:c r="E276" s="100" t="n">
        <x:v>5</x:v>
      </x:c>
      <x:c r="F276" s="95" t="str">
        <x:v>实验执行</x:v>
      </x:c>
      <x:c r="G276" s="95" t="str">
        <x:v>G 实验执行自动化</x:v>
      </x:c>
      <x:c r="H276" s="95" t="str">
        <x:v>固体转移</x:v>
      </x:c>
      <x:c r="I276" s="95" t="str">
        <x:v>控制黏土/聚合物称量、混合与膜制备批间差。</x:v>
      </x:c>
      <x:c r="J276" s="95" t="str">
        <x:v>仅围绕制膜、装夹、调理和EIS操作的真实瓶颈逐步自动化。</x:v>
      </x:c>
      <x:c r="K276" s="95" t="str">
        <x:v>可直接支撑当前EIS-only闭环。</x:v>
      </x:c>
      <x:c r="L276" s="95" t="str">
        <x:v>M3 研究储备</x:v>
      </x:c>
      <x:c r="M276" s="95" t="str">
        <x:v>条件具备后</x:v>
      </x:c>
      <x:c r="N276" s="95" t="str">
        <x:v>P2</x:v>
      </x:c>
      <x:c r="O276" s="95" t="str">
        <x:v>https://www.nature.com/articles/s41467-024-55655-3</x:v>
      </x:c>
      <x:c r="P276" s="96" t="str">
        <x:v>待评审</x:v>
      </x:c>
    </x:row>
    <x:row r="277">
      <x:c r="A277" s="94" t="str">
        <x:v>T0273</x:v>
      </x:c>
      <x:c r="B277" s="95" t="str">
        <x:v>实验执行与具身自动化</x:v>
      </x:c>
      <x:c r="C277" s="95" t="str">
        <x:v>固体、粉体与合成自动化</x:v>
      </x:c>
      <x:c r="D277" s="95" t="str">
        <x:v>研究储备</x:v>
      </x:c>
      <x:c r="E277" s="100" t="n">
        <x:v>5</x:v>
      </x:c>
      <x:c r="F277" s="95" t="str">
        <x:v>实验执行</x:v>
      </x:c>
      <x:c r="G277" s="95" t="str">
        <x:v>G 实验执行自动化</x:v>
      </x:c>
      <x:c r="H277" s="95" t="str">
        <x:v>XRD样品制备</x:v>
      </x:c>
      <x:c r="I277" s="95" t="str">
        <x:v>控制黏土/聚合物称量、混合与膜制备批间差。</x:v>
      </x:c>
      <x:c r="J277" s="95" t="str">
        <x:v>仅围绕制膜、装夹、调理和EIS操作的真实瓶颈逐步自动化。</x:v>
      </x:c>
      <x:c r="K277" s="95" t="str">
        <x:v>可直接支撑当前EIS-only闭环。</x:v>
      </x:c>
      <x:c r="L277" s="95" t="str">
        <x:v>M3 研究储备</x:v>
      </x:c>
      <x:c r="M277" s="95" t="str">
        <x:v>条件具备后</x:v>
      </x:c>
      <x:c r="N277" s="95" t="str">
        <x:v>P2</x:v>
      </x:c>
      <x:c r="O277" s="95" t="str">
        <x:v>https://www.nature.com/articles/s41586-023-06734-w</x:v>
      </x:c>
      <x:c r="P277" s="96" t="str">
        <x:v>待评审</x:v>
      </x:c>
    </x:row>
    <x:row r="278">
      <x:c r="A278" s="94" t="str">
        <x:v>T0274</x:v>
      </x:c>
      <x:c r="B278" s="95" t="str">
        <x:v>实验执行与具身自动化</x:v>
      </x:c>
      <x:c r="C278" s="95" t="str">
        <x:v>固体、粉体与合成自动化</x:v>
      </x:c>
      <x:c r="D278" s="95" t="str">
        <x:v>研究储备</x:v>
      </x:c>
      <x:c r="E278" s="100" t="n">
        <x:v>5</x:v>
      </x:c>
      <x:c r="F278" s="95" t="str">
        <x:v>实验执行</x:v>
      </x:c>
      <x:c r="G278" s="95" t="str">
        <x:v>G 实验执行自动化</x:v>
      </x:c>
      <x:c r="H278" s="95" t="str">
        <x:v>相纯度分析</x:v>
      </x:c>
      <x:c r="I278" s="95" t="str">
        <x:v>控制黏土/聚合物称量、混合与膜制备批间差。</x:v>
      </x:c>
      <x:c r="J278" s="95" t="str">
        <x:v>仅围绕制膜、装夹、调理和EIS操作的真实瓶颈逐步自动化。</x:v>
      </x:c>
      <x:c r="K278" s="95" t="str">
        <x:v>可直接支撑当前EIS-only闭环。</x:v>
      </x:c>
      <x:c r="L278" s="95" t="str">
        <x:v>M3 研究储备</x:v>
      </x:c>
      <x:c r="M278" s="95" t="str">
        <x:v>条件具备后</x:v>
      </x:c>
      <x:c r="N278" s="95" t="str">
        <x:v>P2</x:v>
      </x:c>
      <x:c r="O278" s="95" t="str">
        <x:v>https://pubs.rsc.org/en/content/articlehtml/2024/sc/d3sc06206f</x:v>
      </x:c>
      <x:c r="P278" s="96" t="str">
        <x:v>待评审</x:v>
      </x:c>
    </x:row>
    <x:row r="279">
      <x:c r="A279" s="94" t="str">
        <x:v>T0275</x:v>
      </x:c>
      <x:c r="B279" s="95" t="str">
        <x:v>实验执行与具身自动化</x:v>
      </x:c>
      <x:c r="C279" s="95" t="str">
        <x:v>固体、粉体与合成自动化</x:v>
      </x:c>
      <x:c r="D279" s="95" t="str">
        <x:v>研究储备</x:v>
      </x:c>
      <x:c r="E279" s="100" t="n">
        <x:v>5</x:v>
      </x:c>
      <x:c r="F279" s="95" t="str">
        <x:v>实验执行</x:v>
      </x:c>
      <x:c r="G279" s="95" t="str">
        <x:v>G 实验执行自动化</x:v>
      </x:c>
      <x:c r="H279" s="95" t="str">
        <x:v>前驱体选择</x:v>
      </x:c>
      <x:c r="I279" s="95" t="str">
        <x:v>控制黏土/聚合物称量、混合与膜制备批间差。</x:v>
      </x:c>
      <x:c r="J279" s="95" t="str">
        <x:v>仅围绕制膜、装夹、调理和EIS操作的真实瓶颈逐步自动化。</x:v>
      </x:c>
      <x:c r="K279" s="95" t="str">
        <x:v>可直接支撑当前EIS-only闭环。</x:v>
      </x:c>
      <x:c r="L279" s="95" t="str">
        <x:v>M3 研究储备</x:v>
      </x:c>
      <x:c r="M279" s="95" t="str">
        <x:v>条件具备后</x:v>
      </x:c>
      <x:c r="N279" s="95" t="str">
        <x:v>P2</x:v>
      </x:c>
      <x:c r="O279" s="95" t="str">
        <x:v>https://www.science.org/doi/10.1126/sciadv.adj0461</x:v>
      </x:c>
      <x:c r="P279" s="96" t="str">
        <x:v>待评审</x:v>
      </x:c>
    </x:row>
    <x:row r="280">
      <x:c r="A280" s="94" t="str">
        <x:v>T0276</x:v>
      </x:c>
      <x:c r="B280" s="95" t="str">
        <x:v>实验执行与具身自动化</x:v>
      </x:c>
      <x:c r="C280" s="95" t="str">
        <x:v>固体、粉体与合成自动化</x:v>
      </x:c>
      <x:c r="D280" s="95" t="str">
        <x:v>研究储备</x:v>
      </x:c>
      <x:c r="E280" s="100" t="n">
        <x:v>5</x:v>
      </x:c>
      <x:c r="F280" s="95" t="str">
        <x:v>实验执行</x:v>
      </x:c>
      <x:c r="G280" s="95" t="str">
        <x:v>G 实验执行自动化</x:v>
      </x:c>
      <x:c r="H280" s="95" t="str">
        <x:v>化学计量控制</x:v>
      </x:c>
      <x:c r="I280" s="95" t="str">
        <x:v>控制黏土/聚合物称量、混合与膜制备批间差。</x:v>
      </x:c>
      <x:c r="J280" s="95" t="str">
        <x:v>仅围绕制膜、装夹、调理和EIS操作的真实瓶颈逐步自动化。</x:v>
      </x:c>
      <x:c r="K280" s="95" t="str">
        <x:v>可直接支撑当前EIS-only闭环。</x:v>
      </x:c>
      <x:c r="L280" s="95" t="str">
        <x:v>M3 研究储备</x:v>
      </x:c>
      <x:c r="M280" s="95" t="str">
        <x:v>条件具备后</x:v>
      </x:c>
      <x:c r="N280" s="95" t="str">
        <x:v>P2</x:v>
      </x:c>
      <x:c r="O280" s="95" t="str">
        <x:v>https://www.nature.com/articles/s41467-024-55655-3</x:v>
      </x:c>
      <x:c r="P280" s="96" t="str">
        <x:v>待评审</x:v>
      </x:c>
    </x:row>
    <x:row r="281">
      <x:c r="A281" s="94" t="str">
        <x:v>T0277</x:v>
      </x:c>
      <x:c r="B281" s="95" t="str">
        <x:v>实验执行与具身自动化</x:v>
      </x:c>
      <x:c r="C281" s="95" t="str">
        <x:v>固体、粉体与合成自动化</x:v>
      </x:c>
      <x:c r="D281" s="95" t="str">
        <x:v>研究储备</x:v>
      </x:c>
      <x:c r="E281" s="100" t="n">
        <x:v>5</x:v>
      </x:c>
      <x:c r="F281" s="95" t="str">
        <x:v>实验执行</x:v>
      </x:c>
      <x:c r="G281" s="95" t="str">
        <x:v>G 实验执行自动化</x:v>
      </x:c>
      <x:c r="H281" s="95" t="str">
        <x:v>批次均化</x:v>
      </x:c>
      <x:c r="I281" s="95" t="str">
        <x:v>控制黏土/聚合物称量、混合与膜制备批间差。</x:v>
      </x:c>
      <x:c r="J281" s="95" t="str">
        <x:v>仅围绕制膜、装夹、调理和EIS操作的真实瓶颈逐步自动化。</x:v>
      </x:c>
      <x:c r="K281" s="95" t="str">
        <x:v>可直接支撑当前EIS-only闭环。</x:v>
      </x:c>
      <x:c r="L281" s="95" t="str">
        <x:v>M3 研究储备</x:v>
      </x:c>
      <x:c r="M281" s="95" t="str">
        <x:v>条件具备后</x:v>
      </x:c>
      <x:c r="N281" s="95" t="str">
        <x:v>P2</x:v>
      </x:c>
      <x:c r="O281" s="95" t="str">
        <x:v>https://www.nature.com/articles/s41586-023-06734-w</x:v>
      </x:c>
      <x:c r="P281" s="96" t="str">
        <x:v>待评审</x:v>
      </x:c>
    </x:row>
    <x:row r="282">
      <x:c r="A282" s="94" t="str">
        <x:v>T0278</x:v>
      </x:c>
      <x:c r="B282" s="95" t="str">
        <x:v>实验执行与具身自动化</x:v>
      </x:c>
      <x:c r="C282" s="95" t="str">
        <x:v>固体、粉体与合成自动化</x:v>
      </x:c>
      <x:c r="D282" s="95" t="str">
        <x:v>研究储备</x:v>
      </x:c>
      <x:c r="E282" s="100" t="n">
        <x:v>5</x:v>
      </x:c>
      <x:c r="F282" s="95" t="str">
        <x:v>实验执行</x:v>
      </x:c>
      <x:c r="G282" s="95" t="str">
        <x:v>G 实验执行自动化</x:v>
      </x:c>
      <x:c r="H282" s="95" t="str">
        <x:v>固体样品标识</x:v>
      </x:c>
      <x:c r="I282" s="95" t="str">
        <x:v>控制黏土/聚合物称量、混合与膜制备批间差。</x:v>
      </x:c>
      <x:c r="J282" s="95" t="str">
        <x:v>仅围绕制膜、装夹、调理和EIS操作的真实瓶颈逐步自动化。</x:v>
      </x:c>
      <x:c r="K282" s="95" t="str">
        <x:v>可直接支撑当前EIS-only闭环。</x:v>
      </x:c>
      <x:c r="L282" s="95" t="str">
        <x:v>M3 研究储备</x:v>
      </x:c>
      <x:c r="M282" s="95" t="str">
        <x:v>条件具备后</x:v>
      </x:c>
      <x:c r="N282" s="95" t="str">
        <x:v>P2</x:v>
      </x:c>
      <x:c r="O282" s="95" t="str">
        <x:v>https://pubs.rsc.org/en/content/articlehtml/2024/sc/d3sc06206f</x:v>
      </x:c>
      <x:c r="P282" s="96" t="str">
        <x:v>待评审</x:v>
      </x:c>
    </x:row>
    <x:row r="283">
      <x:c r="A283" s="94" t="str">
        <x:v>T0279</x:v>
      </x:c>
      <x:c r="B283" s="95" t="str">
        <x:v>实验执行与具身自动化</x:v>
      </x:c>
      <x:c r="C283" s="95" t="str">
        <x:v>固体、粉体与合成自动化</x:v>
      </x:c>
      <x:c r="D283" s="95" t="str">
        <x:v>研究储备</x:v>
      </x:c>
      <x:c r="E283" s="100" t="n">
        <x:v>5</x:v>
      </x:c>
      <x:c r="F283" s="95" t="str">
        <x:v>实验执行</x:v>
      </x:c>
      <x:c r="G283" s="95" t="str">
        <x:v>G 实验执行自动化</x:v>
      </x:c>
      <x:c r="H283" s="95" t="str">
        <x:v>粉尘收集</x:v>
      </x:c>
      <x:c r="I283" s="95" t="str">
        <x:v>控制黏土/聚合物称量、混合与膜制备批间差。</x:v>
      </x:c>
      <x:c r="J283" s="95" t="str">
        <x:v>仅围绕制膜、装夹、调理和EIS操作的真实瓶颈逐步自动化。</x:v>
      </x:c>
      <x:c r="K283" s="95" t="str">
        <x:v>可直接支撑当前EIS-only闭环。</x:v>
      </x:c>
      <x:c r="L283" s="95" t="str">
        <x:v>M3 研究储备</x:v>
      </x:c>
      <x:c r="M283" s="95" t="str">
        <x:v>条件具备后</x:v>
      </x:c>
      <x:c r="N283" s="95" t="str">
        <x:v>P2</x:v>
      </x:c>
      <x:c r="O283" s="95" t="str">
        <x:v>https://www.science.org/doi/10.1126/sciadv.adj0461</x:v>
      </x:c>
      <x:c r="P283" s="96" t="str">
        <x:v>待评审</x:v>
      </x:c>
    </x:row>
    <x:row r="284">
      <x:c r="A284" s="94" t="str">
        <x:v>T0280</x:v>
      </x:c>
      <x:c r="B284" s="95" t="str">
        <x:v>实验执行与具身自动化</x:v>
      </x:c>
      <x:c r="C284" s="95" t="str">
        <x:v>固体、粉体与合成自动化</x:v>
      </x:c>
      <x:c r="D284" s="95" t="str">
        <x:v>研究储备</x:v>
      </x:c>
      <x:c r="E284" s="100" t="n">
        <x:v>5</x:v>
      </x:c>
      <x:c r="F284" s="95" t="str">
        <x:v>实验执行</x:v>
      </x:c>
      <x:c r="G284" s="95" t="str">
        <x:v>G 实验执行自动化</x:v>
      </x:c>
      <x:c r="H284" s="95" t="str">
        <x:v>固废处理</x:v>
      </x:c>
      <x:c r="I284" s="95" t="str">
        <x:v>控制黏土/聚合物称量、混合与膜制备批间差。</x:v>
      </x:c>
      <x:c r="J284" s="95" t="str">
        <x:v>仅围绕制膜、装夹、调理和EIS操作的真实瓶颈逐步自动化。</x:v>
      </x:c>
      <x:c r="K284" s="95" t="str">
        <x:v>可直接支撑当前EIS-only闭环。</x:v>
      </x:c>
      <x:c r="L284" s="95" t="str">
        <x:v>M3 研究储备</x:v>
      </x:c>
      <x:c r="M284" s="95" t="str">
        <x:v>条件具备后</x:v>
      </x:c>
      <x:c r="N284" s="95" t="str">
        <x:v>P2</x:v>
      </x:c>
      <x:c r="O284" s="95" t="str">
        <x:v>https://www.nature.com/articles/s41467-024-55655-3</x:v>
      </x:c>
      <x:c r="P284" s="96" t="str">
        <x:v>待评审</x:v>
      </x:c>
    </x:row>
    <x:row r="285">
      <x:c r="A285" s="94" t="str">
        <x:v>T0281</x:v>
      </x:c>
      <x:c r="B285" s="95" t="str">
        <x:v>实验执行与具身自动化</x:v>
      </x:c>
      <x:c r="C285" s="95" t="str">
        <x:v>反应工程、流动化学与环境控制</x:v>
      </x:c>
      <x:c r="D285" s="95" t="str">
        <x:v>当前低优先</x:v>
      </x:c>
      <x:c r="E285" s="100" t="n">
        <x:v>3</x:v>
      </x:c>
      <x:c r="F285" s="95" t="str">
        <x:v>实验执行</x:v>
      </x:c>
      <x:c r="G285" s="95" t="str">
        <x:v>G 实验执行自动化</x:v>
      </x:c>
      <x:c r="H285" s="95" t="str">
        <x:v>反应器类型选择</x:v>
      </x:c>
      <x:c r="I285" s="95" t="str">
        <x:v>稳定温度、湿度、干燥和调理历史，减少隐含状态漂移。</x:v>
      </x:c>
      <x:c r="J285" s="95" t="str">
        <x:v>仅围绕制膜、装夹、调理和EIS操作的真实瓶颈逐步自动化。</x:v>
      </x:c>
      <x:c r="K285" s="95" t="str">
        <x:v>可直接支撑当前EIS-only闭环。</x:v>
      </x:c>
      <x:c r="L285" s="95" t="str">
        <x:v>暂缓</x:v>
      </x:c>
      <x:c r="M285" s="95" t="str">
        <x:v>当前不投入</x:v>
      </x:c>
      <x:c r="N285" s="95" t="str">
        <x:v>P0</x:v>
      </x:c>
      <x:c r="O285" s="95" t="str">
        <x:v>https://pubs.acs.org/doi/10.1021/acs.chemrev.4c00055</x:v>
      </x:c>
      <x:c r="P285" s="96" t="str">
        <x:v>待评审</x:v>
      </x:c>
    </x:row>
    <x:row r="286">
      <x:c r="A286" s="94" t="str">
        <x:v>T0282</x:v>
      </x:c>
      <x:c r="B286" s="95" t="str">
        <x:v>实验执行与具身自动化</x:v>
      </x:c>
      <x:c r="C286" s="95" t="str">
        <x:v>反应工程、流动化学与环境控制</x:v>
      </x:c>
      <x:c r="D286" s="95" t="str">
        <x:v>当前低优先</x:v>
      </x:c>
      <x:c r="E286" s="100" t="n">
        <x:v>3</x:v>
      </x:c>
      <x:c r="F286" s="95" t="str">
        <x:v>实验执行</x:v>
      </x:c>
      <x:c r="G286" s="95" t="str">
        <x:v>G 实验执行自动化</x:v>
      </x:c>
      <x:c r="H286" s="95" t="str">
        <x:v>温度闭环控制</x:v>
      </x:c>
      <x:c r="I286" s="95" t="str">
        <x:v>稳定温度、湿度、干燥和调理历史，减少隐含状态漂移。</x:v>
      </x:c>
      <x:c r="J286" s="95" t="str">
        <x:v>仅围绕制膜、装夹、调理和EIS操作的真实瓶颈逐步自动化。</x:v>
      </x:c>
      <x:c r="K286" s="95" t="str">
        <x:v>可直接支撑当前EIS-only闭环。</x:v>
      </x:c>
      <x:c r="L286" s="95" t="str">
        <x:v>暂缓</x:v>
      </x:c>
      <x:c r="M286" s="95" t="str">
        <x:v>当前不投入</x:v>
      </x:c>
      <x:c r="N286" s="95" t="str">
        <x:v>P0</x:v>
      </x:c>
      <x:c r="O286" s="95" t="str">
        <x:v>https://www.nature.com/articles/s41467-024-47210-x</x:v>
      </x:c>
      <x:c r="P286" s="96" t="str">
        <x:v>待评审</x:v>
      </x:c>
    </x:row>
    <x:row r="287">
      <x:c r="A287" s="94" t="str">
        <x:v>T0283</x:v>
      </x:c>
      <x:c r="B287" s="95" t="str">
        <x:v>实验执行与具身自动化</x:v>
      </x:c>
      <x:c r="C287" s="95" t="str">
        <x:v>反应工程、流动化学与环境控制</x:v>
      </x:c>
      <x:c r="D287" s="95" t="str">
        <x:v>当前低优先</x:v>
      </x:c>
      <x:c r="E287" s="100" t="n">
        <x:v>3</x:v>
      </x:c>
      <x:c r="F287" s="95" t="str">
        <x:v>实验执行</x:v>
      </x:c>
      <x:c r="G287" s="95" t="str">
        <x:v>G 实验执行自动化</x:v>
      </x:c>
      <x:c r="H287" s="95" t="str">
        <x:v>压力闭环控制</x:v>
      </x:c>
      <x:c r="I287" s="95" t="str">
        <x:v>稳定温度、湿度、干燥和调理历史，减少隐含状态漂移。</x:v>
      </x:c>
      <x:c r="J287" s="95" t="str">
        <x:v>仅围绕制膜、装夹、调理和EIS操作的真实瓶颈逐步自动化。</x:v>
      </x:c>
      <x:c r="K287" s="95" t="str">
        <x:v>可直接支撑当前EIS-only闭环。</x:v>
      </x:c>
      <x:c r="L287" s="95" t="str">
        <x:v>暂缓</x:v>
      </x:c>
      <x:c r="M287" s="95" t="str">
        <x:v>当前不投入</x:v>
      </x:c>
      <x:c r="N287" s="95" t="str">
        <x:v>P0</x:v>
      </x:c>
      <x:c r="O287" s="95" t="str">
        <x:v>https://www.science.org/doi/10.1126/sciadv.adu7426</x:v>
      </x:c>
      <x:c r="P287" s="96" t="str">
        <x:v>待评审</x:v>
      </x:c>
    </x:row>
    <x:row r="288">
      <x:c r="A288" s="94" t="str">
        <x:v>T0284</x:v>
      </x:c>
      <x:c r="B288" s="95" t="str">
        <x:v>实验执行与具身自动化</x:v>
      </x:c>
      <x:c r="C288" s="95" t="str">
        <x:v>反应工程、流动化学与环境控制</x:v>
      </x:c>
      <x:c r="D288" s="95" t="str">
        <x:v>当前低优先</x:v>
      </x:c>
      <x:c r="E288" s="100" t="n">
        <x:v>3</x:v>
      </x:c>
      <x:c r="F288" s="95" t="str">
        <x:v>实验执行</x:v>
      </x:c>
      <x:c r="G288" s="95" t="str">
        <x:v>G 实验执行自动化</x:v>
      </x:c>
      <x:c r="H288" s="95" t="str">
        <x:v>气体流量控制</x:v>
      </x:c>
      <x:c r="I288" s="95" t="str">
        <x:v>稳定温度、湿度、干燥和调理历史，减少隐含状态漂移。</x:v>
      </x:c>
      <x:c r="J288" s="95" t="str">
        <x:v>仅围绕制膜、装夹、调理和EIS操作的真实瓶颈逐步自动化。</x:v>
      </x:c>
      <x:c r="K288" s="95" t="str">
        <x:v>可直接支撑当前EIS-only闭环。</x:v>
      </x:c>
      <x:c r="L288" s="95" t="str">
        <x:v>暂缓</x:v>
      </x:c>
      <x:c r="M288" s="95" t="str">
        <x:v>当前不投入</x:v>
      </x:c>
      <x:c r="N288" s="95" t="str">
        <x:v>P0</x:v>
      </x:c>
      <x:c r="O288" s="95" t="str">
        <x:v>https://www.science.org/doi/10.1126/scirobotics.adm6991</x:v>
      </x:c>
      <x:c r="P288" s="96" t="str">
        <x:v>待评审</x:v>
      </x:c>
    </x:row>
    <x:row r="289">
      <x:c r="A289" s="94" t="str">
        <x:v>T0285</x:v>
      </x:c>
      <x:c r="B289" s="95" t="str">
        <x:v>实验执行与具身自动化</x:v>
      </x:c>
      <x:c r="C289" s="95" t="str">
        <x:v>反应工程、流动化学与环境控制</x:v>
      </x:c>
      <x:c r="D289" s="95" t="str">
        <x:v>当前低优先</x:v>
      </x:c>
      <x:c r="E289" s="100" t="n">
        <x:v>3</x:v>
      </x:c>
      <x:c r="F289" s="95" t="str">
        <x:v>实验执行</x:v>
      </x:c>
      <x:c r="G289" s="95" t="str">
        <x:v>G 实验执行自动化</x:v>
      </x:c>
      <x:c r="H289" s="95" t="str">
        <x:v>质量流量控制器</x:v>
      </x:c>
      <x:c r="I289" s="95" t="str">
        <x:v>稳定温度、湿度、干燥和调理历史，减少隐含状态漂移。</x:v>
      </x:c>
      <x:c r="J289" s="95" t="str">
        <x:v>仅围绕制膜、装夹、调理和EIS操作的真实瓶颈逐步自动化。</x:v>
      </x:c>
      <x:c r="K289" s="95" t="str">
        <x:v>可直接支撑当前EIS-only闭环。</x:v>
      </x:c>
      <x:c r="L289" s="95" t="str">
        <x:v>暂缓</x:v>
      </x:c>
      <x:c r="M289" s="95" t="str">
        <x:v>当前不投入</x:v>
      </x:c>
      <x:c r="N289" s="95" t="str">
        <x:v>P0</x:v>
      </x:c>
      <x:c r="O289" s="95" t="str">
        <x:v>https://pubs.acs.org/doi/10.1021/acs.chemrev.4c00055</x:v>
      </x:c>
      <x:c r="P289" s="96" t="str">
        <x:v>待评审</x:v>
      </x:c>
    </x:row>
    <x:row r="290">
      <x:c r="A290" s="94" t="str">
        <x:v>T0286</x:v>
      </x:c>
      <x:c r="B290" s="95" t="str">
        <x:v>实验执行与具身自动化</x:v>
      </x:c>
      <x:c r="C290" s="95" t="str">
        <x:v>反应工程、流动化学与环境控制</x:v>
      </x:c>
      <x:c r="D290" s="95" t="str">
        <x:v>当前低优先</x:v>
      </x:c>
      <x:c r="E290" s="100" t="n">
        <x:v>3</x:v>
      </x:c>
      <x:c r="F290" s="95" t="str">
        <x:v>实验执行</x:v>
      </x:c>
      <x:c r="G290" s="95" t="str">
        <x:v>G 实验执行自动化</x:v>
      </x:c>
      <x:c r="H290" s="95" t="str">
        <x:v>停留时间控制</x:v>
      </x:c>
      <x:c r="I290" s="95" t="str">
        <x:v>稳定温度、湿度、干燥和调理历史，减少隐含状态漂移。</x:v>
      </x:c>
      <x:c r="J290" s="95" t="str">
        <x:v>仅围绕制膜、装夹、调理和EIS操作的真实瓶颈逐步自动化。</x:v>
      </x:c>
      <x:c r="K290" s="95" t="str">
        <x:v>可直接支撑当前EIS-only闭环。</x:v>
      </x:c>
      <x:c r="L290" s="95" t="str">
        <x:v>暂缓</x:v>
      </x:c>
      <x:c r="M290" s="95" t="str">
        <x:v>当前不投入</x:v>
      </x:c>
      <x:c r="N290" s="95" t="str">
        <x:v>P0</x:v>
      </x:c>
      <x:c r="O290" s="95" t="str">
        <x:v>https://www.nature.com/articles/s41467-024-47210-x</x:v>
      </x:c>
      <x:c r="P290" s="96" t="str">
        <x:v>待评审</x:v>
      </x:c>
    </x:row>
    <x:row r="291">
      <x:c r="A291" s="94" t="str">
        <x:v>T0287</x:v>
      </x:c>
      <x:c r="B291" s="95" t="str">
        <x:v>实验执行与具身自动化</x:v>
      </x:c>
      <x:c r="C291" s="95" t="str">
        <x:v>反应工程、流动化学与环境控制</x:v>
      </x:c>
      <x:c r="D291" s="95" t="str">
        <x:v>当前低优先</x:v>
      </x:c>
      <x:c r="E291" s="100" t="n">
        <x:v>3</x:v>
      </x:c>
      <x:c r="F291" s="95" t="str">
        <x:v>实验执行</x:v>
      </x:c>
      <x:c r="G291" s="95" t="str">
        <x:v>G 实验执行自动化</x:v>
      </x:c>
      <x:c r="H291" s="95" t="str">
        <x:v>混合状态控制</x:v>
      </x:c>
      <x:c r="I291" s="95" t="str">
        <x:v>稳定温度、湿度、干燥和调理历史，减少隐含状态漂移。</x:v>
      </x:c>
      <x:c r="J291" s="95" t="str">
        <x:v>仅围绕制膜、装夹、调理和EIS操作的真实瓶颈逐步自动化。</x:v>
      </x:c>
      <x:c r="K291" s="95" t="str">
        <x:v>可直接支撑当前EIS-only闭环。</x:v>
      </x:c>
      <x:c r="L291" s="95" t="str">
        <x:v>暂缓</x:v>
      </x:c>
      <x:c r="M291" s="95" t="str">
        <x:v>当前不投入</x:v>
      </x:c>
      <x:c r="N291" s="95" t="str">
        <x:v>P0</x:v>
      </x:c>
      <x:c r="O291" s="95" t="str">
        <x:v>https://www.science.org/doi/10.1126/sciadv.adu7426</x:v>
      </x:c>
      <x:c r="P291" s="96" t="str">
        <x:v>待评审</x:v>
      </x:c>
    </x:row>
    <x:row r="292">
      <x:c r="A292" s="94" t="str">
        <x:v>T0288</x:v>
      </x:c>
      <x:c r="B292" s="95" t="str">
        <x:v>实验执行与具身自动化</x:v>
      </x:c>
      <x:c r="C292" s="95" t="str">
        <x:v>反应工程、流动化学与环境控制</x:v>
      </x:c>
      <x:c r="D292" s="95" t="str">
        <x:v>当前低优先</x:v>
      </x:c>
      <x:c r="E292" s="100" t="n">
        <x:v>3</x:v>
      </x:c>
      <x:c r="F292" s="95" t="str">
        <x:v>实验执行</x:v>
      </x:c>
      <x:c r="G292" s="95" t="str">
        <x:v>G 实验执行自动化</x:v>
      </x:c>
      <x:c r="H292" s="95" t="str">
        <x:v>传热建模</x:v>
      </x:c>
      <x:c r="I292" s="95" t="str">
        <x:v>稳定温度、湿度、干燥和调理历史，减少隐含状态漂移。</x:v>
      </x:c>
      <x:c r="J292" s="95" t="str">
        <x:v>仅围绕制膜、装夹、调理和EIS操作的真实瓶颈逐步自动化。</x:v>
      </x:c>
      <x:c r="K292" s="95" t="str">
        <x:v>可直接支撑当前EIS-only闭环。</x:v>
      </x:c>
      <x:c r="L292" s="95" t="str">
        <x:v>暂缓</x:v>
      </x:c>
      <x:c r="M292" s="95" t="str">
        <x:v>当前不投入</x:v>
      </x:c>
      <x:c r="N292" s="95" t="str">
        <x:v>P0</x:v>
      </x:c>
      <x:c r="O292" s="95" t="str">
        <x:v>https://www.science.org/doi/10.1126/scirobotics.adm6991</x:v>
      </x:c>
      <x:c r="P292" s="96" t="str">
        <x:v>待评审</x:v>
      </x:c>
    </x:row>
    <x:row r="293">
      <x:c r="A293" s="94" t="str">
        <x:v>T0289</x:v>
      </x:c>
      <x:c r="B293" s="95" t="str">
        <x:v>实验执行与具身自动化</x:v>
      </x:c>
      <x:c r="C293" s="95" t="str">
        <x:v>反应工程、流动化学与环境控制</x:v>
      </x:c>
      <x:c r="D293" s="95" t="str">
        <x:v>当前低优先</x:v>
      </x:c>
      <x:c r="E293" s="100" t="n">
        <x:v>3</x:v>
      </x:c>
      <x:c r="F293" s="95" t="str">
        <x:v>实验执行</x:v>
      </x:c>
      <x:c r="G293" s="95" t="str">
        <x:v>G 实验执行自动化</x:v>
      </x:c>
      <x:c r="H293" s="95" t="str">
        <x:v>传质建模</x:v>
      </x:c>
      <x:c r="I293" s="95" t="str">
        <x:v>稳定温度、湿度、干燥和调理历史，减少隐含状态漂移。</x:v>
      </x:c>
      <x:c r="J293" s="95" t="str">
        <x:v>仅围绕制膜、装夹、调理和EIS操作的真实瓶颈逐步自动化。</x:v>
      </x:c>
      <x:c r="K293" s="95" t="str">
        <x:v>可直接支撑当前EIS-only闭环。</x:v>
      </x:c>
      <x:c r="L293" s="95" t="str">
        <x:v>暂缓</x:v>
      </x:c>
      <x:c r="M293" s="95" t="str">
        <x:v>当前不投入</x:v>
      </x:c>
      <x:c r="N293" s="95" t="str">
        <x:v>P0</x:v>
      </x:c>
      <x:c r="O293" s="95" t="str">
        <x:v>https://pubs.acs.org/doi/10.1021/acs.chemrev.4c00055</x:v>
      </x:c>
      <x:c r="P293" s="96" t="str">
        <x:v>待评审</x:v>
      </x:c>
    </x:row>
    <x:row r="294">
      <x:c r="A294" s="94" t="str">
        <x:v>T0290</x:v>
      </x:c>
      <x:c r="B294" s="95" t="str">
        <x:v>实验执行与具身自动化</x:v>
      </x:c>
      <x:c r="C294" s="95" t="str">
        <x:v>反应工程、流动化学与环境控制</x:v>
      </x:c>
      <x:c r="D294" s="95" t="str">
        <x:v>当前低优先</x:v>
      </x:c>
      <x:c r="E294" s="100" t="n">
        <x:v>3</x:v>
      </x:c>
      <x:c r="F294" s="95" t="str">
        <x:v>实验执行</x:v>
      </x:c>
      <x:c r="G294" s="95" t="str">
        <x:v>G 实验执行自动化</x:v>
      </x:c>
      <x:c r="H294" s="95" t="str">
        <x:v>反应量热</x:v>
      </x:c>
      <x:c r="I294" s="95" t="str">
        <x:v>稳定温度、湿度、干燥和调理历史，减少隐含状态漂移。</x:v>
      </x:c>
      <x:c r="J294" s="95" t="str">
        <x:v>仅围绕制膜、装夹、调理和EIS操作的真实瓶颈逐步自动化。</x:v>
      </x:c>
      <x:c r="K294" s="95" t="str">
        <x:v>可直接支撑当前EIS-only闭环。</x:v>
      </x:c>
      <x:c r="L294" s="95" t="str">
        <x:v>暂缓</x:v>
      </x:c>
      <x:c r="M294" s="95" t="str">
        <x:v>当前不投入</x:v>
      </x:c>
      <x:c r="N294" s="95" t="str">
        <x:v>P0</x:v>
      </x:c>
      <x:c r="O294" s="95" t="str">
        <x:v>https://www.nature.com/articles/s41467-024-47210-x</x:v>
      </x:c>
      <x:c r="P294" s="96" t="str">
        <x:v>待评审</x:v>
      </x:c>
    </x:row>
    <x:row r="295">
      <x:c r="A295" s="94" t="str">
        <x:v>T0291</x:v>
      </x:c>
      <x:c r="B295" s="95" t="str">
        <x:v>实验执行与具身自动化</x:v>
      </x:c>
      <x:c r="C295" s="95" t="str">
        <x:v>反应工程、流动化学与环境控制</x:v>
      </x:c>
      <x:c r="D295" s="95" t="str">
        <x:v>当前低优先</x:v>
      </x:c>
      <x:c r="E295" s="100" t="n">
        <x:v>3</x:v>
      </x:c>
      <x:c r="F295" s="95" t="str">
        <x:v>实验执行</x:v>
      </x:c>
      <x:c r="G295" s="95" t="str">
        <x:v>G 实验执行自动化</x:v>
      </x:c>
      <x:c r="H295" s="95" t="str">
        <x:v>动力学参数辨识</x:v>
      </x:c>
      <x:c r="I295" s="95" t="str">
        <x:v>稳定温度、湿度、干燥和调理历史，减少隐含状态漂移。</x:v>
      </x:c>
      <x:c r="J295" s="95" t="str">
        <x:v>仅围绕制膜、装夹、调理和EIS操作的真实瓶颈逐步自动化。</x:v>
      </x:c>
      <x:c r="K295" s="95" t="str">
        <x:v>可直接支撑当前EIS-only闭环。</x:v>
      </x:c>
      <x:c r="L295" s="95" t="str">
        <x:v>暂缓</x:v>
      </x:c>
      <x:c r="M295" s="95" t="str">
        <x:v>当前不投入</x:v>
      </x:c>
      <x:c r="N295" s="95" t="str">
        <x:v>P1</x:v>
      </x:c>
      <x:c r="O295" s="95" t="str">
        <x:v>https://www.science.org/doi/10.1126/sciadv.adu7426</x:v>
      </x:c>
      <x:c r="P295" s="96" t="str">
        <x:v>待评审</x:v>
      </x:c>
    </x:row>
    <x:row r="296">
      <x:c r="A296" s="94" t="str">
        <x:v>T0292</x:v>
      </x:c>
      <x:c r="B296" s="95" t="str">
        <x:v>实验执行与具身自动化</x:v>
      </x:c>
      <x:c r="C296" s="95" t="str">
        <x:v>反应工程、流动化学与环境控制</x:v>
      </x:c>
      <x:c r="D296" s="95" t="str">
        <x:v>当前低优先</x:v>
      </x:c>
      <x:c r="E296" s="100" t="n">
        <x:v>3</x:v>
      </x:c>
      <x:c r="F296" s="95" t="str">
        <x:v>实验执行</x:v>
      </x:c>
      <x:c r="G296" s="95" t="str">
        <x:v>G 实验执行自动化</x:v>
      </x:c>
      <x:c r="H296" s="95" t="str">
        <x:v>在线反应监测</x:v>
      </x:c>
      <x:c r="I296" s="95" t="str">
        <x:v>稳定温度、湿度、干燥和调理历史，减少隐含状态漂移。</x:v>
      </x:c>
      <x:c r="J296" s="95" t="str">
        <x:v>仅围绕制膜、装夹、调理和EIS操作的真实瓶颈逐步自动化。</x:v>
      </x:c>
      <x:c r="K296" s="95" t="str">
        <x:v>可直接支撑当前EIS-only闭环。</x:v>
      </x:c>
      <x:c r="L296" s="95" t="str">
        <x:v>暂缓</x:v>
      </x:c>
      <x:c r="M296" s="95" t="str">
        <x:v>当前不投入</x:v>
      </x:c>
      <x:c r="N296" s="95" t="str">
        <x:v>P1</x:v>
      </x:c>
      <x:c r="O296" s="95" t="str">
        <x:v>https://www.science.org/doi/10.1126/scirobotics.adm6991</x:v>
      </x:c>
      <x:c r="P296" s="96" t="str">
        <x:v>待评审</x:v>
      </x:c>
    </x:row>
    <x:row r="297">
      <x:c r="A297" s="94" t="str">
        <x:v>T0293</x:v>
      </x:c>
      <x:c r="B297" s="95" t="str">
        <x:v>实验执行与具身自动化</x:v>
      </x:c>
      <x:c r="C297" s="95" t="str">
        <x:v>反应工程、流动化学与环境控制</x:v>
      </x:c>
      <x:c r="D297" s="95" t="str">
        <x:v>当前低优先</x:v>
      </x:c>
      <x:c r="E297" s="100" t="n">
        <x:v>3</x:v>
      </x:c>
      <x:c r="F297" s="95" t="str">
        <x:v>实验执行</x:v>
      </x:c>
      <x:c r="G297" s="95" t="str">
        <x:v>G 实验执行自动化</x:v>
      </x:c>
      <x:c r="H297" s="95" t="str">
        <x:v>反馈控制</x:v>
      </x:c>
      <x:c r="I297" s="95" t="str">
        <x:v>稳定温度、湿度、干燥和调理历史，减少隐含状态漂移。</x:v>
      </x:c>
      <x:c r="J297" s="95" t="str">
        <x:v>仅围绕制膜、装夹、调理和EIS操作的真实瓶颈逐步自动化。</x:v>
      </x:c>
      <x:c r="K297" s="95" t="str">
        <x:v>可直接支撑当前EIS-only闭环。</x:v>
      </x:c>
      <x:c r="L297" s="95" t="str">
        <x:v>暂缓</x:v>
      </x:c>
      <x:c r="M297" s="95" t="str">
        <x:v>当前不投入</x:v>
      </x:c>
      <x:c r="N297" s="95" t="str">
        <x:v>P1</x:v>
      </x:c>
      <x:c r="O297" s="95" t="str">
        <x:v>https://pubs.acs.org/doi/10.1021/acs.chemrev.4c00055</x:v>
      </x:c>
      <x:c r="P297" s="96" t="str">
        <x:v>待评审</x:v>
      </x:c>
    </x:row>
    <x:row r="298">
      <x:c r="A298" s="94" t="str">
        <x:v>T0294</x:v>
      </x:c>
      <x:c r="B298" s="95" t="str">
        <x:v>实验执行与具身自动化</x:v>
      </x:c>
      <x:c r="C298" s="95" t="str">
        <x:v>反应工程、流动化学与环境控制</x:v>
      </x:c>
      <x:c r="D298" s="95" t="str">
        <x:v>当前低优先</x:v>
      </x:c>
      <x:c r="E298" s="100" t="n">
        <x:v>3</x:v>
      </x:c>
      <x:c r="F298" s="95" t="str">
        <x:v>实验执行</x:v>
      </x:c>
      <x:c r="G298" s="95" t="str">
        <x:v>G 实验执行自动化</x:v>
      </x:c>
      <x:c r="H298" s="95" t="str">
        <x:v>模型预测控制</x:v>
      </x:c>
      <x:c r="I298" s="95" t="str">
        <x:v>稳定温度、湿度、干燥和调理历史，减少隐含状态漂移。</x:v>
      </x:c>
      <x:c r="J298" s="95" t="str">
        <x:v>仅围绕制膜、装夹、调理和EIS操作的真实瓶颈逐步自动化。</x:v>
      </x:c>
      <x:c r="K298" s="95" t="str">
        <x:v>可直接支撑当前EIS-only闭环。</x:v>
      </x:c>
      <x:c r="L298" s="95" t="str">
        <x:v>暂缓</x:v>
      </x:c>
      <x:c r="M298" s="95" t="str">
        <x:v>当前不投入</x:v>
      </x:c>
      <x:c r="N298" s="95" t="str">
        <x:v>P1</x:v>
      </x:c>
      <x:c r="O298" s="95" t="str">
        <x:v>https://www.nature.com/articles/s41467-024-47210-x</x:v>
      </x:c>
      <x:c r="P298" s="96" t="str">
        <x:v>待评审</x:v>
      </x:c>
    </x:row>
    <x:row r="299">
      <x:c r="A299" s="94" t="str">
        <x:v>T0295</x:v>
      </x:c>
      <x:c r="B299" s="95" t="str">
        <x:v>实验执行与具身自动化</x:v>
      </x:c>
      <x:c r="C299" s="95" t="str">
        <x:v>反应工程、流动化学与环境控制</x:v>
      </x:c>
      <x:c r="D299" s="95" t="str">
        <x:v>当前低优先</x:v>
      </x:c>
      <x:c r="E299" s="100" t="n">
        <x:v>3</x:v>
      </x:c>
      <x:c r="F299" s="95" t="str">
        <x:v>实验执行</x:v>
      </x:c>
      <x:c r="G299" s="95" t="str">
        <x:v>G 实验执行自动化</x:v>
      </x:c>
      <x:c r="H299" s="95" t="str">
        <x:v>连续流化学</x:v>
      </x:c>
      <x:c r="I299" s="95" t="str">
        <x:v>稳定温度、湿度、干燥和调理历史，减少隐含状态漂移。</x:v>
      </x:c>
      <x:c r="J299" s="95" t="str">
        <x:v>仅围绕制膜、装夹、调理和EIS操作的真实瓶颈逐步自动化。</x:v>
      </x:c>
      <x:c r="K299" s="95" t="str">
        <x:v>可直接支撑当前EIS-only闭环。</x:v>
      </x:c>
      <x:c r="L299" s="95" t="str">
        <x:v>暂缓</x:v>
      </x:c>
      <x:c r="M299" s="95" t="str">
        <x:v>当前不投入</x:v>
      </x:c>
      <x:c r="N299" s="95" t="str">
        <x:v>P1</x:v>
      </x:c>
      <x:c r="O299" s="95" t="str">
        <x:v>https://www.science.org/doi/10.1126/sciadv.adu7426</x:v>
      </x:c>
      <x:c r="P299" s="96" t="str">
        <x:v>待评审</x:v>
      </x:c>
    </x:row>
    <x:row r="300">
      <x:c r="A300" s="94" t="str">
        <x:v>T0296</x:v>
      </x:c>
      <x:c r="B300" s="95" t="str">
        <x:v>实验执行与具身自动化</x:v>
      </x:c>
      <x:c r="C300" s="95" t="str">
        <x:v>反应工程、流动化学与环境控制</x:v>
      </x:c>
      <x:c r="D300" s="95" t="str">
        <x:v>当前低优先</x:v>
      </x:c>
      <x:c r="E300" s="100" t="n">
        <x:v>3</x:v>
      </x:c>
      <x:c r="F300" s="95" t="str">
        <x:v>实验执行</x:v>
      </x:c>
      <x:c r="G300" s="95" t="str">
        <x:v>G 实验执行自动化</x:v>
      </x:c>
      <x:c r="H300" s="95" t="str">
        <x:v>段塞流</x:v>
      </x:c>
      <x:c r="I300" s="95" t="str">
        <x:v>稳定温度、湿度、干燥和调理历史，减少隐含状态漂移。</x:v>
      </x:c>
      <x:c r="J300" s="95" t="str">
        <x:v>仅围绕制膜、装夹、调理和EIS操作的真实瓶颈逐步自动化。</x:v>
      </x:c>
      <x:c r="K300" s="95" t="str">
        <x:v>可直接支撑当前EIS-only闭环。</x:v>
      </x:c>
      <x:c r="L300" s="95" t="str">
        <x:v>暂缓</x:v>
      </x:c>
      <x:c r="M300" s="95" t="str">
        <x:v>当前不投入</x:v>
      </x:c>
      <x:c r="N300" s="95" t="str">
        <x:v>P1</x:v>
      </x:c>
      <x:c r="O300" s="95" t="str">
        <x:v>https://www.science.org/doi/10.1126/scirobotics.adm6991</x:v>
      </x:c>
      <x:c r="P300" s="96" t="str">
        <x:v>待评审</x:v>
      </x:c>
    </x:row>
    <x:row r="301">
      <x:c r="A301" s="94" t="str">
        <x:v>T0297</x:v>
      </x:c>
      <x:c r="B301" s="95" t="str">
        <x:v>实验执行与具身自动化</x:v>
      </x:c>
      <x:c r="C301" s="95" t="str">
        <x:v>反应工程、流动化学与环境控制</x:v>
      </x:c>
      <x:c r="D301" s="95" t="str">
        <x:v>当前低优先</x:v>
      </x:c>
      <x:c r="E301" s="100" t="n">
        <x:v>3</x:v>
      </x:c>
      <x:c r="F301" s="95" t="str">
        <x:v>实验执行</x:v>
      </x:c>
      <x:c r="G301" s="95" t="str">
        <x:v>G 实验执行自动化</x:v>
      </x:c>
      <x:c r="H301" s="95" t="str">
        <x:v>连续搅拌釜</x:v>
      </x:c>
      <x:c r="I301" s="95" t="str">
        <x:v>稳定温度、湿度、干燥和调理历史，减少隐含状态漂移。</x:v>
      </x:c>
      <x:c r="J301" s="95" t="str">
        <x:v>仅围绕制膜、装夹、调理和EIS操作的真实瓶颈逐步自动化。</x:v>
      </x:c>
      <x:c r="K301" s="95" t="str">
        <x:v>可直接支撑当前EIS-only闭环。</x:v>
      </x:c>
      <x:c r="L301" s="95" t="str">
        <x:v>暂缓</x:v>
      </x:c>
      <x:c r="M301" s="95" t="str">
        <x:v>当前不投入</x:v>
      </x:c>
      <x:c r="N301" s="95" t="str">
        <x:v>P1</x:v>
      </x:c>
      <x:c r="O301" s="95" t="str">
        <x:v>https://pubs.acs.org/doi/10.1021/acs.chemrev.4c00055</x:v>
      </x:c>
      <x:c r="P301" s="96" t="str">
        <x:v>待评审</x:v>
      </x:c>
    </x:row>
    <x:row r="302">
      <x:c r="A302" s="94" t="str">
        <x:v>T0298</x:v>
      </x:c>
      <x:c r="B302" s="95" t="str">
        <x:v>实验执行与具身自动化</x:v>
      </x:c>
      <x:c r="C302" s="95" t="str">
        <x:v>反应工程、流动化学与环境控制</x:v>
      </x:c>
      <x:c r="D302" s="95" t="str">
        <x:v>当前低优先</x:v>
      </x:c>
      <x:c r="E302" s="100" t="n">
        <x:v>3</x:v>
      </x:c>
      <x:c r="F302" s="95" t="str">
        <x:v>实验执行</x:v>
      </x:c>
      <x:c r="G302" s="95" t="str">
        <x:v>G 实验执行自动化</x:v>
      </x:c>
      <x:c r="H302" s="95" t="str">
        <x:v>管式反应器</x:v>
      </x:c>
      <x:c r="I302" s="95" t="str">
        <x:v>稳定温度、湿度、干燥和调理历史，减少隐含状态漂移。</x:v>
      </x:c>
      <x:c r="J302" s="95" t="str">
        <x:v>仅围绕制膜、装夹、调理和EIS操作的真实瓶颈逐步自动化。</x:v>
      </x:c>
      <x:c r="K302" s="95" t="str">
        <x:v>可直接支撑当前EIS-only闭环。</x:v>
      </x:c>
      <x:c r="L302" s="95" t="str">
        <x:v>暂缓</x:v>
      </x:c>
      <x:c r="M302" s="95" t="str">
        <x:v>当前不投入</x:v>
      </x:c>
      <x:c r="N302" s="95" t="str">
        <x:v>P1</x:v>
      </x:c>
      <x:c r="O302" s="95" t="str">
        <x:v>https://www.nature.com/articles/s41467-024-47210-x</x:v>
      </x:c>
      <x:c r="P302" s="96" t="str">
        <x:v>待评审</x:v>
      </x:c>
    </x:row>
    <x:row r="303">
      <x:c r="A303" s="94" t="str">
        <x:v>T0299</x:v>
      </x:c>
      <x:c r="B303" s="95" t="str">
        <x:v>实验执行与具身自动化</x:v>
      </x:c>
      <x:c r="C303" s="95" t="str">
        <x:v>反应工程、流动化学与环境控制</x:v>
      </x:c>
      <x:c r="D303" s="95" t="str">
        <x:v>当前低优先</x:v>
      </x:c>
      <x:c r="E303" s="100" t="n">
        <x:v>3</x:v>
      </x:c>
      <x:c r="F303" s="95" t="str">
        <x:v>实验执行</x:v>
      </x:c>
      <x:c r="G303" s="95" t="str">
        <x:v>G 实验执行自动化</x:v>
      </x:c>
      <x:c r="H303" s="95" t="str">
        <x:v>光化学</x:v>
      </x:c>
      <x:c r="I303" s="95" t="str">
        <x:v>稳定温度、湿度、干燥和调理历史，减少隐含状态漂移。</x:v>
      </x:c>
      <x:c r="J303" s="95" t="str">
        <x:v>仅围绕制膜、装夹、调理和EIS操作的真实瓶颈逐步自动化。</x:v>
      </x:c>
      <x:c r="K303" s="95" t="str">
        <x:v>可直接支撑当前EIS-only闭环。</x:v>
      </x:c>
      <x:c r="L303" s="95" t="str">
        <x:v>暂缓</x:v>
      </x:c>
      <x:c r="M303" s="95" t="str">
        <x:v>当前不投入</x:v>
      </x:c>
      <x:c r="N303" s="95" t="str">
        <x:v>P1</x:v>
      </x:c>
      <x:c r="O303" s="95" t="str">
        <x:v>https://www.science.org/doi/10.1126/sciadv.adu7426</x:v>
      </x:c>
      <x:c r="P303" s="96" t="str">
        <x:v>待评审</x:v>
      </x:c>
    </x:row>
    <x:row r="304">
      <x:c r="A304" s="94" t="str">
        <x:v>T0300</x:v>
      </x:c>
      <x:c r="B304" s="95" t="str">
        <x:v>实验执行与具身自动化</x:v>
      </x:c>
      <x:c r="C304" s="95" t="str">
        <x:v>反应工程、流动化学与环境控制</x:v>
      </x:c>
      <x:c r="D304" s="95" t="str">
        <x:v>当前低优先</x:v>
      </x:c>
      <x:c r="E304" s="100" t="n">
        <x:v>3</x:v>
      </x:c>
      <x:c r="F304" s="95" t="str">
        <x:v>实验执行</x:v>
      </x:c>
      <x:c r="G304" s="95" t="str">
        <x:v>G 实验执行自动化</x:v>
      </x:c>
      <x:c r="H304" s="95" t="str">
        <x:v>电化学</x:v>
      </x:c>
      <x:c r="I304" s="95" t="str">
        <x:v>稳定温度、湿度、干燥和调理历史，减少隐含状态漂移。</x:v>
      </x:c>
      <x:c r="J304" s="95" t="str">
        <x:v>仅围绕制膜、装夹、调理和EIS操作的真实瓶颈逐步自动化。</x:v>
      </x:c>
      <x:c r="K304" s="95" t="str">
        <x:v>可直接支撑当前EIS-only闭环。</x:v>
      </x:c>
      <x:c r="L304" s="95" t="str">
        <x:v>暂缓</x:v>
      </x:c>
      <x:c r="M304" s="95" t="str">
        <x:v>当前不投入</x:v>
      </x:c>
      <x:c r="N304" s="95" t="str">
        <x:v>P1</x:v>
      </x:c>
      <x:c r="O304" s="95" t="str">
        <x:v>https://www.science.org/doi/10.1126/scirobotics.adm6991</x:v>
      </x:c>
      <x:c r="P304" s="96" t="str">
        <x:v>待评审</x:v>
      </x:c>
    </x:row>
    <x:row r="305">
      <x:c r="A305" s="94" t="str">
        <x:v>T0301</x:v>
      </x:c>
      <x:c r="B305" s="95" t="str">
        <x:v>实验执行与具身自动化</x:v>
      </x:c>
      <x:c r="C305" s="95" t="str">
        <x:v>反应工程、流动化学与环境控制</x:v>
      </x:c>
      <x:c r="D305" s="95" t="str">
        <x:v>当前低优先</x:v>
      </x:c>
      <x:c r="E305" s="100" t="n">
        <x:v>3</x:v>
      </x:c>
      <x:c r="F305" s="95" t="str">
        <x:v>实验执行</x:v>
      </x:c>
      <x:c r="G305" s="95" t="str">
        <x:v>G 实验执行自动化</x:v>
      </x:c>
      <x:c r="H305" s="95" t="str">
        <x:v>催化剂筛选</x:v>
      </x:c>
      <x:c r="I305" s="95" t="str">
        <x:v>稳定温度、湿度、干燥和调理历史，减少隐含状态漂移。</x:v>
      </x:c>
      <x:c r="J305" s="95" t="str">
        <x:v>仅围绕制膜、装夹、调理和EIS操作的真实瓶颈逐步自动化。</x:v>
      </x:c>
      <x:c r="K305" s="95" t="str">
        <x:v>可直接支撑当前EIS-only闭环。</x:v>
      </x:c>
      <x:c r="L305" s="95" t="str">
        <x:v>暂缓</x:v>
      </x:c>
      <x:c r="M305" s="95" t="str">
        <x:v>当前不投入</x:v>
      </x:c>
      <x:c r="N305" s="95" t="str">
        <x:v>P1</x:v>
      </x:c>
      <x:c r="O305" s="95" t="str">
        <x:v>https://pubs.acs.org/doi/10.1021/acs.chemrev.4c00055</x:v>
      </x:c>
      <x:c r="P305" s="96" t="str">
        <x:v>待评审</x:v>
      </x:c>
    </x:row>
    <x:row r="306">
      <x:c r="A306" s="94" t="str">
        <x:v>T0302</x:v>
      </x:c>
      <x:c r="B306" s="95" t="str">
        <x:v>实验执行与具身自动化</x:v>
      </x:c>
      <x:c r="C306" s="95" t="str">
        <x:v>反应工程、流动化学与环境控制</x:v>
      </x:c>
      <x:c r="D306" s="95" t="str">
        <x:v>当前低优先</x:v>
      </x:c>
      <x:c r="E306" s="100" t="n">
        <x:v>3</x:v>
      </x:c>
      <x:c r="F306" s="95" t="str">
        <x:v>实验执行</x:v>
      </x:c>
      <x:c r="G306" s="95" t="str">
        <x:v>G 实验执行自动化</x:v>
      </x:c>
      <x:c r="H306" s="95" t="str">
        <x:v>气液反应</x:v>
      </x:c>
      <x:c r="I306" s="95" t="str">
        <x:v>稳定温度、湿度、干燥和调理历史，减少隐含状态漂移。</x:v>
      </x:c>
      <x:c r="J306" s="95" t="str">
        <x:v>仅围绕制膜、装夹、调理和EIS操作的真实瓶颈逐步自动化。</x:v>
      </x:c>
      <x:c r="K306" s="95" t="str">
        <x:v>可直接支撑当前EIS-only闭环。</x:v>
      </x:c>
      <x:c r="L306" s="95" t="str">
        <x:v>暂缓</x:v>
      </x:c>
      <x:c r="M306" s="95" t="str">
        <x:v>当前不投入</x:v>
      </x:c>
      <x:c r="N306" s="95" t="str">
        <x:v>P1</x:v>
      </x:c>
      <x:c r="O306" s="95" t="str">
        <x:v>https://www.nature.com/articles/s41467-024-47210-x</x:v>
      </x:c>
      <x:c r="P306" s="96" t="str">
        <x:v>待评审</x:v>
      </x:c>
    </x:row>
    <x:row r="307">
      <x:c r="A307" s="94" t="str">
        <x:v>T0303</x:v>
      </x:c>
      <x:c r="B307" s="95" t="str">
        <x:v>实验执行与具身自动化</x:v>
      </x:c>
      <x:c r="C307" s="95" t="str">
        <x:v>反应工程、流动化学与环境控制</x:v>
      </x:c>
      <x:c r="D307" s="95" t="str">
        <x:v>当前低优先</x:v>
      </x:c>
      <x:c r="E307" s="100" t="n">
        <x:v>3</x:v>
      </x:c>
      <x:c r="F307" s="95" t="str">
        <x:v>实验执行</x:v>
      </x:c>
      <x:c r="G307" s="95" t="str">
        <x:v>G 实验执行自动化</x:v>
      </x:c>
      <x:c r="H307" s="95" t="str">
        <x:v>液液反应</x:v>
      </x:c>
      <x:c r="I307" s="95" t="str">
        <x:v>稳定温度、湿度、干燥和调理历史，减少隐含状态漂移。</x:v>
      </x:c>
      <x:c r="J307" s="95" t="str">
        <x:v>仅围绕制膜、装夹、调理和EIS操作的真实瓶颈逐步自动化。</x:v>
      </x:c>
      <x:c r="K307" s="95" t="str">
        <x:v>可直接支撑当前EIS-only闭环。</x:v>
      </x:c>
      <x:c r="L307" s="95" t="str">
        <x:v>暂缓</x:v>
      </x:c>
      <x:c r="M307" s="95" t="str">
        <x:v>当前不投入</x:v>
      </x:c>
      <x:c r="N307" s="95" t="str">
        <x:v>P1</x:v>
      </x:c>
      <x:c r="O307" s="95" t="str">
        <x:v>https://www.science.org/doi/10.1126/sciadv.adu7426</x:v>
      </x:c>
      <x:c r="P307" s="96" t="str">
        <x:v>待评审</x:v>
      </x:c>
    </x:row>
    <x:row r="308">
      <x:c r="A308" s="94" t="str">
        <x:v>T0304</x:v>
      </x:c>
      <x:c r="B308" s="95" t="str">
        <x:v>实验执行与具身自动化</x:v>
      </x:c>
      <x:c r="C308" s="95" t="str">
        <x:v>反应工程、流动化学与环境控制</x:v>
      </x:c>
      <x:c r="D308" s="95" t="str">
        <x:v>当前低优先</x:v>
      </x:c>
      <x:c r="E308" s="100" t="n">
        <x:v>3</x:v>
      </x:c>
      <x:c r="F308" s="95" t="str">
        <x:v>实验执行</x:v>
      </x:c>
      <x:c r="G308" s="95" t="str">
        <x:v>G 实验执行自动化</x:v>
      </x:c>
      <x:c r="H308" s="95" t="str">
        <x:v>多相反应</x:v>
      </x:c>
      <x:c r="I308" s="95" t="str">
        <x:v>稳定温度、湿度、干燥和调理历史，减少隐含状态漂移。</x:v>
      </x:c>
      <x:c r="J308" s="95" t="str">
        <x:v>仅围绕制膜、装夹、调理和EIS操作的真实瓶颈逐步自动化。</x:v>
      </x:c>
      <x:c r="K308" s="95" t="str">
        <x:v>可直接支撑当前EIS-only闭环。</x:v>
      </x:c>
      <x:c r="L308" s="95" t="str">
        <x:v>暂缓</x:v>
      </x:c>
      <x:c r="M308" s="95" t="str">
        <x:v>当前不投入</x:v>
      </x:c>
      <x:c r="N308" s="95" t="str">
        <x:v>P1</x:v>
      </x:c>
      <x:c r="O308" s="95" t="str">
        <x:v>https://www.science.org/doi/10.1126/scirobotics.adm6991</x:v>
      </x:c>
      <x:c r="P308" s="96" t="str">
        <x:v>待评审</x:v>
      </x:c>
    </x:row>
    <x:row r="309">
      <x:c r="A309" s="94" t="str">
        <x:v>T0305</x:v>
      </x:c>
      <x:c r="B309" s="95" t="str">
        <x:v>实验执行与具身自动化</x:v>
      </x:c>
      <x:c r="C309" s="95" t="str">
        <x:v>反应工程、流动化学与环境控制</x:v>
      </x:c>
      <x:c r="D309" s="95" t="str">
        <x:v>当前低优先</x:v>
      </x:c>
      <x:c r="E309" s="100" t="n">
        <x:v>3</x:v>
      </x:c>
      <x:c r="F309" s="95" t="str">
        <x:v>实验执行</x:v>
      </x:c>
      <x:c r="G309" s="95" t="str">
        <x:v>G 实验执行自动化</x:v>
      </x:c>
      <x:c r="H309" s="95" t="str">
        <x:v>高压反应</x:v>
      </x:c>
      <x:c r="I309" s="95" t="str">
        <x:v>稳定温度、湿度、干燥和调理历史，减少隐含状态漂移。</x:v>
      </x:c>
      <x:c r="J309" s="95" t="str">
        <x:v>仅围绕制膜、装夹、调理和EIS操作的真实瓶颈逐步自动化。</x:v>
      </x:c>
      <x:c r="K309" s="95" t="str">
        <x:v>可直接支撑当前EIS-only闭环。</x:v>
      </x:c>
      <x:c r="L309" s="95" t="str">
        <x:v>暂缓</x:v>
      </x:c>
      <x:c r="M309" s="95" t="str">
        <x:v>当前不投入</x:v>
      </x:c>
      <x:c r="N309" s="95" t="str">
        <x:v>P1</x:v>
      </x:c>
      <x:c r="O309" s="95" t="str">
        <x:v>https://pubs.acs.org/doi/10.1021/acs.chemrev.4c00055</x:v>
      </x:c>
      <x:c r="P309" s="96" t="str">
        <x:v>待评审</x:v>
      </x:c>
    </x:row>
    <x:row r="310">
      <x:c r="A310" s="94" t="str">
        <x:v>T0306</x:v>
      </x:c>
      <x:c r="B310" s="95" t="str">
        <x:v>实验执行与具身自动化</x:v>
      </x:c>
      <x:c r="C310" s="95" t="str">
        <x:v>反应工程、流动化学与环境控制</x:v>
      </x:c>
      <x:c r="D310" s="95" t="str">
        <x:v>当前低优先</x:v>
      </x:c>
      <x:c r="E310" s="100" t="n">
        <x:v>3</x:v>
      </x:c>
      <x:c r="F310" s="95" t="str">
        <x:v>实验执行</x:v>
      </x:c>
      <x:c r="G310" s="95" t="str">
        <x:v>G 实验执行自动化</x:v>
      </x:c>
      <x:c r="H310" s="95" t="str">
        <x:v>微波反应</x:v>
      </x:c>
      <x:c r="I310" s="95" t="str">
        <x:v>稳定温度、湿度、干燥和调理历史，减少隐含状态漂移。</x:v>
      </x:c>
      <x:c r="J310" s="95" t="str">
        <x:v>仅围绕制膜、装夹、调理和EIS操作的真实瓶颈逐步自动化。</x:v>
      </x:c>
      <x:c r="K310" s="95" t="str">
        <x:v>可直接支撑当前EIS-only闭环。</x:v>
      </x:c>
      <x:c r="L310" s="95" t="str">
        <x:v>暂缓</x:v>
      </x:c>
      <x:c r="M310" s="95" t="str">
        <x:v>当前不投入</x:v>
      </x:c>
      <x:c r="N310" s="95" t="str">
        <x:v>P1</x:v>
      </x:c>
      <x:c r="O310" s="95" t="str">
        <x:v>https://www.nature.com/articles/s41467-024-47210-x</x:v>
      </x:c>
      <x:c r="P310" s="96" t="str">
        <x:v>待评审</x:v>
      </x:c>
    </x:row>
    <x:row r="311">
      <x:c r="A311" s="94" t="str">
        <x:v>T0307</x:v>
      </x:c>
      <x:c r="B311" s="95" t="str">
        <x:v>实验执行与具身自动化</x:v>
      </x:c>
      <x:c r="C311" s="95" t="str">
        <x:v>反应工程、流动化学与环境控制</x:v>
      </x:c>
      <x:c r="D311" s="95" t="str">
        <x:v>当前低优先</x:v>
      </x:c>
      <x:c r="E311" s="100" t="n">
        <x:v>3</x:v>
      </x:c>
      <x:c r="F311" s="95" t="str">
        <x:v>实验执行</x:v>
      </x:c>
      <x:c r="G311" s="95" t="str">
        <x:v>G 实验执行自动化</x:v>
      </x:c>
      <x:c r="H311" s="95" t="str">
        <x:v>超声反应</x:v>
      </x:c>
      <x:c r="I311" s="95" t="str">
        <x:v>稳定温度、湿度、干燥和调理历史，减少隐含状态漂移。</x:v>
      </x:c>
      <x:c r="J311" s="95" t="str">
        <x:v>仅围绕制膜、装夹、调理和EIS操作的真实瓶颈逐步自动化。</x:v>
      </x:c>
      <x:c r="K311" s="95" t="str">
        <x:v>可直接支撑当前EIS-only闭环。</x:v>
      </x:c>
      <x:c r="L311" s="95" t="str">
        <x:v>暂缓</x:v>
      </x:c>
      <x:c r="M311" s="95" t="str">
        <x:v>当前不投入</x:v>
      </x:c>
      <x:c r="N311" s="95" t="str">
        <x:v>P1</x:v>
      </x:c>
      <x:c r="O311" s="95" t="str">
        <x:v>https://www.science.org/doi/10.1126/sciadv.adu7426</x:v>
      </x:c>
      <x:c r="P311" s="96" t="str">
        <x:v>待评审</x:v>
      </x:c>
    </x:row>
    <x:row r="312">
      <x:c r="A312" s="94" t="str">
        <x:v>T0308</x:v>
      </x:c>
      <x:c r="B312" s="95" t="str">
        <x:v>实验执行与具身自动化</x:v>
      </x:c>
      <x:c r="C312" s="95" t="str">
        <x:v>反应工程、流动化学与环境控制</x:v>
      </x:c>
      <x:c r="D312" s="95" t="str">
        <x:v>当前低优先</x:v>
      </x:c>
      <x:c r="E312" s="100" t="n">
        <x:v>3</x:v>
      </x:c>
      <x:c r="F312" s="95" t="str">
        <x:v>实验执行</x:v>
      </x:c>
      <x:c r="G312" s="95" t="str">
        <x:v>G 实验执行自动化</x:v>
      </x:c>
      <x:c r="H312" s="95" t="str">
        <x:v>等离子体反应</x:v>
      </x:c>
      <x:c r="I312" s="95" t="str">
        <x:v>稳定温度、湿度、干燥和调理历史，减少隐含状态漂移。</x:v>
      </x:c>
      <x:c r="J312" s="95" t="str">
        <x:v>仅围绕制膜、装夹、调理和EIS操作的真实瓶颈逐步自动化。</x:v>
      </x:c>
      <x:c r="K312" s="95" t="str">
        <x:v>可直接支撑当前EIS-only闭环。</x:v>
      </x:c>
      <x:c r="L312" s="95" t="str">
        <x:v>暂缓</x:v>
      </x:c>
      <x:c r="M312" s="95" t="str">
        <x:v>当前不投入</x:v>
      </x:c>
      <x:c r="N312" s="95" t="str">
        <x:v>P1</x:v>
      </x:c>
      <x:c r="O312" s="95" t="str">
        <x:v>https://www.science.org/doi/10.1126/scirobotics.adm6991</x:v>
      </x:c>
      <x:c r="P312" s="96" t="str">
        <x:v>待评审</x:v>
      </x:c>
    </x:row>
    <x:row r="313">
      <x:c r="A313" s="94" t="str">
        <x:v>T0309</x:v>
      </x:c>
      <x:c r="B313" s="95" t="str">
        <x:v>实验执行与具身自动化</x:v>
      </x:c>
      <x:c r="C313" s="95" t="str">
        <x:v>反应工程、流动化学与环境控制</x:v>
      </x:c>
      <x:c r="D313" s="95" t="str">
        <x:v>当前低优先</x:v>
      </x:c>
      <x:c r="E313" s="100" t="n">
        <x:v>3</x:v>
      </x:c>
      <x:c r="F313" s="95" t="str">
        <x:v>实验执行</x:v>
      </x:c>
      <x:c r="G313" s="95" t="str">
        <x:v>G 实验执行自动化</x:v>
      </x:c>
      <x:c r="H313" s="95" t="str">
        <x:v>气氛控制</x:v>
      </x:c>
      <x:c r="I313" s="95" t="str">
        <x:v>稳定温度、湿度、干燥和调理历史，减少隐含状态漂移。</x:v>
      </x:c>
      <x:c r="J313" s="95" t="str">
        <x:v>仅围绕制膜、装夹、调理和EIS操作的真实瓶颈逐步自动化。</x:v>
      </x:c>
      <x:c r="K313" s="95" t="str">
        <x:v>可直接支撑当前EIS-only闭环。</x:v>
      </x:c>
      <x:c r="L313" s="95" t="str">
        <x:v>暂缓</x:v>
      </x:c>
      <x:c r="M313" s="95" t="str">
        <x:v>当前不投入</x:v>
      </x:c>
      <x:c r="N313" s="95" t="str">
        <x:v>P2</x:v>
      </x:c>
      <x:c r="O313" s="95" t="str">
        <x:v>https://pubs.acs.org/doi/10.1021/acs.chemrev.4c00055</x:v>
      </x:c>
      <x:c r="P313" s="96" t="str">
        <x:v>待评审</x:v>
      </x:c>
    </x:row>
    <x:row r="314">
      <x:c r="A314" s="94" t="str">
        <x:v>T0310</x:v>
      </x:c>
      <x:c r="B314" s="95" t="str">
        <x:v>实验执行与具身自动化</x:v>
      </x:c>
      <x:c r="C314" s="95" t="str">
        <x:v>反应工程、流动化学与环境控制</x:v>
      </x:c>
      <x:c r="D314" s="95" t="str">
        <x:v>当前低优先</x:v>
      </x:c>
      <x:c r="E314" s="100" t="n">
        <x:v>3</x:v>
      </x:c>
      <x:c r="F314" s="95" t="str">
        <x:v>实验执行</x:v>
      </x:c>
      <x:c r="G314" s="95" t="str">
        <x:v>G 实验执行自动化</x:v>
      </x:c>
      <x:c r="H314" s="95" t="str">
        <x:v>湿度控制</x:v>
      </x:c>
      <x:c r="I314" s="95" t="str">
        <x:v>稳定温度、湿度、干燥和调理历史，减少隐含状态漂移。</x:v>
      </x:c>
      <x:c r="J314" s="95" t="str">
        <x:v>仅围绕制膜、装夹、调理和EIS操作的真实瓶颈逐步自动化。</x:v>
      </x:c>
      <x:c r="K314" s="95" t="str">
        <x:v>可直接支撑当前EIS-only闭环。</x:v>
      </x:c>
      <x:c r="L314" s="95" t="str">
        <x:v>暂缓</x:v>
      </x:c>
      <x:c r="M314" s="95" t="str">
        <x:v>当前不投入</x:v>
      </x:c>
      <x:c r="N314" s="95" t="str">
        <x:v>P2</x:v>
      </x:c>
      <x:c r="O314" s="95" t="str">
        <x:v>https://www.nature.com/articles/s41467-024-47210-x</x:v>
      </x:c>
      <x:c r="P314" s="96" t="str">
        <x:v>待评审</x:v>
      </x:c>
    </x:row>
    <x:row r="315">
      <x:c r="A315" s="94" t="str">
        <x:v>T0311</x:v>
      </x:c>
      <x:c r="B315" s="95" t="str">
        <x:v>实验执行与具身自动化</x:v>
      </x:c>
      <x:c r="C315" s="95" t="str">
        <x:v>反应工程、流动化学与环境控制</x:v>
      </x:c>
      <x:c r="D315" s="95" t="str">
        <x:v>当前低优先</x:v>
      </x:c>
      <x:c r="E315" s="100" t="n">
        <x:v>3</x:v>
      </x:c>
      <x:c r="F315" s="95" t="str">
        <x:v>实验执行</x:v>
      </x:c>
      <x:c r="G315" s="95" t="str">
        <x:v>G 实验执行自动化</x:v>
      </x:c>
      <x:c r="H315" s="95" t="str">
        <x:v>氧/水控制</x:v>
      </x:c>
      <x:c r="I315" s="95" t="str">
        <x:v>稳定温度、湿度、干燥和调理历史，减少隐含状态漂移。</x:v>
      </x:c>
      <x:c r="J315" s="95" t="str">
        <x:v>仅围绕制膜、装夹、调理和EIS操作的真实瓶颈逐步自动化。</x:v>
      </x:c>
      <x:c r="K315" s="95" t="str">
        <x:v>可直接支撑当前EIS-only闭环。</x:v>
      </x:c>
      <x:c r="L315" s="95" t="str">
        <x:v>暂缓</x:v>
      </x:c>
      <x:c r="M315" s="95" t="str">
        <x:v>当前不投入</x:v>
      </x:c>
      <x:c r="N315" s="95" t="str">
        <x:v>P2</x:v>
      </x:c>
      <x:c r="O315" s="95" t="str">
        <x:v>https://www.science.org/doi/10.1126/sciadv.adu7426</x:v>
      </x:c>
      <x:c r="P315" s="96" t="str">
        <x:v>待评审</x:v>
      </x:c>
    </x:row>
    <x:row r="316">
      <x:c r="A316" s="94" t="str">
        <x:v>T0312</x:v>
      </x:c>
      <x:c r="B316" s="95" t="str">
        <x:v>实验执行与具身自动化</x:v>
      </x:c>
      <x:c r="C316" s="95" t="str">
        <x:v>反应工程、流动化学与环境控制</x:v>
      </x:c>
      <x:c r="D316" s="95" t="str">
        <x:v>当前低优先</x:v>
      </x:c>
      <x:c r="E316" s="100" t="n">
        <x:v>3</x:v>
      </x:c>
      <x:c r="F316" s="95" t="str">
        <x:v>实验执行</x:v>
      </x:c>
      <x:c r="G316" s="95" t="str">
        <x:v>G 实验执行自动化</x:v>
      </x:c>
      <x:c r="H316" s="95" t="str">
        <x:v>洁净空气</x:v>
      </x:c>
      <x:c r="I316" s="95" t="str">
        <x:v>稳定温度、湿度、干燥和调理历史，减少隐含状态漂移。</x:v>
      </x:c>
      <x:c r="J316" s="95" t="str">
        <x:v>仅围绕制膜、装夹、调理和EIS操作的真实瓶颈逐步自动化。</x:v>
      </x:c>
      <x:c r="K316" s="95" t="str">
        <x:v>可直接支撑当前EIS-only闭环。</x:v>
      </x:c>
      <x:c r="L316" s="95" t="str">
        <x:v>暂缓</x:v>
      </x:c>
      <x:c r="M316" s="95" t="str">
        <x:v>当前不投入</x:v>
      </x:c>
      <x:c r="N316" s="95" t="str">
        <x:v>P2</x:v>
      </x:c>
      <x:c r="O316" s="95" t="str">
        <x:v>https://www.science.org/doi/10.1126/scirobotics.adm6991</x:v>
      </x:c>
      <x:c r="P316" s="96" t="str">
        <x:v>待评审</x:v>
      </x:c>
    </x:row>
    <x:row r="317">
      <x:c r="A317" s="94" t="str">
        <x:v>T0313</x:v>
      </x:c>
      <x:c r="B317" s="95" t="str">
        <x:v>实验执行与具身自动化</x:v>
      </x:c>
      <x:c r="C317" s="95" t="str">
        <x:v>反应工程、流动化学与环境控制</x:v>
      </x:c>
      <x:c r="D317" s="95" t="str">
        <x:v>当前低优先</x:v>
      </x:c>
      <x:c r="E317" s="100" t="n">
        <x:v>3</x:v>
      </x:c>
      <x:c r="F317" s="95" t="str">
        <x:v>实验执行</x:v>
      </x:c>
      <x:c r="G317" s="95" t="str">
        <x:v>G 实验执行自动化</x:v>
      </x:c>
      <x:c r="H317" s="95" t="str">
        <x:v>振动控制</x:v>
      </x:c>
      <x:c r="I317" s="95" t="str">
        <x:v>稳定温度、湿度、干燥和调理历史，减少隐含状态漂移。</x:v>
      </x:c>
      <x:c r="J317" s="95" t="str">
        <x:v>仅围绕制膜、装夹、调理和EIS操作的真实瓶颈逐步自动化。</x:v>
      </x:c>
      <x:c r="K317" s="95" t="str">
        <x:v>可直接支撑当前EIS-only闭环。</x:v>
      </x:c>
      <x:c r="L317" s="95" t="str">
        <x:v>暂缓</x:v>
      </x:c>
      <x:c r="M317" s="95" t="str">
        <x:v>当前不投入</x:v>
      </x:c>
      <x:c r="N317" s="95" t="str">
        <x:v>P2</x:v>
      </x:c>
      <x:c r="O317" s="95" t="str">
        <x:v>https://pubs.acs.org/doi/10.1021/acs.chemrev.4c00055</x:v>
      </x:c>
      <x:c r="P317" s="96" t="str">
        <x:v>待评审</x:v>
      </x:c>
    </x:row>
    <x:row r="318">
      <x:c r="A318" s="94" t="str">
        <x:v>T0314</x:v>
      </x:c>
      <x:c r="B318" s="95" t="str">
        <x:v>实验执行与具身自动化</x:v>
      </x:c>
      <x:c r="C318" s="95" t="str">
        <x:v>反应工程、流动化学与环境控制</x:v>
      </x:c>
      <x:c r="D318" s="95" t="str">
        <x:v>当前低优先</x:v>
      </x:c>
      <x:c r="E318" s="100" t="n">
        <x:v>3</x:v>
      </x:c>
      <x:c r="F318" s="95" t="str">
        <x:v>实验执行</x:v>
      </x:c>
      <x:c r="G318" s="95" t="str">
        <x:v>G 实验执行自动化</x:v>
      </x:c>
      <x:c r="H318" s="95" t="str">
        <x:v>环境传感网络</x:v>
      </x:c>
      <x:c r="I318" s="95" t="str">
        <x:v>稳定温度、湿度、干燥和调理历史，减少隐含状态漂移。</x:v>
      </x:c>
      <x:c r="J318" s="95" t="str">
        <x:v>仅围绕制膜、装夹、调理和EIS操作的真实瓶颈逐步自动化。</x:v>
      </x:c>
      <x:c r="K318" s="95" t="str">
        <x:v>可直接支撑当前EIS-only闭环。</x:v>
      </x:c>
      <x:c r="L318" s="95" t="str">
        <x:v>暂缓</x:v>
      </x:c>
      <x:c r="M318" s="95" t="str">
        <x:v>当前不投入</x:v>
      </x:c>
      <x:c r="N318" s="95" t="str">
        <x:v>P2</x:v>
      </x:c>
      <x:c r="O318" s="95" t="str">
        <x:v>https://www.nature.com/articles/s41467-024-47210-x</x:v>
      </x:c>
      <x:c r="P318" s="96" t="str">
        <x:v>待评审</x:v>
      </x:c>
    </x:row>
    <x:row r="319">
      <x:c r="A319" s="94" t="str">
        <x:v>T0315</x:v>
      </x:c>
      <x:c r="B319" s="95" t="str">
        <x:v>实验执行与具身自动化</x:v>
      </x:c>
      <x:c r="C319" s="95" t="str">
        <x:v>反应工程、流动化学与环境控制</x:v>
      </x:c>
      <x:c r="D319" s="95" t="str">
        <x:v>当前低优先</x:v>
      </x:c>
      <x:c r="E319" s="100" t="n">
        <x:v>3</x:v>
      </x:c>
      <x:c r="F319" s="95" t="str">
        <x:v>实验执行</x:v>
      </x:c>
      <x:c r="G319" s="95" t="str">
        <x:v>G 实验执行自动化</x:v>
      </x:c>
      <x:c r="H319" s="95" t="str">
        <x:v>公用工程监测</x:v>
      </x:c>
      <x:c r="I319" s="95" t="str">
        <x:v>稳定温度、湿度、干燥和调理历史，减少隐含状态漂移。</x:v>
      </x:c>
      <x:c r="J319" s="95" t="str">
        <x:v>仅围绕制膜、装夹、调理和EIS操作的真实瓶颈逐步自动化。</x:v>
      </x:c>
      <x:c r="K319" s="95" t="str">
        <x:v>可直接支撑当前EIS-only闭环。</x:v>
      </x:c>
      <x:c r="L319" s="95" t="str">
        <x:v>暂缓</x:v>
      </x:c>
      <x:c r="M319" s="95" t="str">
        <x:v>当前不投入</x:v>
      </x:c>
      <x:c r="N319" s="95" t="str">
        <x:v>P2</x:v>
      </x:c>
      <x:c r="O319" s="95" t="str">
        <x:v>https://www.science.org/doi/10.1126/sciadv.adu7426</x:v>
      </x:c>
      <x:c r="P319" s="96" t="str">
        <x:v>待评审</x:v>
      </x:c>
    </x:row>
    <x:row r="320">
      <x:c r="A320" s="94" t="str">
        <x:v>T0316</x:v>
      </x:c>
      <x:c r="B320" s="95" t="str">
        <x:v>实验执行与具身自动化</x:v>
      </x:c>
      <x:c r="C320" s="95" t="str">
        <x:v>反应工程、流动化学与环境控制</x:v>
      </x:c>
      <x:c r="D320" s="95" t="str">
        <x:v>当前低优先</x:v>
      </x:c>
      <x:c r="E320" s="100" t="n">
        <x:v>3</x:v>
      </x:c>
      <x:c r="F320" s="95" t="str">
        <x:v>实验执行</x:v>
      </x:c>
      <x:c r="G320" s="95" t="str">
        <x:v>G 实验执行自动化</x:v>
      </x:c>
      <x:c r="H320" s="95" t="str">
        <x:v>溶剂自动供给</x:v>
      </x:c>
      <x:c r="I320" s="95" t="str">
        <x:v>稳定温度、湿度、干燥和调理历史，减少隐含状态漂移。</x:v>
      </x:c>
      <x:c r="J320" s="95" t="str">
        <x:v>仅围绕制膜、装夹、调理和EIS操作的真实瓶颈逐步自动化。</x:v>
      </x:c>
      <x:c r="K320" s="95" t="str">
        <x:v>可直接支撑当前EIS-only闭环。</x:v>
      </x:c>
      <x:c r="L320" s="95" t="str">
        <x:v>暂缓</x:v>
      </x:c>
      <x:c r="M320" s="95" t="str">
        <x:v>当前不投入</x:v>
      </x:c>
      <x:c r="N320" s="95" t="str">
        <x:v>P2</x:v>
      </x:c>
      <x:c r="O320" s="95" t="str">
        <x:v>https://www.science.org/doi/10.1126/scirobotics.adm6991</x:v>
      </x:c>
      <x:c r="P320" s="96" t="str">
        <x:v>待评审</x:v>
      </x:c>
    </x:row>
    <x:row r="321">
      <x:c r="A321" s="94" t="str">
        <x:v>T0317</x:v>
      </x:c>
      <x:c r="B321" s="95" t="str">
        <x:v>实验执行与具身自动化</x:v>
      </x:c>
      <x:c r="C321" s="95" t="str">
        <x:v>反应工程、流动化学与环境控制</x:v>
      </x:c>
      <x:c r="D321" s="95" t="str">
        <x:v>当前低优先</x:v>
      </x:c>
      <x:c r="E321" s="100" t="n">
        <x:v>3</x:v>
      </x:c>
      <x:c r="F321" s="95" t="str">
        <x:v>实验执行</x:v>
      </x:c>
      <x:c r="G321" s="95" t="str">
        <x:v>G 实验执行自动化</x:v>
      </x:c>
      <x:c r="H321" s="95" t="str">
        <x:v>试剂库存联动</x:v>
      </x:c>
      <x:c r="I321" s="95" t="str">
        <x:v>稳定温度、湿度、干燥和调理历史，减少隐含状态漂移。</x:v>
      </x:c>
      <x:c r="J321" s="95" t="str">
        <x:v>仅围绕制膜、装夹、调理和EIS操作的真实瓶颈逐步自动化。</x:v>
      </x:c>
      <x:c r="K321" s="95" t="str">
        <x:v>可直接支撑当前EIS-only闭环。</x:v>
      </x:c>
      <x:c r="L321" s="95" t="str">
        <x:v>暂缓</x:v>
      </x:c>
      <x:c r="M321" s="95" t="str">
        <x:v>当前不投入</x:v>
      </x:c>
      <x:c r="N321" s="95" t="str">
        <x:v>P2</x:v>
      </x:c>
      <x:c r="O321" s="95" t="str">
        <x:v>https://pubs.acs.org/doi/10.1021/acs.chemrev.4c00055</x:v>
      </x:c>
      <x:c r="P321" s="96" t="str">
        <x:v>待评审</x:v>
      </x:c>
    </x:row>
    <x:row r="322">
      <x:c r="A322" s="94" t="str">
        <x:v>T0318</x:v>
      </x:c>
      <x:c r="B322" s="95" t="str">
        <x:v>实验执行与具身自动化</x:v>
      </x:c>
      <x:c r="C322" s="95" t="str">
        <x:v>反应工程、流动化学与环境控制</x:v>
      </x:c>
      <x:c r="D322" s="95" t="str">
        <x:v>当前低优先</x:v>
      </x:c>
      <x:c r="E322" s="100" t="n">
        <x:v>3</x:v>
      </x:c>
      <x:c r="F322" s="95" t="str">
        <x:v>实验执行</x:v>
      </x:c>
      <x:c r="G322" s="95" t="str">
        <x:v>G 实验执行自动化</x:v>
      </x:c>
      <x:c r="H322" s="95" t="str">
        <x:v>废液中和</x:v>
      </x:c>
      <x:c r="I322" s="95" t="str">
        <x:v>稳定温度、湿度、干燥和调理历史，减少隐含状态漂移。</x:v>
      </x:c>
      <x:c r="J322" s="95" t="str">
        <x:v>仅围绕制膜、装夹、调理和EIS操作的真实瓶颈逐步自动化。</x:v>
      </x:c>
      <x:c r="K322" s="95" t="str">
        <x:v>可直接支撑当前EIS-only闭环。</x:v>
      </x:c>
      <x:c r="L322" s="95" t="str">
        <x:v>暂缓</x:v>
      </x:c>
      <x:c r="M322" s="95" t="str">
        <x:v>当前不投入</x:v>
      </x:c>
      <x:c r="N322" s="95" t="str">
        <x:v>P2</x:v>
      </x:c>
      <x:c r="O322" s="95" t="str">
        <x:v>https://www.nature.com/articles/s41467-024-47210-x</x:v>
      </x:c>
      <x:c r="P322" s="96" t="str">
        <x:v>待评审</x:v>
      </x:c>
    </x:row>
    <x:row r="323">
      <x:c r="A323" s="94" t="str">
        <x:v>T0319</x:v>
      </x:c>
      <x:c r="B323" s="95" t="str">
        <x:v>实验执行与具身自动化</x:v>
      </x:c>
      <x:c r="C323" s="95" t="str">
        <x:v>反应工程、流动化学与环境控制</x:v>
      </x:c>
      <x:c r="D323" s="95" t="str">
        <x:v>当前低优先</x:v>
      </x:c>
      <x:c r="E323" s="100" t="n">
        <x:v>3</x:v>
      </x:c>
      <x:c r="F323" s="95" t="str">
        <x:v>实验执行</x:v>
      </x:c>
      <x:c r="G323" s="95" t="str">
        <x:v>G 实验执行自动化</x:v>
      </x:c>
      <x:c r="H323" s="95" t="str">
        <x:v>能源管理</x:v>
      </x:c>
      <x:c r="I323" s="95" t="str">
        <x:v>稳定温度、湿度、干燥和调理历史，减少隐含状态漂移。</x:v>
      </x:c>
      <x:c r="J323" s="95" t="str">
        <x:v>仅围绕制膜、装夹、调理和EIS操作的真实瓶颈逐步自动化。</x:v>
      </x:c>
      <x:c r="K323" s="95" t="str">
        <x:v>可直接支撑当前EIS-only闭环。</x:v>
      </x:c>
      <x:c r="L323" s="95" t="str">
        <x:v>暂缓</x:v>
      </x:c>
      <x:c r="M323" s="95" t="str">
        <x:v>当前不投入</x:v>
      </x:c>
      <x:c r="N323" s="95" t="str">
        <x:v>P2</x:v>
      </x:c>
      <x:c r="O323" s="95" t="str">
        <x:v>https://www.science.org/doi/10.1126/sciadv.adu7426</x:v>
      </x:c>
      <x:c r="P323" s="96" t="str">
        <x:v>待评审</x:v>
      </x:c>
    </x:row>
    <x:row r="324">
      <x:c r="A324" s="94" t="str">
        <x:v>T0320</x:v>
      </x:c>
      <x:c r="B324" s="95" t="str">
        <x:v>实验执行与具身自动化</x:v>
      </x:c>
      <x:c r="C324" s="95" t="str">
        <x:v>反应工程、流动化学与环境控制</x:v>
      </x:c>
      <x:c r="D324" s="95" t="str">
        <x:v>当前低优先</x:v>
      </x:c>
      <x:c r="E324" s="100" t="n">
        <x:v>3</x:v>
      </x:c>
      <x:c r="F324" s="95" t="str">
        <x:v>实验执行</x:v>
      </x:c>
      <x:c r="G324" s="95" t="str">
        <x:v>G 实验执行自动化</x:v>
      </x:c>
      <x:c r="H324" s="95" t="str">
        <x:v>放大/缩小准则</x:v>
      </x:c>
      <x:c r="I324" s="95" t="str">
        <x:v>稳定温度、湿度、干燥和调理历史，减少隐含状态漂移。</x:v>
      </x:c>
      <x:c r="J324" s="95" t="str">
        <x:v>仅围绕制膜、装夹、调理和EIS操作的真实瓶颈逐步自动化。</x:v>
      </x:c>
      <x:c r="K324" s="95" t="str">
        <x:v>可直接支撑当前EIS-only闭环。</x:v>
      </x:c>
      <x:c r="L324" s="95" t="str">
        <x:v>暂缓</x:v>
      </x:c>
      <x:c r="M324" s="95" t="str">
        <x:v>当前不投入</x:v>
      </x:c>
      <x:c r="N324" s="95" t="str">
        <x:v>P2</x:v>
      </x:c>
      <x:c r="O324" s="95" t="str">
        <x:v>https://www.science.org/doi/10.1126/scirobotics.adm6991</x:v>
      </x:c>
      <x:c r="P324" s="96" t="str">
        <x:v>待评审</x:v>
      </x:c>
    </x:row>
    <x:row r="325">
      <x:c r="A325" s="94" t="str">
        <x:v>T0321</x:v>
      </x:c>
      <x:c r="B325" s="95" t="str">
        <x:v>实验执行与具身自动化</x:v>
      </x:c>
      <x:c r="C325" s="95" t="str">
        <x:v>在线检测、分析仪器与计量</x:v>
      </x:c>
      <x:c r="D325" s="95" t="str">
        <x:v>研究储备</x:v>
      </x:c>
      <x:c r="E325" s="100" t="n">
        <x:v>5</x:v>
      </x:c>
      <x:c r="F325" s="95" t="str">
        <x:v>实验执行</x:v>
      </x:c>
      <x:c r="G325" s="95" t="str">
        <x:v>B EIS计量、质控与分析</x:v>
      </x:c>
      <x:c r="H325" s="95" t="str">
        <x:v>过程分析技术PAT</x:v>
      </x:c>
      <x:c r="I325" s="95" t="str">
        <x:v>保证EIS、温度、水分、尺寸与时间链的计量可信度。</x:v>
      </x:c>
      <x:c r="J325" s="95" t="str">
        <x:v>接入EIS有效性检查、温湿/热史状态、测量不确定度传播和模型比较。</x:v>
      </x:c>
      <x:c r="K325" s="95" t="str">
        <x:v>可直接支撑当前EIS-only闭环。</x:v>
      </x:c>
      <x:c r="L325" s="95" t="str">
        <x:v>M3 研究储备</x:v>
      </x:c>
      <x:c r="M325" s="95" t="str">
        <x:v>条件具备后</x:v>
      </x:c>
      <x:c r="N325" s="95" t="str">
        <x:v>P0</x:v>
      </x:c>
      <x:c r="O325" s="95" t="str">
        <x:v>https://pubs.acs.org/doi/10.1021/acs.chemrev.4c00055</x:v>
      </x:c>
      <x:c r="P325" s="96" t="str">
        <x:v>待评审</x:v>
      </x:c>
    </x:row>
    <x:row r="326">
      <x:c r="A326" s="94" t="str">
        <x:v>T0322</x:v>
      </x:c>
      <x:c r="B326" s="95" t="str">
        <x:v>实验执行与具身自动化</x:v>
      </x:c>
      <x:c r="C326" s="95" t="str">
        <x:v>在线检测、分析仪器与计量</x:v>
      </x:c>
      <x:c r="D326" s="95" t="str">
        <x:v>研究储备</x:v>
      </x:c>
      <x:c r="E326" s="100" t="n">
        <x:v>5</x:v>
      </x:c>
      <x:c r="F326" s="95" t="str">
        <x:v>实验执行</x:v>
      </x:c>
      <x:c r="G326" s="95" t="str">
        <x:v>B EIS计量、质控与分析</x:v>
      </x:c>
      <x:c r="H326" s="95" t="str">
        <x:v>在线检测</x:v>
      </x:c>
      <x:c r="I326" s="95" t="str">
        <x:v>保证EIS、温度、水分、尺寸与时间链的计量可信度。</x:v>
      </x:c>
      <x:c r="J326" s="95" t="str">
        <x:v>接入EIS有效性检查、温湿/热史状态、测量不确定度传播和模型比较。</x:v>
      </x:c>
      <x:c r="K326" s="95" t="str">
        <x:v>可直接支撑当前EIS-only闭环。</x:v>
      </x:c>
      <x:c r="L326" s="95" t="str">
        <x:v>M3 研究储备</x:v>
      </x:c>
      <x:c r="M326" s="95" t="str">
        <x:v>条件具备后</x:v>
      </x:c>
      <x:c r="N326" s="95" t="str">
        <x:v>P0</x:v>
      </x:c>
      <x:c r="O326" s="95" t="str">
        <x:v>https://www.nature.com/articles/s41467-024-45569-5</x:v>
      </x:c>
      <x:c r="P326" s="96" t="str">
        <x:v>待评审</x:v>
      </x:c>
    </x:row>
    <x:row r="327">
      <x:c r="A327" s="94" t="str">
        <x:v>T0323</x:v>
      </x:c>
      <x:c r="B327" s="95" t="str">
        <x:v>实验执行与具身自动化</x:v>
      </x:c>
      <x:c r="C327" s="95" t="str">
        <x:v>在线检测、分析仪器与计量</x:v>
      </x:c>
      <x:c r="D327" s="95" t="str">
        <x:v>研究储备</x:v>
      </x:c>
      <x:c r="E327" s="100" t="n">
        <x:v>5</x:v>
      </x:c>
      <x:c r="F327" s="95" t="str">
        <x:v>实验执行</x:v>
      </x:c>
      <x:c r="G327" s="95" t="str">
        <x:v>B EIS计量、质控与分析</x:v>
      </x:c>
      <x:c r="H327" s="95" t="str">
        <x:v>旁线检测</x:v>
      </x:c>
      <x:c r="I327" s="95" t="str">
        <x:v>保证EIS、温度、水分、尺寸与时间链的计量可信度。</x:v>
      </x:c>
      <x:c r="J327" s="95" t="str">
        <x:v>接入EIS有效性检查、温湿/热史状态、测量不确定度传播和模型比较。</x:v>
      </x:c>
      <x:c r="K327" s="95" t="str">
        <x:v>可直接支撑当前EIS-only闭环。</x:v>
      </x:c>
      <x:c r="L327" s="95" t="str">
        <x:v>M3 研究储备</x:v>
      </x:c>
      <x:c r="M327" s="95" t="str">
        <x:v>条件具备后</x:v>
      </x:c>
      <x:c r="N327" s="95" t="str">
        <x:v>P0</x:v>
      </x:c>
      <x:c r="O327" s="95" t="str">
        <x:v>https://www.nature.com/articles/s41586-023-06734-w</x:v>
      </x:c>
      <x:c r="P327" s="96" t="str">
        <x:v>待评审</x:v>
      </x:c>
    </x:row>
    <x:row r="328">
      <x:c r="A328" s="94" t="str">
        <x:v>T0324</x:v>
      </x:c>
      <x:c r="B328" s="95" t="str">
        <x:v>实验执行与具身自动化</x:v>
      </x:c>
      <x:c r="C328" s="95" t="str">
        <x:v>在线检测、分析仪器与计量</x:v>
      </x:c>
      <x:c r="D328" s="95" t="str">
        <x:v>研究储备</x:v>
      </x:c>
      <x:c r="E328" s="100" t="n">
        <x:v>5</x:v>
      </x:c>
      <x:c r="F328" s="95" t="str">
        <x:v>实验执行</x:v>
      </x:c>
      <x:c r="G328" s="95" t="str">
        <x:v>B EIS计量、质控与分析</x:v>
      </x:c>
      <x:c r="H328" s="95" t="str">
        <x:v>近线检测</x:v>
      </x:c>
      <x:c r="I328" s="95" t="str">
        <x:v>保证EIS、温度、水分、尺寸与时间链的计量可信度。</x:v>
      </x:c>
      <x:c r="J328" s="95" t="str">
        <x:v>接入EIS有效性检查、温湿/热史状态、测量不确定度传播和模型比较。</x:v>
      </x:c>
      <x:c r="K328" s="95" t="str">
        <x:v>可直接支撑当前EIS-only闭环。</x:v>
      </x:c>
      <x:c r="L328" s="95" t="str">
        <x:v>M3 研究储备</x:v>
      </x:c>
      <x:c r="M328" s="95" t="str">
        <x:v>条件具备后</x:v>
      </x:c>
      <x:c r="N328" s="95" t="str">
        <x:v>P0</x:v>
      </x:c>
      <x:c r="O328" s="95" t="str">
        <x:v>https://www.nature.com/articles/s41467-024-47210-x</x:v>
      </x:c>
      <x:c r="P328" s="96" t="str">
        <x:v>待评审</x:v>
      </x:c>
    </x:row>
    <x:row r="329">
      <x:c r="A329" s="94" t="str">
        <x:v>T0325</x:v>
      </x:c>
      <x:c r="B329" s="95" t="str">
        <x:v>实验执行与具身自动化</x:v>
      </x:c>
      <x:c r="C329" s="95" t="str">
        <x:v>在线检测、分析仪器与计量</x:v>
      </x:c>
      <x:c r="D329" s="95" t="str">
        <x:v>研究储备</x:v>
      </x:c>
      <x:c r="E329" s="100" t="n">
        <x:v>5</x:v>
      </x:c>
      <x:c r="F329" s="95" t="str">
        <x:v>实验执行</x:v>
      </x:c>
      <x:c r="G329" s="95" t="str">
        <x:v>B EIS计量、质控与分析</x:v>
      </x:c>
      <x:c r="H329" s="95" t="str">
        <x:v>UV-Vis</x:v>
      </x:c>
      <x:c r="I329" s="95" t="str">
        <x:v>保证EIS、温度、水分、尺寸与时间链的计量可信度。</x:v>
      </x:c>
      <x:c r="J329" s="95" t="str">
        <x:v>接入EIS有效性检查、温湿/热史状态、测量不确定度传播和模型比较。</x:v>
      </x:c>
      <x:c r="K329" s="95" t="str">
        <x:v>可直接支撑当前EIS-only闭环。</x:v>
      </x:c>
      <x:c r="L329" s="95" t="str">
        <x:v>M3 研究储备</x:v>
      </x:c>
      <x:c r="M329" s="95" t="str">
        <x:v>条件具备后</x:v>
      </x:c>
      <x:c r="N329" s="95" t="str">
        <x:v>P0</x:v>
      </x:c>
      <x:c r="O329" s="95" t="str">
        <x:v>https://pubs.acs.org/doi/10.1021/acs.chemrev.4c00055</x:v>
      </x:c>
      <x:c r="P329" s="96" t="str">
        <x:v>待评审</x:v>
      </x:c>
    </x:row>
    <x:row r="330">
      <x:c r="A330" s="94" t="str">
        <x:v>T0326</x:v>
      </x:c>
      <x:c r="B330" s="95" t="str">
        <x:v>实验执行与具身自动化</x:v>
      </x:c>
      <x:c r="C330" s="95" t="str">
        <x:v>在线检测、分析仪器与计量</x:v>
      </x:c>
      <x:c r="D330" s="95" t="str">
        <x:v>当前低优先</x:v>
      </x:c>
      <x:c r="E330" s="100" t="n">
        <x:v>2</x:v>
      </x:c>
      <x:c r="F330" s="95" t="str">
        <x:v>实验执行</x:v>
      </x:c>
      <x:c r="G330" s="95" t="str">
        <x:v>B EIS计量、质控与分析</x:v>
      </x:c>
      <x:c r="H330" s="95" t="str">
        <x:v>红外光谱</x:v>
      </x:c>
      <x:c r="I330" s="95" t="str">
        <x:v>保证EIS、温度、水分、尺寸与时间链的计量可信度。</x:v>
      </x:c>
      <x:c r="J330" s="95" t="str">
        <x:v>接入EIS有效性检查、温湿/热史状态、测量不确定度传播和模型比较。</x:v>
      </x:c>
      <x:c r="K330" s="95" t="str">
        <x:v>可直接支撑当前EIS-only闭环。</x:v>
      </x:c>
      <x:c r="L330" s="95" t="str">
        <x:v>暂缓</x:v>
      </x:c>
      <x:c r="M330" s="95" t="str">
        <x:v>当前不投入</x:v>
      </x:c>
      <x:c r="N330" s="95" t="str">
        <x:v>P0</x:v>
      </x:c>
      <x:c r="O330" s="95" t="str">
        <x:v>https://www.nature.com/articles/s41467-024-45569-5</x:v>
      </x:c>
      <x:c r="P330" s="96" t="str">
        <x:v>待评审</x:v>
      </x:c>
    </x:row>
    <x:row r="331">
      <x:c r="A331" s="94" t="str">
        <x:v>T0327</x:v>
      </x:c>
      <x:c r="B331" s="95" t="str">
        <x:v>实验执行与具身自动化</x:v>
      </x:c>
      <x:c r="C331" s="95" t="str">
        <x:v>在线检测、分析仪器与计量</x:v>
      </x:c>
      <x:c r="D331" s="95" t="str">
        <x:v>当前低优先</x:v>
      </x:c>
      <x:c r="E331" s="100" t="n">
        <x:v>2</x:v>
      </x:c>
      <x:c r="F331" s="95" t="str">
        <x:v>实验执行</x:v>
      </x:c>
      <x:c r="G331" s="95" t="str">
        <x:v>B EIS计量、质控与分析</x:v>
      </x:c>
      <x:c r="H331" s="95" t="str">
        <x:v>拉曼光谱</x:v>
      </x:c>
      <x:c r="I331" s="95" t="str">
        <x:v>保证EIS、温度、水分、尺寸与时间链的计量可信度。</x:v>
      </x:c>
      <x:c r="J331" s="95" t="str">
        <x:v>接入EIS有效性检查、温湿/热史状态、测量不确定度传播和模型比较。</x:v>
      </x:c>
      <x:c r="K331" s="95" t="str">
        <x:v>可直接支撑当前EIS-only闭环。</x:v>
      </x:c>
      <x:c r="L331" s="95" t="str">
        <x:v>暂缓</x:v>
      </x:c>
      <x:c r="M331" s="95" t="str">
        <x:v>当前不投入</x:v>
      </x:c>
      <x:c r="N331" s="95" t="str">
        <x:v>P0</x:v>
      </x:c>
      <x:c r="O331" s="95" t="str">
        <x:v>https://www.nature.com/articles/s41586-023-06734-w</x:v>
      </x:c>
      <x:c r="P331" s="96" t="str">
        <x:v>待评审</x:v>
      </x:c>
    </x:row>
    <x:row r="332">
      <x:c r="A332" s="94" t="str">
        <x:v>T0328</x:v>
      </x:c>
      <x:c r="B332" s="95" t="str">
        <x:v>实验执行与具身自动化</x:v>
      </x:c>
      <x:c r="C332" s="95" t="str">
        <x:v>在线检测、分析仪器与计量</x:v>
      </x:c>
      <x:c r="D332" s="95" t="str">
        <x:v>当前低优先</x:v>
      </x:c>
      <x:c r="E332" s="100" t="n">
        <x:v>2</x:v>
      </x:c>
      <x:c r="F332" s="95" t="str">
        <x:v>实验执行</x:v>
      </x:c>
      <x:c r="G332" s="95" t="str">
        <x:v>B EIS计量、质控与分析</x:v>
      </x:c>
      <x:c r="H332" s="95" t="str">
        <x:v>近红外光谱</x:v>
      </x:c>
      <x:c r="I332" s="95" t="str">
        <x:v>保证EIS、温度、水分、尺寸与时间链的计量可信度。</x:v>
      </x:c>
      <x:c r="J332" s="95" t="str">
        <x:v>接入EIS有效性检查、温湿/热史状态、测量不确定度传播和模型比较。</x:v>
      </x:c>
      <x:c r="K332" s="95" t="str">
        <x:v>可直接支撑当前EIS-only闭环。</x:v>
      </x:c>
      <x:c r="L332" s="95" t="str">
        <x:v>暂缓</x:v>
      </x:c>
      <x:c r="M332" s="95" t="str">
        <x:v>当前不投入</x:v>
      </x:c>
      <x:c r="N332" s="95" t="str">
        <x:v>P0</x:v>
      </x:c>
      <x:c r="O332" s="95" t="str">
        <x:v>https://www.nature.com/articles/s41467-024-47210-x</x:v>
      </x:c>
      <x:c r="P332" s="96" t="str">
        <x:v>待评审</x:v>
      </x:c>
    </x:row>
    <x:row r="333">
      <x:c r="A333" s="94" t="str">
        <x:v>T0329</x:v>
      </x:c>
      <x:c r="B333" s="95" t="str">
        <x:v>实验执行与具身自动化</x:v>
      </x:c>
      <x:c r="C333" s="95" t="str">
        <x:v>在线检测、分析仪器与计量</x:v>
      </x:c>
      <x:c r="D333" s="95" t="str">
        <x:v>研究储备</x:v>
      </x:c>
      <x:c r="E333" s="100" t="n">
        <x:v>5</x:v>
      </x:c>
      <x:c r="F333" s="95" t="str">
        <x:v>实验执行</x:v>
      </x:c>
      <x:c r="G333" s="95" t="str">
        <x:v>B EIS计量、质控与分析</x:v>
      </x:c>
      <x:c r="H333" s="95" t="str">
        <x:v>荧光光谱</x:v>
      </x:c>
      <x:c r="I333" s="95" t="str">
        <x:v>保证EIS、温度、水分、尺寸与时间链的计量可信度。</x:v>
      </x:c>
      <x:c r="J333" s="95" t="str">
        <x:v>接入EIS有效性检查、温湿/热史状态、测量不确定度传播和模型比较。</x:v>
      </x:c>
      <x:c r="K333" s="95" t="str">
        <x:v>可直接支撑当前EIS-only闭环。</x:v>
      </x:c>
      <x:c r="L333" s="95" t="str">
        <x:v>M3 研究储备</x:v>
      </x:c>
      <x:c r="M333" s="95" t="str">
        <x:v>条件具备后</x:v>
      </x:c>
      <x:c r="N333" s="95" t="str">
        <x:v>P0</x:v>
      </x:c>
      <x:c r="O333" s="95" t="str">
        <x:v>https://pubs.acs.org/doi/10.1021/acs.chemrev.4c00055</x:v>
      </x:c>
      <x:c r="P333" s="96" t="str">
        <x:v>待评审</x:v>
      </x:c>
    </x:row>
    <x:row r="334">
      <x:c r="A334" s="94" t="str">
        <x:v>T0330</x:v>
      </x:c>
      <x:c r="B334" s="95" t="str">
        <x:v>实验执行与具身自动化</x:v>
      </x:c>
      <x:c r="C334" s="95" t="str">
        <x:v>在线检测、分析仪器与计量</x:v>
      </x:c>
      <x:c r="D334" s="95" t="str">
        <x:v>当前低优先</x:v>
      </x:c>
      <x:c r="E334" s="100" t="n">
        <x:v>2</x:v>
      </x:c>
      <x:c r="F334" s="95" t="str">
        <x:v>实验执行</x:v>
      </x:c>
      <x:c r="G334" s="95" t="str">
        <x:v>B EIS计量、质控与分析</x:v>
      </x:c>
      <x:c r="H334" s="95" t="str">
        <x:v>质谱</x:v>
      </x:c>
      <x:c r="I334" s="95" t="str">
        <x:v>保证EIS、温度、水分、尺寸与时间链的计量可信度。</x:v>
      </x:c>
      <x:c r="J334" s="95" t="str">
        <x:v>接入EIS有效性检查、温湿/热史状态、测量不确定度传播和模型比较。</x:v>
      </x:c>
      <x:c r="K334" s="95" t="str">
        <x:v>可直接支撑当前EIS-only闭环。</x:v>
      </x:c>
      <x:c r="L334" s="95" t="str">
        <x:v>暂缓</x:v>
      </x:c>
      <x:c r="M334" s="95" t="str">
        <x:v>当前不投入</x:v>
      </x:c>
      <x:c r="N334" s="95" t="str">
        <x:v>P0</x:v>
      </x:c>
      <x:c r="O334" s="95" t="str">
        <x:v>https://www.nature.com/articles/s41467-024-45569-5</x:v>
      </x:c>
      <x:c r="P334" s="96" t="str">
        <x:v>待评审</x:v>
      </x:c>
    </x:row>
    <x:row r="335">
      <x:c r="A335" s="94" t="str">
        <x:v>T0331</x:v>
      </x:c>
      <x:c r="B335" s="95" t="str">
        <x:v>实验执行与具身自动化</x:v>
      </x:c>
      <x:c r="C335" s="95" t="str">
        <x:v>在线检测、分析仪器与计量</x:v>
      </x:c>
      <x:c r="D335" s="95" t="str">
        <x:v>研究储备</x:v>
      </x:c>
      <x:c r="E335" s="100" t="n">
        <x:v>5</x:v>
      </x:c>
      <x:c r="F335" s="95" t="str">
        <x:v>实验执行</x:v>
      </x:c>
      <x:c r="G335" s="95" t="str">
        <x:v>B EIS计量、质控与分析</x:v>
      </x:c>
      <x:c r="H335" s="95" t="str">
        <x:v>气相色谱</x:v>
      </x:c>
      <x:c r="I335" s="95" t="str">
        <x:v>保证EIS、温度、水分、尺寸与时间链的计量可信度。</x:v>
      </x:c>
      <x:c r="J335" s="95" t="str">
        <x:v>接入EIS有效性检查、温湿/热史状态、测量不确定度传播和模型比较。</x:v>
      </x:c>
      <x:c r="K335" s="95" t="str">
        <x:v>可直接支撑当前EIS-only闭环。</x:v>
      </x:c>
      <x:c r="L335" s="95" t="str">
        <x:v>M3 研究储备</x:v>
      </x:c>
      <x:c r="M335" s="95" t="str">
        <x:v>条件具备后</x:v>
      </x:c>
      <x:c r="N335" s="95" t="str">
        <x:v>P1</x:v>
      </x:c>
      <x:c r="O335" s="95" t="str">
        <x:v>https://www.nature.com/articles/s41586-023-06734-w</x:v>
      </x:c>
      <x:c r="P335" s="96" t="str">
        <x:v>待评审</x:v>
      </x:c>
    </x:row>
    <x:row r="336">
      <x:c r="A336" s="94" t="str">
        <x:v>T0332</x:v>
      </x:c>
      <x:c r="B336" s="95" t="str">
        <x:v>实验执行与具身自动化</x:v>
      </x:c>
      <x:c r="C336" s="95" t="str">
        <x:v>在线检测、分析仪器与计量</x:v>
      </x:c>
      <x:c r="D336" s="95" t="str">
        <x:v>研究储备</x:v>
      </x:c>
      <x:c r="E336" s="100" t="n">
        <x:v>5</x:v>
      </x:c>
      <x:c r="F336" s="95" t="str">
        <x:v>实验执行</x:v>
      </x:c>
      <x:c r="G336" s="95" t="str">
        <x:v>B EIS计量、质控与分析</x:v>
      </x:c>
      <x:c r="H336" s="95" t="str">
        <x:v>液相色谱</x:v>
      </x:c>
      <x:c r="I336" s="95" t="str">
        <x:v>保证EIS、温度、水分、尺寸与时间链的计量可信度。</x:v>
      </x:c>
      <x:c r="J336" s="95" t="str">
        <x:v>接入EIS有效性检查、温湿/热史状态、测量不确定度传播和模型比较。</x:v>
      </x:c>
      <x:c r="K336" s="95" t="str">
        <x:v>可直接支撑当前EIS-only闭环。</x:v>
      </x:c>
      <x:c r="L336" s="95" t="str">
        <x:v>M3 研究储备</x:v>
      </x:c>
      <x:c r="M336" s="95" t="str">
        <x:v>条件具备后</x:v>
      </x:c>
      <x:c r="N336" s="95" t="str">
        <x:v>P1</x:v>
      </x:c>
      <x:c r="O336" s="95" t="str">
        <x:v>https://www.nature.com/articles/s41467-024-47210-x</x:v>
      </x:c>
      <x:c r="P336" s="96" t="str">
        <x:v>待评审</x:v>
      </x:c>
    </x:row>
    <x:row r="337">
      <x:c r="A337" s="94" t="str">
        <x:v>T0333</x:v>
      </x:c>
      <x:c r="B337" s="95" t="str">
        <x:v>实验执行与具身自动化</x:v>
      </x:c>
      <x:c r="C337" s="95" t="str">
        <x:v>在线检测、分析仪器与计量</x:v>
      </x:c>
      <x:c r="D337" s="95" t="str">
        <x:v>当前低优先</x:v>
      </x:c>
      <x:c r="E337" s="100" t="n">
        <x:v>2</x:v>
      </x:c>
      <x:c r="F337" s="95" t="str">
        <x:v>实验执行</x:v>
      </x:c>
      <x:c r="G337" s="95" t="str">
        <x:v>B EIS计量、质控与分析</x:v>
      </x:c>
      <x:c r="H337" s="95" t="str">
        <x:v>核磁共振</x:v>
      </x:c>
      <x:c r="I337" s="95" t="str">
        <x:v>保证EIS、温度、水分、尺寸与时间链的计量可信度。</x:v>
      </x:c>
      <x:c r="J337" s="95" t="str">
        <x:v>接入EIS有效性检查、温湿/热史状态、测量不确定度传播和模型比较。</x:v>
      </x:c>
      <x:c r="K337" s="95" t="str">
        <x:v>可直接支撑当前EIS-only闭环。</x:v>
      </x:c>
      <x:c r="L337" s="95" t="str">
        <x:v>暂缓</x:v>
      </x:c>
      <x:c r="M337" s="95" t="str">
        <x:v>当前不投入</x:v>
      </x:c>
      <x:c r="N337" s="95" t="str">
        <x:v>P1</x:v>
      </x:c>
      <x:c r="O337" s="95" t="str">
        <x:v>https://pubs.acs.org/doi/10.1021/acs.chemrev.4c00055</x:v>
      </x:c>
      <x:c r="P337" s="96" t="str">
        <x:v>待评审</x:v>
      </x:c>
    </x:row>
    <x:row r="338">
      <x:c r="A338" s="94" t="str">
        <x:v>T0334</x:v>
      </x:c>
      <x:c r="B338" s="95" t="str">
        <x:v>实验执行与具身自动化</x:v>
      </x:c>
      <x:c r="C338" s="95" t="str">
        <x:v>在线检测、分析仪器与计量</x:v>
      </x:c>
      <x:c r="D338" s="95" t="str">
        <x:v>当前低优先</x:v>
      </x:c>
      <x:c r="E338" s="100" t="n">
        <x:v>2</x:v>
      </x:c>
      <x:c r="F338" s="95" t="str">
        <x:v>实验执行</x:v>
      </x:c>
      <x:c r="G338" s="95" t="str">
        <x:v>B EIS计量、质控与分析</x:v>
      </x:c>
      <x:c r="H338" s="95" t="str">
        <x:v>X射线衍射</x:v>
      </x:c>
      <x:c r="I338" s="95" t="str">
        <x:v>保证EIS、温度、水分、尺寸与时间链的计量可信度。</x:v>
      </x:c>
      <x:c r="J338" s="95" t="str">
        <x:v>接入EIS有效性检查、温湿/热史状态、测量不确定度传播和模型比较。</x:v>
      </x:c>
      <x:c r="K338" s="95" t="str">
        <x:v>可直接支撑当前EIS-only闭环。</x:v>
      </x:c>
      <x:c r="L338" s="95" t="str">
        <x:v>暂缓</x:v>
      </x:c>
      <x:c r="M338" s="95" t="str">
        <x:v>当前不投入</x:v>
      </x:c>
      <x:c r="N338" s="95" t="str">
        <x:v>P1</x:v>
      </x:c>
      <x:c r="O338" s="95" t="str">
        <x:v>https://www.nature.com/articles/s41467-024-45569-5</x:v>
      </x:c>
      <x:c r="P338" s="96" t="str">
        <x:v>待评审</x:v>
      </x:c>
    </x:row>
    <x:row r="339">
      <x:c r="A339" s="94" t="str">
        <x:v>T0335</x:v>
      </x:c>
      <x:c r="B339" s="95" t="str">
        <x:v>实验执行与具身自动化</x:v>
      </x:c>
      <x:c r="C339" s="95" t="str">
        <x:v>在线检测、分析仪器与计量</x:v>
      </x:c>
      <x:c r="D339" s="95" t="str">
        <x:v>研究储备</x:v>
      </x:c>
      <x:c r="E339" s="100" t="n">
        <x:v>5</x:v>
      </x:c>
      <x:c r="F339" s="95" t="str">
        <x:v>实验执行</x:v>
      </x:c>
      <x:c r="G339" s="95" t="str">
        <x:v>B EIS计量、质控与分析</x:v>
      </x:c>
      <x:c r="H339" s="95" t="str">
        <x:v>X射线荧光</x:v>
      </x:c>
      <x:c r="I339" s="95" t="str">
        <x:v>保证EIS、温度、水分、尺寸与时间链的计量可信度。</x:v>
      </x:c>
      <x:c r="J339" s="95" t="str">
        <x:v>接入EIS有效性检查、温湿/热史状态、测量不确定度传播和模型比较。</x:v>
      </x:c>
      <x:c r="K339" s="95" t="str">
        <x:v>可直接支撑当前EIS-only闭环。</x:v>
      </x:c>
      <x:c r="L339" s="95" t="str">
        <x:v>M3 研究储备</x:v>
      </x:c>
      <x:c r="M339" s="95" t="str">
        <x:v>条件具备后</x:v>
      </x:c>
      <x:c r="N339" s="95" t="str">
        <x:v>P1</x:v>
      </x:c>
      <x:c r="O339" s="95" t="str">
        <x:v>https://www.nature.com/articles/s41586-023-06734-w</x:v>
      </x:c>
      <x:c r="P339" s="96" t="str">
        <x:v>待评审</x:v>
      </x:c>
    </x:row>
    <x:row r="340">
      <x:c r="A340" s="94" t="str">
        <x:v>T0336</x:v>
      </x:c>
      <x:c r="B340" s="95" t="str">
        <x:v>实验执行与具身自动化</x:v>
      </x:c>
      <x:c r="C340" s="95" t="str">
        <x:v>在线检测、分析仪器与计量</x:v>
      </x:c>
      <x:c r="D340" s="95" t="str">
        <x:v>研究储备</x:v>
      </x:c>
      <x:c r="E340" s="100" t="n">
        <x:v>5</x:v>
      </x:c>
      <x:c r="F340" s="95" t="str">
        <x:v>实验执行</x:v>
      </x:c>
      <x:c r="G340" s="95" t="str">
        <x:v>B EIS计量、质控与分析</x:v>
      </x:c>
      <x:c r="H340" s="95" t="str">
        <x:v>XPS</x:v>
      </x:c>
      <x:c r="I340" s="95" t="str">
        <x:v>保证EIS、温度、水分、尺寸与时间链的计量可信度。</x:v>
      </x:c>
      <x:c r="J340" s="95" t="str">
        <x:v>接入EIS有效性检查、温湿/热史状态、测量不确定度传播和模型比较。</x:v>
      </x:c>
      <x:c r="K340" s="95" t="str">
        <x:v>可直接支撑当前EIS-only闭环。</x:v>
      </x:c>
      <x:c r="L340" s="95" t="str">
        <x:v>M3 研究储备</x:v>
      </x:c>
      <x:c r="M340" s="95" t="str">
        <x:v>条件具备后</x:v>
      </x:c>
      <x:c r="N340" s="95" t="str">
        <x:v>P1</x:v>
      </x:c>
      <x:c r="O340" s="95" t="str">
        <x:v>https://www.nature.com/articles/s41467-024-47210-x</x:v>
      </x:c>
      <x:c r="P340" s="96" t="str">
        <x:v>待评审</x:v>
      </x:c>
    </x:row>
    <x:row r="341">
      <x:c r="A341" s="94" t="str">
        <x:v>T0337</x:v>
      </x:c>
      <x:c r="B341" s="95" t="str">
        <x:v>实验执行与具身自动化</x:v>
      </x:c>
      <x:c r="C341" s="95" t="str">
        <x:v>在线检测、分析仪器与计量</x:v>
      </x:c>
      <x:c r="D341" s="95" t="str">
        <x:v>研究储备</x:v>
      </x:c>
      <x:c r="E341" s="100" t="n">
        <x:v>5</x:v>
      </x:c>
      <x:c r="F341" s="95" t="str">
        <x:v>实验执行</x:v>
      </x:c>
      <x:c r="G341" s="95" t="str">
        <x:v>B EIS计量、质控与分析</x:v>
      </x:c>
      <x:c r="H341" s="95" t="str">
        <x:v>扫描电镜</x:v>
      </x:c>
      <x:c r="I341" s="95" t="str">
        <x:v>保证EIS、温度、水分、尺寸与时间链的计量可信度。</x:v>
      </x:c>
      <x:c r="J341" s="95" t="str">
        <x:v>接入EIS有效性检查、温湿/热史状态、测量不确定度传播和模型比较。</x:v>
      </x:c>
      <x:c r="K341" s="95" t="str">
        <x:v>可直接支撑当前EIS-only闭环。</x:v>
      </x:c>
      <x:c r="L341" s="95" t="str">
        <x:v>M3 研究储备</x:v>
      </x:c>
      <x:c r="M341" s="95" t="str">
        <x:v>条件具备后</x:v>
      </x:c>
      <x:c r="N341" s="95" t="str">
        <x:v>P1</x:v>
      </x:c>
      <x:c r="O341" s="95" t="str">
        <x:v>https://pubs.acs.org/doi/10.1021/acs.chemrev.4c00055</x:v>
      </x:c>
      <x:c r="P341" s="96" t="str">
        <x:v>待评审</x:v>
      </x:c>
    </x:row>
    <x:row r="342">
      <x:c r="A342" s="94" t="str">
        <x:v>T0338</x:v>
      </x:c>
      <x:c r="B342" s="95" t="str">
        <x:v>实验执行与具身自动化</x:v>
      </x:c>
      <x:c r="C342" s="95" t="str">
        <x:v>在线检测、分析仪器与计量</x:v>
      </x:c>
      <x:c r="D342" s="95" t="str">
        <x:v>研究储备</x:v>
      </x:c>
      <x:c r="E342" s="100" t="n">
        <x:v>5</x:v>
      </x:c>
      <x:c r="F342" s="95" t="str">
        <x:v>实验执行</x:v>
      </x:c>
      <x:c r="G342" s="95" t="str">
        <x:v>B EIS计量、质控与分析</x:v>
      </x:c>
      <x:c r="H342" s="95" t="str">
        <x:v>透射电镜</x:v>
      </x:c>
      <x:c r="I342" s="95" t="str">
        <x:v>保证EIS、温度、水分、尺寸与时间链的计量可信度。</x:v>
      </x:c>
      <x:c r="J342" s="95" t="str">
        <x:v>接入EIS有效性检查、温湿/热史状态、测量不确定度传播和模型比较。</x:v>
      </x:c>
      <x:c r="K342" s="95" t="str">
        <x:v>可直接支撑当前EIS-only闭环。</x:v>
      </x:c>
      <x:c r="L342" s="95" t="str">
        <x:v>M3 研究储备</x:v>
      </x:c>
      <x:c r="M342" s="95" t="str">
        <x:v>条件具备后</x:v>
      </x:c>
      <x:c r="N342" s="95" t="str">
        <x:v>P1</x:v>
      </x:c>
      <x:c r="O342" s="95" t="str">
        <x:v>https://www.nature.com/articles/s41467-024-45569-5</x:v>
      </x:c>
      <x:c r="P342" s="96" t="str">
        <x:v>待评审</x:v>
      </x:c>
    </x:row>
    <x:row r="343">
      <x:c r="A343" s="94" t="str">
        <x:v>T0339</x:v>
      </x:c>
      <x:c r="B343" s="95" t="str">
        <x:v>实验执行与具身自动化</x:v>
      </x:c>
      <x:c r="C343" s="95" t="str">
        <x:v>在线检测、分析仪器与计量</x:v>
      </x:c>
      <x:c r="D343" s="95" t="str">
        <x:v>当前低优先</x:v>
      </x:c>
      <x:c r="E343" s="100" t="n">
        <x:v>2</x:v>
      </x:c>
      <x:c r="F343" s="95" t="str">
        <x:v>实验执行</x:v>
      </x:c>
      <x:c r="G343" s="95" t="str">
        <x:v>B EIS计量、质控与分析</x:v>
      </x:c>
      <x:c r="H343" s="95" t="str">
        <x:v>原子力显微镜</x:v>
      </x:c>
      <x:c r="I343" s="95" t="str">
        <x:v>保证EIS、温度、水分、尺寸与时间链的计量可信度。</x:v>
      </x:c>
      <x:c r="J343" s="95" t="str">
        <x:v>接入EIS有效性检查、温湿/热史状态、测量不确定度传播和模型比较。</x:v>
      </x:c>
      <x:c r="K343" s="95" t="str">
        <x:v>可直接支撑当前EIS-only闭环。</x:v>
      </x:c>
      <x:c r="L343" s="95" t="str">
        <x:v>暂缓</x:v>
      </x:c>
      <x:c r="M343" s="95" t="str">
        <x:v>当前不投入</x:v>
      </x:c>
      <x:c r="N343" s="95" t="str">
        <x:v>P1</x:v>
      </x:c>
      <x:c r="O343" s="95" t="str">
        <x:v>https://www.nature.com/articles/s41586-023-06734-w</x:v>
      </x:c>
      <x:c r="P343" s="96" t="str">
        <x:v>待评审</x:v>
      </x:c>
    </x:row>
    <x:row r="344">
      <x:c r="A344" s="94" t="str">
        <x:v>T0340</x:v>
      </x:c>
      <x:c r="B344" s="95" t="str">
        <x:v>实验执行与具身自动化</x:v>
      </x:c>
      <x:c r="C344" s="95" t="str">
        <x:v>在线检测、分析仪器与计量</x:v>
      </x:c>
      <x:c r="D344" s="95" t="str">
        <x:v>研究储备</x:v>
      </x:c>
      <x:c r="E344" s="100" t="n">
        <x:v>5</x:v>
      </x:c>
      <x:c r="F344" s="95" t="str">
        <x:v>实验执行</x:v>
      </x:c>
      <x:c r="G344" s="95" t="str">
        <x:v>B EIS计量、质控与分析</x:v>
      </x:c>
      <x:c r="H344" s="95" t="str">
        <x:v>光学显微镜</x:v>
      </x:c>
      <x:c r="I344" s="95" t="str">
        <x:v>保证EIS、温度、水分、尺寸与时间链的计量可信度。</x:v>
      </x:c>
      <x:c r="J344" s="95" t="str">
        <x:v>接入EIS有效性检查、温湿/热史状态、测量不确定度传播和模型比较。</x:v>
      </x:c>
      <x:c r="K344" s="95" t="str">
        <x:v>可直接支撑当前EIS-only闭环。</x:v>
      </x:c>
      <x:c r="L344" s="95" t="str">
        <x:v>M3 研究储备</x:v>
      </x:c>
      <x:c r="M344" s="95" t="str">
        <x:v>条件具备后</x:v>
      </x:c>
      <x:c r="N344" s="95" t="str">
        <x:v>P1</x:v>
      </x:c>
      <x:c r="O344" s="95" t="str">
        <x:v>https://www.nature.com/articles/s41467-024-47210-x</x:v>
      </x:c>
      <x:c r="P344" s="96" t="str">
        <x:v>待评审</x:v>
      </x:c>
    </x:row>
    <x:row r="345">
      <x:c r="A345" s="94" t="str">
        <x:v>T0341</x:v>
      </x:c>
      <x:c r="B345" s="95" t="str">
        <x:v>实验执行与具身自动化</x:v>
      </x:c>
      <x:c r="C345" s="95" t="str">
        <x:v>在线检测、分析仪器与计量</x:v>
      </x:c>
      <x:c r="D345" s="95" t="str">
        <x:v>研究储备</x:v>
      </x:c>
      <x:c r="E345" s="100" t="n">
        <x:v>5</x:v>
      </x:c>
      <x:c r="F345" s="95" t="str">
        <x:v>实验执行</x:v>
      </x:c>
      <x:c r="G345" s="95" t="str">
        <x:v>B EIS计量、质控与分析</x:v>
      </x:c>
      <x:c r="H345" s="95" t="str">
        <x:v>高光谱成像</x:v>
      </x:c>
      <x:c r="I345" s="95" t="str">
        <x:v>保证EIS、温度、水分、尺寸与时间链的计量可信度。</x:v>
      </x:c>
      <x:c r="J345" s="95" t="str">
        <x:v>接入EIS有效性检查、温湿/热史状态、测量不确定度传播和模型比较。</x:v>
      </x:c>
      <x:c r="K345" s="95" t="str">
        <x:v>可直接支撑当前EIS-only闭环。</x:v>
      </x:c>
      <x:c r="L345" s="95" t="str">
        <x:v>M3 研究储备</x:v>
      </x:c>
      <x:c r="M345" s="95" t="str">
        <x:v>条件具备后</x:v>
      </x:c>
      <x:c r="N345" s="95" t="str">
        <x:v>P1</x:v>
      </x:c>
      <x:c r="O345" s="95" t="str">
        <x:v>https://pubs.acs.org/doi/10.1021/acs.chemrev.4c00055</x:v>
      </x:c>
      <x:c r="P345" s="96" t="str">
        <x:v>待评审</x:v>
      </x:c>
    </x:row>
    <x:row r="346">
      <x:c r="A346" s="94" t="str">
        <x:v>T0342</x:v>
      </x:c>
      <x:c r="B346" s="95" t="str">
        <x:v>实验执行与具身自动化</x:v>
      </x:c>
      <x:c r="C346" s="95" t="str">
        <x:v>在线检测、分析仪器与计量</x:v>
      </x:c>
      <x:c r="D346" s="95" t="str">
        <x:v>研究储备</x:v>
      </x:c>
      <x:c r="E346" s="100" t="n">
        <x:v>5</x:v>
      </x:c>
      <x:c r="F346" s="95" t="str">
        <x:v>实验执行</x:v>
      </x:c>
      <x:c r="G346" s="95" t="str">
        <x:v>B EIS计量、质控与分析</x:v>
      </x:c>
      <x:c r="H346" s="95" t="str">
        <x:v>红外热像</x:v>
      </x:c>
      <x:c r="I346" s="95" t="str">
        <x:v>保证EIS、温度、水分、尺寸与时间链的计量可信度。</x:v>
      </x:c>
      <x:c r="J346" s="95" t="str">
        <x:v>接入EIS有效性检查、温湿/热史状态、测量不确定度传播和模型比较。</x:v>
      </x:c>
      <x:c r="K346" s="95" t="str">
        <x:v>可直接支撑当前EIS-only闭环。</x:v>
      </x:c>
      <x:c r="L346" s="95" t="str">
        <x:v>M3 研究储备</x:v>
      </x:c>
      <x:c r="M346" s="95" t="str">
        <x:v>条件具备后</x:v>
      </x:c>
      <x:c r="N346" s="95" t="str">
        <x:v>P1</x:v>
      </x:c>
      <x:c r="O346" s="95" t="str">
        <x:v>https://www.nature.com/articles/s41467-024-45569-5</x:v>
      </x:c>
      <x:c r="P346" s="96" t="str">
        <x:v>待评审</x:v>
      </x:c>
    </x:row>
    <x:row r="347">
      <x:c r="A347" s="94" t="str">
        <x:v>T0343</x:v>
      </x:c>
      <x:c r="B347" s="95" t="str">
        <x:v>实验执行与具身自动化</x:v>
      </x:c>
      <x:c r="C347" s="95" t="str">
        <x:v>在线检测、分析仪器与计量</x:v>
      </x:c>
      <x:c r="D347" s="95" t="str">
        <x:v>核心必需</x:v>
      </x:c>
      <x:c r="E347" s="100" t="n">
        <x:v>12</x:v>
      </x:c>
      <x:c r="F347" s="95" t="str">
        <x:v>实验执行</x:v>
      </x:c>
      <x:c r="G347" s="95" t="str">
        <x:v>B EIS计量、质控与分析</x:v>
      </x:c>
      <x:c r="H347" s="95" t="str">
        <x:v>电化学工作站</x:v>
      </x:c>
      <x:c r="I347" s="95" t="str">
        <x:v>保证EIS、温度、水分、尺寸与时间链的计量可信度。</x:v>
      </x:c>
      <x:c r="J347" s="95" t="str">
        <x:v>接入EIS有效性检查、温湿/热史状态、测量不确定度传播和模型比较。</x:v>
      </x:c>
      <x:c r="K347" s="95" t="str">
        <x:v>可直接支撑当前EIS-only闭环。</x:v>
      </x:c>
      <x:c r="L347" s="95" t="str">
        <x:v>M0 主流程接入（0–2月）</x:v>
      </x:c>
      <x:c r="M347" s="95" t="str">
        <x:v>首批接入</x:v>
      </x:c>
      <x:c r="N347" s="95" t="str">
        <x:v>P1</x:v>
      </x:c>
      <x:c r="O347" s="95" t="str">
        <x:v>https://www.nature.com/articles/s41586-023-06734-w</x:v>
      </x:c>
      <x:c r="P347" s="96" t="str">
        <x:v>待评审</x:v>
      </x:c>
    </x:row>
    <x:row r="348">
      <x:c r="A348" s="94" t="str">
        <x:v>T0344</x:v>
      </x:c>
      <x:c r="B348" s="95" t="str">
        <x:v>实验执行与具身自动化</x:v>
      </x:c>
      <x:c r="C348" s="95" t="str">
        <x:v>在线检测、分析仪器与计量</x:v>
      </x:c>
      <x:c r="D348" s="95" t="str">
        <x:v>研究储备</x:v>
      </x:c>
      <x:c r="E348" s="100" t="n">
        <x:v>5</x:v>
      </x:c>
      <x:c r="F348" s="95" t="str">
        <x:v>实验执行</x:v>
      </x:c>
      <x:c r="G348" s="95" t="str">
        <x:v>B EIS计量、质控与分析</x:v>
      </x:c>
      <x:c r="H348" s="95" t="str">
        <x:v>流变仪</x:v>
      </x:c>
      <x:c r="I348" s="95" t="str">
        <x:v>保证EIS、温度、水分、尺寸与时间链的计量可信度。</x:v>
      </x:c>
      <x:c r="J348" s="95" t="str">
        <x:v>接入EIS有效性检查、温湿/热史状态、测量不确定度传播和模型比较。</x:v>
      </x:c>
      <x:c r="K348" s="95" t="str">
        <x:v>可直接支撑当前EIS-only闭环。</x:v>
      </x:c>
      <x:c r="L348" s="95" t="str">
        <x:v>M3 研究储备</x:v>
      </x:c>
      <x:c r="M348" s="95" t="str">
        <x:v>条件具备后</x:v>
      </x:c>
      <x:c r="N348" s="95" t="str">
        <x:v>P1</x:v>
      </x:c>
      <x:c r="O348" s="95" t="str">
        <x:v>https://www.nature.com/articles/s41467-024-47210-x</x:v>
      </x:c>
      <x:c r="P348" s="96" t="str">
        <x:v>待评审</x:v>
      </x:c>
    </x:row>
    <x:row r="349">
      <x:c r="A349" s="94" t="str">
        <x:v>T0345</x:v>
      </x:c>
      <x:c r="B349" s="95" t="str">
        <x:v>实验执行与具身自动化</x:v>
      </x:c>
      <x:c r="C349" s="95" t="str">
        <x:v>在线检测、分析仪器与计量</x:v>
      </x:c>
      <x:c r="D349" s="95" t="str">
        <x:v>研究储备</x:v>
      </x:c>
      <x:c r="E349" s="100" t="n">
        <x:v>5</x:v>
      </x:c>
      <x:c r="F349" s="95" t="str">
        <x:v>实验执行</x:v>
      </x:c>
      <x:c r="G349" s="95" t="str">
        <x:v>B EIS计量、质控与分析</x:v>
      </x:c>
      <x:c r="H349" s="95" t="str">
        <x:v>粒度仪</x:v>
      </x:c>
      <x:c r="I349" s="95" t="str">
        <x:v>保证EIS、温度、水分、尺寸与时间链的计量可信度。</x:v>
      </x:c>
      <x:c r="J349" s="95" t="str">
        <x:v>接入EIS有效性检查、温湿/热史状态、测量不确定度传播和模型比较。</x:v>
      </x:c>
      <x:c r="K349" s="95" t="str">
        <x:v>可直接支撑当前EIS-only闭环。</x:v>
      </x:c>
      <x:c r="L349" s="95" t="str">
        <x:v>M3 研究储备</x:v>
      </x:c>
      <x:c r="M349" s="95" t="str">
        <x:v>条件具备后</x:v>
      </x:c>
      <x:c r="N349" s="95" t="str">
        <x:v>P1</x:v>
      </x:c>
      <x:c r="O349" s="95" t="str">
        <x:v>https://pubs.acs.org/doi/10.1021/acs.chemrev.4c00055</x:v>
      </x:c>
      <x:c r="P349" s="96" t="str">
        <x:v>待评审</x:v>
      </x:c>
    </x:row>
    <x:row r="350">
      <x:c r="A350" s="94" t="str">
        <x:v>T0346</x:v>
      </x:c>
      <x:c r="B350" s="95" t="str">
        <x:v>实验执行与具身自动化</x:v>
      </x:c>
      <x:c r="C350" s="95" t="str">
        <x:v>在线检测、分析仪器与计量</x:v>
      </x:c>
      <x:c r="D350" s="95" t="str">
        <x:v>研究储备</x:v>
      </x:c>
      <x:c r="E350" s="100" t="n">
        <x:v>5</x:v>
      </x:c>
      <x:c r="F350" s="95" t="str">
        <x:v>实验执行</x:v>
      </x:c>
      <x:c r="G350" s="95" t="str">
        <x:v>B EIS计量、质控与分析</x:v>
      </x:c>
      <x:c r="H350" s="95" t="str">
        <x:v>动态光散射</x:v>
      </x:c>
      <x:c r="I350" s="95" t="str">
        <x:v>保证EIS、温度、水分、尺寸与时间链的计量可信度。</x:v>
      </x:c>
      <x:c r="J350" s="95" t="str">
        <x:v>接入EIS有效性检查、温湿/热史状态、测量不确定度传播和模型比较。</x:v>
      </x:c>
      <x:c r="K350" s="95" t="str">
        <x:v>可直接支撑当前EIS-only闭环。</x:v>
      </x:c>
      <x:c r="L350" s="95" t="str">
        <x:v>M3 研究储备</x:v>
      </x:c>
      <x:c r="M350" s="95" t="str">
        <x:v>条件具备后</x:v>
      </x:c>
      <x:c r="N350" s="95" t="str">
        <x:v>P1</x:v>
      </x:c>
      <x:c r="O350" s="95" t="str">
        <x:v>https://www.nature.com/articles/s41467-024-45569-5</x:v>
      </x:c>
      <x:c r="P350" s="96" t="str">
        <x:v>待评审</x:v>
      </x:c>
    </x:row>
    <x:row r="351">
      <x:c r="A351" s="94" t="str">
        <x:v>T0347</x:v>
      </x:c>
      <x:c r="B351" s="95" t="str">
        <x:v>实验执行与具身自动化</x:v>
      </x:c>
      <x:c r="C351" s="95" t="str">
        <x:v>在线检测、分析仪器与计量</x:v>
      </x:c>
      <x:c r="D351" s="95" t="str">
        <x:v>研究储备</x:v>
      </x:c>
      <x:c r="E351" s="100" t="n">
        <x:v>5</x:v>
      </x:c>
      <x:c r="F351" s="95" t="str">
        <x:v>实验执行</x:v>
      </x:c>
      <x:c r="G351" s="95" t="str">
        <x:v>B EIS计量、质控与分析</x:v>
      </x:c>
      <x:c r="H351" s="95" t="str">
        <x:v>Zeta电位</x:v>
      </x:c>
      <x:c r="I351" s="95" t="str">
        <x:v>保证EIS、温度、水分、尺寸与时间链的计量可信度。</x:v>
      </x:c>
      <x:c r="J351" s="95" t="str">
        <x:v>接入EIS有效性检查、温湿/热史状态、测量不确定度传播和模型比较。</x:v>
      </x:c>
      <x:c r="K351" s="95" t="str">
        <x:v>可直接支撑当前EIS-only闭环。</x:v>
      </x:c>
      <x:c r="L351" s="95" t="str">
        <x:v>M3 研究储备</x:v>
      </x:c>
      <x:c r="M351" s="95" t="str">
        <x:v>条件具备后</x:v>
      </x:c>
      <x:c r="N351" s="95" t="str">
        <x:v>P1</x:v>
      </x:c>
      <x:c r="O351" s="95" t="str">
        <x:v>https://www.nature.com/articles/s41586-023-06734-w</x:v>
      </x:c>
      <x:c r="P351" s="96" t="str">
        <x:v>待评审</x:v>
      </x:c>
    </x:row>
    <x:row r="352">
      <x:c r="A352" s="94" t="str">
        <x:v>T0348</x:v>
      </x:c>
      <x:c r="B352" s="95" t="str">
        <x:v>实验执行与具身自动化</x:v>
      </x:c>
      <x:c r="C352" s="95" t="str">
        <x:v>在线检测、分析仪器与计量</x:v>
      </x:c>
      <x:c r="D352" s="95" t="str">
        <x:v>研究储备</x:v>
      </x:c>
      <x:c r="E352" s="100" t="n">
        <x:v>5</x:v>
      </x:c>
      <x:c r="F352" s="95" t="str">
        <x:v>实验执行</x:v>
      </x:c>
      <x:c r="G352" s="95" t="str">
        <x:v>B EIS计量、质控与分析</x:v>
      </x:c>
      <x:c r="H352" s="95" t="str">
        <x:v>pH传感</x:v>
      </x:c>
      <x:c r="I352" s="95" t="str">
        <x:v>保证EIS、温度、水分、尺寸与时间链的计量可信度。</x:v>
      </x:c>
      <x:c r="J352" s="95" t="str">
        <x:v>接入EIS有效性检查、温湿/热史状态、测量不确定度传播和模型比较。</x:v>
      </x:c>
      <x:c r="K352" s="95" t="str">
        <x:v>可直接支撑当前EIS-only闭环。</x:v>
      </x:c>
      <x:c r="L352" s="95" t="str">
        <x:v>M3 研究储备</x:v>
      </x:c>
      <x:c r="M352" s="95" t="str">
        <x:v>条件具备后</x:v>
      </x:c>
      <x:c r="N352" s="95" t="str">
        <x:v>P1</x:v>
      </x:c>
      <x:c r="O352" s="95" t="str">
        <x:v>https://www.nature.com/articles/s41467-024-47210-x</x:v>
      </x:c>
      <x:c r="P352" s="96" t="str">
        <x:v>待评审</x:v>
      </x:c>
    </x:row>
    <x:row r="353">
      <x:c r="A353" s="94" t="str">
        <x:v>T0349</x:v>
      </x:c>
      <x:c r="B353" s="95" t="str">
        <x:v>实验执行与具身自动化</x:v>
      </x:c>
      <x:c r="C353" s="95" t="str">
        <x:v>在线检测、分析仪器与计量</x:v>
      </x:c>
      <x:c r="D353" s="95" t="str">
        <x:v>关键支撑</x:v>
      </x:c>
      <x:c r="E353" s="100" t="n">
        <x:v>8</x:v>
      </x:c>
      <x:c r="F353" s="95" t="str">
        <x:v>实验执行</x:v>
      </x:c>
      <x:c r="G353" s="95" t="str">
        <x:v>B EIS计量、质控与分析</x:v>
      </x:c>
      <x:c r="H353" s="95" t="str">
        <x:v>电导率</x:v>
      </x:c>
      <x:c r="I353" s="95" t="str">
        <x:v>保证EIS、温度、水分、尺寸与时间链的计量可信度。</x:v>
      </x:c>
      <x:c r="J353" s="95" t="str">
        <x:v>接入EIS有效性检查、温湿/热史状态、测量不确定度传播和模型比较。</x:v>
      </x:c>
      <x:c r="K353" s="95" t="str">
        <x:v>可直接支撑当前EIS-only闭环。</x:v>
      </x:c>
      <x:c r="L353" s="95" t="str">
        <x:v>M2 扩展与复现（5–12月）</x:v>
      </x:c>
      <x:c r="M353" s="95" t="str">
        <x:v>按瓶颈接入</x:v>
      </x:c>
      <x:c r="N353" s="95" t="str">
        <x:v>P2</x:v>
      </x:c>
      <x:c r="O353" s="95" t="str">
        <x:v>https://pubs.acs.org/doi/10.1021/acs.chemrev.4c00055</x:v>
      </x:c>
      <x:c r="P353" s="96" t="str">
        <x:v>待评审</x:v>
      </x:c>
    </x:row>
    <x:row r="354">
      <x:c r="A354" s="94" t="str">
        <x:v>T0350</x:v>
      </x:c>
      <x:c r="B354" s="95" t="str">
        <x:v>实验执行与具身自动化</x:v>
      </x:c>
      <x:c r="C354" s="95" t="str">
        <x:v>在线检测、分析仪器与计量</x:v>
      </x:c>
      <x:c r="D354" s="95" t="str">
        <x:v>研究储备</x:v>
      </x:c>
      <x:c r="E354" s="100" t="n">
        <x:v>5</x:v>
      </x:c>
      <x:c r="F354" s="95" t="str">
        <x:v>实验执行</x:v>
      </x:c>
      <x:c r="G354" s="95" t="str">
        <x:v>B EIS计量、质控与分析</x:v>
      </x:c>
      <x:c r="H354" s="95" t="str">
        <x:v>溶解氧</x:v>
      </x:c>
      <x:c r="I354" s="95" t="str">
        <x:v>保证EIS、温度、水分、尺寸与时间链的计量可信度。</x:v>
      </x:c>
      <x:c r="J354" s="95" t="str">
        <x:v>接入EIS有效性检查、温湿/热史状态、测量不确定度传播和模型比较。</x:v>
      </x:c>
      <x:c r="K354" s="95" t="str">
        <x:v>可直接支撑当前EIS-only闭环。</x:v>
      </x:c>
      <x:c r="L354" s="95" t="str">
        <x:v>M3 研究储备</x:v>
      </x:c>
      <x:c r="M354" s="95" t="str">
        <x:v>条件具备后</x:v>
      </x:c>
      <x:c r="N354" s="95" t="str">
        <x:v>P2</x:v>
      </x:c>
      <x:c r="O354" s="95" t="str">
        <x:v>https://www.nature.com/articles/s41467-024-45569-5</x:v>
      </x:c>
      <x:c r="P354" s="96" t="str">
        <x:v>待评审</x:v>
      </x:c>
    </x:row>
    <x:row r="355">
      <x:c r="A355" s="94" t="str">
        <x:v>T0351</x:v>
      </x:c>
      <x:c r="B355" s="95" t="str">
        <x:v>实验执行与具身自动化</x:v>
      </x:c>
      <x:c r="C355" s="95" t="str">
        <x:v>在线检测、分析仪器与计量</x:v>
      </x:c>
      <x:c r="D355" s="95" t="str">
        <x:v>核心必需</x:v>
      </x:c>
      <x:c r="E355" s="100" t="n">
        <x:v>12</x:v>
      </x:c>
      <x:c r="F355" s="95" t="str">
        <x:v>实验执行</x:v>
      </x:c>
      <x:c r="G355" s="95" t="str">
        <x:v>B EIS计量、质控与分析</x:v>
      </x:c>
      <x:c r="H355" s="95" t="str">
        <x:v>水分测定</x:v>
      </x:c>
      <x:c r="I355" s="95" t="str">
        <x:v>保证EIS、温度、水分、尺寸与时间链的计量可信度。</x:v>
      </x:c>
      <x:c r="J355" s="95" t="str">
        <x:v>接入EIS有效性检查、温湿/热史状态、测量不确定度传播和模型比较。</x:v>
      </x:c>
      <x:c r="K355" s="95" t="str">
        <x:v>可直接支撑当前EIS-only闭环。</x:v>
      </x:c>
      <x:c r="L355" s="95" t="str">
        <x:v>M0 主流程接入（0–2月）</x:v>
      </x:c>
      <x:c r="M355" s="95" t="str">
        <x:v>首批接入</x:v>
      </x:c>
      <x:c r="N355" s="95" t="str">
        <x:v>P2</x:v>
      </x:c>
      <x:c r="O355" s="95" t="str">
        <x:v>https://www.nature.com/articles/s41586-023-06734-w</x:v>
      </x:c>
      <x:c r="P355" s="96" t="str">
        <x:v>待评审</x:v>
      </x:c>
    </x:row>
    <x:row r="356">
      <x:c r="A356" s="94" t="str">
        <x:v>T0352</x:v>
      </x:c>
      <x:c r="B356" s="95" t="str">
        <x:v>实验执行与具身自动化</x:v>
      </x:c>
      <x:c r="C356" s="95" t="str">
        <x:v>在线检测、分析仪器与计量</x:v>
      </x:c>
      <x:c r="D356" s="95" t="str">
        <x:v>研究储备</x:v>
      </x:c>
      <x:c r="E356" s="100" t="n">
        <x:v>5</x:v>
      </x:c>
      <x:c r="F356" s="95" t="str">
        <x:v>实验执行</x:v>
      </x:c>
      <x:c r="G356" s="95" t="str">
        <x:v>B EIS计量、质控与分析</x:v>
      </x:c>
      <x:c r="H356" s="95" t="str">
        <x:v>压力计量</x:v>
      </x:c>
      <x:c r="I356" s="95" t="str">
        <x:v>保证EIS、温度、水分、尺寸与时间链的计量可信度。</x:v>
      </x:c>
      <x:c r="J356" s="95" t="str">
        <x:v>接入EIS有效性检查、温湿/热史状态、测量不确定度传播和模型比较。</x:v>
      </x:c>
      <x:c r="K356" s="95" t="str">
        <x:v>可直接支撑当前EIS-only闭环。</x:v>
      </x:c>
      <x:c r="L356" s="95" t="str">
        <x:v>M3 研究储备</x:v>
      </x:c>
      <x:c r="M356" s="95" t="str">
        <x:v>条件具备后</x:v>
      </x:c>
      <x:c r="N356" s="95" t="str">
        <x:v>P2</x:v>
      </x:c>
      <x:c r="O356" s="95" t="str">
        <x:v>https://www.nature.com/articles/s41467-024-47210-x</x:v>
      </x:c>
      <x:c r="P356" s="96" t="str">
        <x:v>待评审</x:v>
      </x:c>
    </x:row>
    <x:row r="357">
      <x:c r="A357" s="94" t="str">
        <x:v>T0353</x:v>
      </x:c>
      <x:c r="B357" s="95" t="str">
        <x:v>实验执行与具身自动化</x:v>
      </x:c>
      <x:c r="C357" s="95" t="str">
        <x:v>在线检测、分析仪器与计量</x:v>
      </x:c>
      <x:c r="D357" s="95" t="str">
        <x:v>核心必需</x:v>
      </x:c>
      <x:c r="E357" s="100" t="n">
        <x:v>12</x:v>
      </x:c>
      <x:c r="F357" s="95" t="str">
        <x:v>实验执行</x:v>
      </x:c>
      <x:c r="G357" s="95" t="str">
        <x:v>B EIS计量、质控与分析</x:v>
      </x:c>
      <x:c r="H357" s="95" t="str">
        <x:v>温度计量</x:v>
      </x:c>
      <x:c r="I357" s="95" t="str">
        <x:v>保证EIS、温度、水分、尺寸与时间链的计量可信度。</x:v>
      </x:c>
      <x:c r="J357" s="95" t="str">
        <x:v>接入EIS有效性检查、温湿/热史状态、测量不确定度传播和模型比较。</x:v>
      </x:c>
      <x:c r="K357" s="95" t="str">
        <x:v>可直接支撑当前EIS-only闭环。</x:v>
      </x:c>
      <x:c r="L357" s="95" t="str">
        <x:v>M0 主流程接入（0–2月）</x:v>
      </x:c>
      <x:c r="M357" s="95" t="str">
        <x:v>首批接入</x:v>
      </x:c>
      <x:c r="N357" s="95" t="str">
        <x:v>P2</x:v>
      </x:c>
      <x:c r="O357" s="95" t="str">
        <x:v>https://pubs.acs.org/doi/10.1021/acs.chemrev.4c00055</x:v>
      </x:c>
      <x:c r="P357" s="96" t="str">
        <x:v>待评审</x:v>
      </x:c>
    </x:row>
    <x:row r="358">
      <x:c r="A358" s="94" t="str">
        <x:v>T0354</x:v>
      </x:c>
      <x:c r="B358" s="95" t="str">
        <x:v>实验执行与具身自动化</x:v>
      </x:c>
      <x:c r="C358" s="95" t="str">
        <x:v>在线检测、分析仪器与计量</x:v>
      </x:c>
      <x:c r="D358" s="95" t="str">
        <x:v>关键支撑</x:v>
      </x:c>
      <x:c r="E358" s="100" t="n">
        <x:v>8</x:v>
      </x:c>
      <x:c r="F358" s="95" t="str">
        <x:v>实验执行</x:v>
      </x:c>
      <x:c r="G358" s="95" t="str">
        <x:v>B EIS计量、质控与分析</x:v>
      </x:c>
      <x:c r="H358" s="95" t="str">
        <x:v>质量计量</x:v>
      </x:c>
      <x:c r="I358" s="95" t="str">
        <x:v>保证EIS、温度、水分、尺寸与时间链的计量可信度。</x:v>
      </x:c>
      <x:c r="J358" s="95" t="str">
        <x:v>接入EIS有效性检查、温湿/热史状态、测量不确定度传播和模型比较。</x:v>
      </x:c>
      <x:c r="K358" s="95" t="str">
        <x:v>可直接支撑当前EIS-only闭环。</x:v>
      </x:c>
      <x:c r="L358" s="95" t="str">
        <x:v>M2 扩展与复现（5–12月）</x:v>
      </x:c>
      <x:c r="M358" s="95" t="str">
        <x:v>按瓶颈接入</x:v>
      </x:c>
      <x:c r="N358" s="95" t="str">
        <x:v>P2</x:v>
      </x:c>
      <x:c r="O358" s="95" t="str">
        <x:v>https://www.nature.com/articles/s41467-024-45569-5</x:v>
      </x:c>
      <x:c r="P358" s="96" t="str">
        <x:v>待评审</x:v>
      </x:c>
    </x:row>
    <x:row r="359">
      <x:c r="A359" s="94" t="str">
        <x:v>T0355</x:v>
      </x:c>
      <x:c r="B359" s="95" t="str">
        <x:v>实验执行与具身自动化</x:v>
      </x:c>
      <x:c r="C359" s="95" t="str">
        <x:v>在线检测、分析仪器与计量</x:v>
      </x:c>
      <x:c r="D359" s="95" t="str">
        <x:v>研究储备</x:v>
      </x:c>
      <x:c r="E359" s="100" t="n">
        <x:v>5</x:v>
      </x:c>
      <x:c r="F359" s="95" t="str">
        <x:v>实验执行</x:v>
      </x:c>
      <x:c r="G359" s="95" t="str">
        <x:v>B EIS计量、质控与分析</x:v>
      </x:c>
      <x:c r="H359" s="95" t="str">
        <x:v>流量计量</x:v>
      </x:c>
      <x:c r="I359" s="95" t="str">
        <x:v>保证EIS、温度、水分、尺寸与时间链的计量可信度。</x:v>
      </x:c>
      <x:c r="J359" s="95" t="str">
        <x:v>接入EIS有效性检查、温湿/热史状态、测量不确定度传播和模型比较。</x:v>
      </x:c>
      <x:c r="K359" s="95" t="str">
        <x:v>可直接支撑当前EIS-only闭环。</x:v>
      </x:c>
      <x:c r="L359" s="95" t="str">
        <x:v>M3 研究储备</x:v>
      </x:c>
      <x:c r="M359" s="95" t="str">
        <x:v>条件具备后</x:v>
      </x:c>
      <x:c r="N359" s="95" t="str">
        <x:v>P2</x:v>
      </x:c>
      <x:c r="O359" s="95" t="str">
        <x:v>https://www.nature.com/articles/s41586-023-06734-w</x:v>
      </x:c>
      <x:c r="P359" s="96" t="str">
        <x:v>待评审</x:v>
      </x:c>
    </x:row>
    <x:row r="360">
      <x:c r="A360" s="94" t="str">
        <x:v>T0356</x:v>
      </x:c>
      <x:c r="B360" s="95" t="str">
        <x:v>实验执行与具身自动化</x:v>
      </x:c>
      <x:c r="C360" s="95" t="str">
        <x:v>在线检测、分析仪器与计量</x:v>
      </x:c>
      <x:c r="D360" s="95" t="str">
        <x:v>研究储备</x:v>
      </x:c>
      <x:c r="E360" s="100" t="n">
        <x:v>5</x:v>
      </x:c>
      <x:c r="F360" s="95" t="str">
        <x:v>实验执行</x:v>
      </x:c>
      <x:c r="G360" s="95" t="str">
        <x:v>B EIS计量、质控与分析</x:v>
      </x:c>
      <x:c r="H360" s="95" t="str">
        <x:v>扭矩传感</x:v>
      </x:c>
      <x:c r="I360" s="95" t="str">
        <x:v>保证EIS、温度、水分、尺寸与时间链的计量可信度。</x:v>
      </x:c>
      <x:c r="J360" s="95" t="str">
        <x:v>接入EIS有效性检查、温湿/热史状态、测量不确定度传播和模型比较。</x:v>
      </x:c>
      <x:c r="K360" s="95" t="str">
        <x:v>可直接支撑当前EIS-only闭环。</x:v>
      </x:c>
      <x:c r="L360" s="95" t="str">
        <x:v>M3 研究储备</x:v>
      </x:c>
      <x:c r="M360" s="95" t="str">
        <x:v>条件具备后</x:v>
      </x:c>
      <x:c r="N360" s="95" t="str">
        <x:v>P2</x:v>
      </x:c>
      <x:c r="O360" s="95" t="str">
        <x:v>https://www.nature.com/articles/s41467-024-47210-x</x:v>
      </x:c>
      <x:c r="P360" s="96" t="str">
        <x:v>待评审</x:v>
      </x:c>
    </x:row>
    <x:row r="361">
      <x:c r="A361" s="94" t="str">
        <x:v>T0357</x:v>
      </x:c>
      <x:c r="B361" s="95" t="str">
        <x:v>实验执行与具身自动化</x:v>
      </x:c>
      <x:c r="C361" s="95" t="str">
        <x:v>在线检测、分析仪器与计量</x:v>
      </x:c>
      <x:c r="D361" s="95" t="str">
        <x:v>研究储备</x:v>
      </x:c>
      <x:c r="E361" s="100" t="n">
        <x:v>5</x:v>
      </x:c>
      <x:c r="F361" s="95" t="str">
        <x:v>实验执行</x:v>
      </x:c>
      <x:c r="G361" s="95" t="str">
        <x:v>B EIS计量、质控与分析</x:v>
      </x:c>
      <x:c r="H361" s="95" t="str">
        <x:v>声发射</x:v>
      </x:c>
      <x:c r="I361" s="95" t="str">
        <x:v>保证EIS、温度、水分、尺寸与时间链的计量可信度。</x:v>
      </x:c>
      <x:c r="J361" s="95" t="str">
        <x:v>接入EIS有效性检查、温湿/热史状态、测量不确定度传播和模型比较。</x:v>
      </x:c>
      <x:c r="K361" s="95" t="str">
        <x:v>可直接支撑当前EIS-only闭环。</x:v>
      </x:c>
      <x:c r="L361" s="95" t="str">
        <x:v>M3 研究储备</x:v>
      </x:c>
      <x:c r="M361" s="95" t="str">
        <x:v>条件具备后</x:v>
      </x:c>
      <x:c r="N361" s="95" t="str">
        <x:v>P2</x:v>
      </x:c>
      <x:c r="O361" s="95" t="str">
        <x:v>https://pubs.acs.org/doi/10.1021/acs.chemrev.4c00055</x:v>
      </x:c>
      <x:c r="P361" s="96" t="str">
        <x:v>待评审</x:v>
      </x:c>
    </x:row>
    <x:row r="362">
      <x:c r="A362" s="94" t="str">
        <x:v>T0358</x:v>
      </x:c>
      <x:c r="B362" s="95" t="str">
        <x:v>实验执行与具身自动化</x:v>
      </x:c>
      <x:c r="C362" s="95" t="str">
        <x:v>在线检测、分析仪器与计量</x:v>
      </x:c>
      <x:c r="D362" s="95" t="str">
        <x:v>研究储备</x:v>
      </x:c>
      <x:c r="E362" s="100" t="n">
        <x:v>5</x:v>
      </x:c>
      <x:c r="F362" s="95" t="str">
        <x:v>实验执行</x:v>
      </x:c>
      <x:c r="G362" s="95" t="str">
        <x:v>B EIS计量、质控与分析</x:v>
      </x:c>
      <x:c r="H362" s="95" t="str">
        <x:v>气体传感器</x:v>
      </x:c>
      <x:c r="I362" s="95" t="str">
        <x:v>保证EIS、温度、水分、尺寸与时间链的计量可信度。</x:v>
      </x:c>
      <x:c r="J362" s="95" t="str">
        <x:v>接入EIS有效性检查、温湿/热史状态、测量不确定度传播和模型比较。</x:v>
      </x:c>
      <x:c r="K362" s="95" t="str">
        <x:v>可直接支撑当前EIS-only闭环。</x:v>
      </x:c>
      <x:c r="L362" s="95" t="str">
        <x:v>M3 研究储备</x:v>
      </x:c>
      <x:c r="M362" s="95" t="str">
        <x:v>条件具备后</x:v>
      </x:c>
      <x:c r="N362" s="95" t="str">
        <x:v>P2</x:v>
      </x:c>
      <x:c r="O362" s="95" t="str">
        <x:v>https://www.nature.com/articles/s41467-024-45569-5</x:v>
      </x:c>
      <x:c r="P362" s="96" t="str">
        <x:v>待评审</x:v>
      </x:c>
    </x:row>
    <x:row r="363">
      <x:c r="A363" s="94" t="str">
        <x:v>T0359</x:v>
      </x:c>
      <x:c r="B363" s="95" t="str">
        <x:v>实验执行与具身自动化</x:v>
      </x:c>
      <x:c r="C363" s="95" t="str">
        <x:v>在线检测、分析仪器与计量</x:v>
      </x:c>
      <x:c r="D363" s="95" t="str">
        <x:v>研究储备</x:v>
      </x:c>
      <x:c r="E363" s="100" t="n">
        <x:v>5</x:v>
      </x:c>
      <x:c r="F363" s="95" t="str">
        <x:v>实验执行</x:v>
      </x:c>
      <x:c r="G363" s="95" t="str">
        <x:v>B EIS计量、质控与分析</x:v>
      </x:c>
      <x:c r="H363" s="95" t="str">
        <x:v>生物传感器</x:v>
      </x:c>
      <x:c r="I363" s="95" t="str">
        <x:v>保证EIS、温度、水分、尺寸与时间链的计量可信度。</x:v>
      </x:c>
      <x:c r="J363" s="95" t="str">
        <x:v>接入EIS有效性检查、温湿/热史状态、测量不确定度传播和模型比较。</x:v>
      </x:c>
      <x:c r="K363" s="95" t="str">
        <x:v>可直接支撑当前EIS-only闭环。</x:v>
      </x:c>
      <x:c r="L363" s="95" t="str">
        <x:v>M3 研究储备</x:v>
      </x:c>
      <x:c r="M363" s="95" t="str">
        <x:v>条件具备后</x:v>
      </x:c>
      <x:c r="N363" s="95" t="str">
        <x:v>P2</x:v>
      </x:c>
      <x:c r="O363" s="95" t="str">
        <x:v>https://www.nature.com/articles/s41586-023-06734-w</x:v>
      </x:c>
      <x:c r="P363" s="96" t="str">
        <x:v>待评审</x:v>
      </x:c>
    </x:row>
    <x:row r="364">
      <x:c r="A364" s="94" t="str">
        <x:v>T0360</x:v>
      </x:c>
      <x:c r="B364" s="95" t="str">
        <x:v>实验执行与具身自动化</x:v>
      </x:c>
      <x:c r="C364" s="95" t="str">
        <x:v>在线检测、分析仪器与计量</x:v>
      </x:c>
      <x:c r="D364" s="95" t="str">
        <x:v>核心必需</x:v>
      </x:c>
      <x:c r="E364" s="100" t="n">
        <x:v>12</x:v>
      </x:c>
      <x:c r="F364" s="95" t="str">
        <x:v>实验执行</x:v>
      </x:c>
      <x:c r="G364" s="95" t="str">
        <x:v>B EIS计量、质控与分析</x:v>
      </x:c>
      <x:c r="H364" s="95" t="str">
        <x:v>计量溯源</x:v>
      </x:c>
      <x:c r="I364" s="95" t="str">
        <x:v>保证EIS、温度、水分、尺寸与时间链的计量可信度。</x:v>
      </x:c>
      <x:c r="J364" s="95" t="str">
        <x:v>接入EIS有效性检查、温湿/热史状态、测量不确定度传播和模型比较。</x:v>
      </x:c>
      <x:c r="K364" s="95" t="str">
        <x:v>可直接支撑当前EIS-only闭环。</x:v>
      </x:c>
      <x:c r="L364" s="95" t="str">
        <x:v>M0 主流程接入（0–2月）</x:v>
      </x:c>
      <x:c r="M364" s="95" t="str">
        <x:v>首批接入</x:v>
      </x:c>
      <x:c r="N364" s="95" t="str">
        <x:v>P2</x:v>
      </x:c>
      <x:c r="O364" s="95" t="str">
        <x:v>https://www.nature.com/articles/s41467-024-47210-x</x:v>
      </x:c>
      <x:c r="P364" s="96" t="str">
        <x:v>待评审</x:v>
      </x:c>
    </x:row>
    <x:row r="365">
      <x:c r="A365" s="94" t="str">
        <x:v>T0361</x:v>
      </x:c>
      <x:c r="B365" s="95" t="str">
        <x:v>实验执行与具身自动化</x:v>
      </x:c>
      <x:c r="C365" s="95" t="str">
        <x:v>机器视觉、多模态感知与异常检测</x:v>
      </x:c>
      <x:c r="D365" s="95" t="str">
        <x:v>当前低优先</x:v>
      </x:c>
      <x:c r="E365" s="100" t="n">
        <x:v>2</x:v>
      </x:c>
      <x:c r="F365" s="95" t="str">
        <x:v>实验执行</x:v>
      </x:c>
      <x:c r="G365" s="95" t="str">
        <x:v>G 实验执行自动化</x:v>
      </x:c>
      <x:c r="H365" s="95" t="str">
        <x:v>相机几何标定</x:v>
      </x:c>
      <x:c r="I365" s="95" t="str">
        <x:v>识别膜破损、装夹异常、气泡/接触问题等可见失效。</x:v>
      </x:c>
      <x:c r="J365" s="95" t="str">
        <x:v>仅围绕制膜、装夹、调理和EIS操作的真实瓶颈逐步自动化。</x:v>
      </x:c>
      <x:c r="K365" s="95" t="str">
        <x:v>可直接支撑当前EIS-only闭环。</x:v>
      </x:c>
      <x:c r="L365" s="95" t="str">
        <x:v>暂缓</x:v>
      </x:c>
      <x:c r="M365" s="95" t="str">
        <x:v>当前不投入</x:v>
      </x:c>
      <x:c r="N365" s="95" t="str">
        <x:v>P0</x:v>
      </x:c>
      <x:c r="O365" s="95" t="str">
        <x:v>https://www.nature.com/articles/s41586-024-08173-7</x:v>
      </x:c>
      <x:c r="P365" s="96" t="str">
        <x:v>待评审</x:v>
      </x:c>
    </x:row>
    <x:row r="366">
      <x:c r="A366" s="94" t="str">
        <x:v>T0362</x:v>
      </x:c>
      <x:c r="B366" s="95" t="str">
        <x:v>实验执行与具身自动化</x:v>
      </x:c>
      <x:c r="C366" s="95" t="str">
        <x:v>机器视觉、多模态感知与异常检测</x:v>
      </x:c>
      <x:c r="D366" s="95" t="str">
        <x:v>当前低优先</x:v>
      </x:c>
      <x:c r="E366" s="100" t="n">
        <x:v>2</x:v>
      </x:c>
      <x:c r="F366" s="95" t="str">
        <x:v>实验执行</x:v>
      </x:c>
      <x:c r="G366" s="95" t="str">
        <x:v>G 实验执行自动化</x:v>
      </x:c>
      <x:c r="H366" s="95" t="str">
        <x:v>色彩标定</x:v>
      </x:c>
      <x:c r="I366" s="95" t="str">
        <x:v>识别膜破损、装夹异常、气泡/接触问题等可见失效。</x:v>
      </x:c>
      <x:c r="J366" s="95" t="str">
        <x:v>仅围绕制膜、装夹、调理和EIS操作的真实瓶颈逐步自动化。</x:v>
      </x:c>
      <x:c r="K366" s="95" t="str">
        <x:v>可直接支撑当前EIS-only闭环。</x:v>
      </x:c>
      <x:c r="L366" s="95" t="str">
        <x:v>暂缓</x:v>
      </x:c>
      <x:c r="M366" s="95" t="str">
        <x:v>当前不投入</x:v>
      </x:c>
      <x:c r="N366" s="95" t="str">
        <x:v>P0</x:v>
      </x:c>
      <x:c r="O366" s="95" t="str">
        <x:v>https://www.nature.com/articles/s42004-025-01770-1</x:v>
      </x:c>
      <x:c r="P366" s="96" t="str">
        <x:v>待评审</x:v>
      </x:c>
    </x:row>
    <x:row r="367">
      <x:c r="A367" s="94" t="str">
        <x:v>T0363</x:v>
      </x:c>
      <x:c r="B367" s="95" t="str">
        <x:v>实验执行与具身自动化</x:v>
      </x:c>
      <x:c r="C367" s="95" t="str">
        <x:v>机器视觉、多模态感知与异常检测</x:v>
      </x:c>
      <x:c r="D367" s="95" t="str">
        <x:v>当前低优先</x:v>
      </x:c>
      <x:c r="E367" s="100" t="n">
        <x:v>2</x:v>
      </x:c>
      <x:c r="F367" s="95" t="str">
        <x:v>实验执行</x:v>
      </x:c>
      <x:c r="G367" s="95" t="str">
        <x:v>G 实验执行自动化</x:v>
      </x:c>
      <x:c r="H367" s="95" t="str">
        <x:v>受控照明</x:v>
      </x:c>
      <x:c r="I367" s="95" t="str">
        <x:v>识别膜破损、装夹异常、气泡/接触问题等可见失效。</x:v>
      </x:c>
      <x:c r="J367" s="95" t="str">
        <x:v>仅围绕制膜、装夹、调理和EIS操作的真实瓶颈逐步自动化。</x:v>
      </x:c>
      <x:c r="K367" s="95" t="str">
        <x:v>可直接支撑当前EIS-only闭环。</x:v>
      </x:c>
      <x:c r="L367" s="95" t="str">
        <x:v>暂缓</x:v>
      </x:c>
      <x:c r="M367" s="95" t="str">
        <x:v>当前不投入</x:v>
      </x:c>
      <x:c r="N367" s="95" t="str">
        <x:v>P0</x:v>
      </x:c>
      <x:c r="O367" s="95" t="str">
        <x:v>https://www.nature.com/articles/s41597-025-06060-y</x:v>
      </x:c>
      <x:c r="P367" s="96" t="str">
        <x:v>待评审</x:v>
      </x:c>
    </x:row>
    <x:row r="368">
      <x:c r="A368" s="94" t="str">
        <x:v>T0364</x:v>
      </x:c>
      <x:c r="B368" s="95" t="str">
        <x:v>实验执行与具身自动化</x:v>
      </x:c>
      <x:c r="C368" s="95" t="str">
        <x:v>机器视觉、多模态感知与异常检测</x:v>
      </x:c>
      <x:c r="D368" s="95" t="str">
        <x:v>当前低优先</x:v>
      </x:c>
      <x:c r="E368" s="100" t="n">
        <x:v>2</x:v>
      </x:c>
      <x:c r="F368" s="95" t="str">
        <x:v>实验执行</x:v>
      </x:c>
      <x:c r="G368" s="95" t="str">
        <x:v>G 实验执行自动化</x:v>
      </x:c>
      <x:c r="H368" s="95" t="str">
        <x:v>RGB-D感知</x:v>
      </x:c>
      <x:c r="I368" s="95" t="str">
        <x:v>识别膜破损、装夹异常、气泡/接触问题等可见失效。</x:v>
      </x:c>
      <x:c r="J368" s="95" t="str">
        <x:v>仅围绕制膜、装夹、调理和EIS操作的真实瓶颈逐步自动化。</x:v>
      </x:c>
      <x:c r="K368" s="95" t="str">
        <x:v>可直接支撑当前EIS-only闭环。</x:v>
      </x:c>
      <x:c r="L368" s="95" t="str">
        <x:v>暂缓</x:v>
      </x:c>
      <x:c r="M368" s="95" t="str">
        <x:v>当前不投入</x:v>
      </x:c>
      <x:c r="N368" s="95" t="str">
        <x:v>P0</x:v>
      </x:c>
      <x:c r="O368" s="95" t="str">
        <x:v>https://www.aas.net.cn/cn/article/doi/10.16383/j.aas.c240364?viewType=HTML</x:v>
      </x:c>
      <x:c r="P368" s="96" t="str">
        <x:v>待评审</x:v>
      </x:c>
    </x:row>
    <x:row r="369">
      <x:c r="A369" s="94" t="str">
        <x:v>T0365</x:v>
      </x:c>
      <x:c r="B369" s="95" t="str">
        <x:v>实验执行与具身自动化</x:v>
      </x:c>
      <x:c r="C369" s="95" t="str">
        <x:v>机器视觉、多模态感知与异常检测</x:v>
      </x:c>
      <x:c r="D369" s="95" t="str">
        <x:v>当前低优先</x:v>
      </x:c>
      <x:c r="E369" s="100" t="n">
        <x:v>2</x:v>
      </x:c>
      <x:c r="F369" s="95" t="str">
        <x:v>实验执行</x:v>
      </x:c>
      <x:c r="G369" s="95" t="str">
        <x:v>G 实验执行自动化</x:v>
      </x:c>
      <x:c r="H369" s="95" t="str">
        <x:v>双目视觉</x:v>
      </x:c>
      <x:c r="I369" s="95" t="str">
        <x:v>识别膜破损、装夹异常、气泡/接触问题等可见失效。</x:v>
      </x:c>
      <x:c r="J369" s="95" t="str">
        <x:v>仅围绕制膜、装夹、调理和EIS操作的真实瓶颈逐步自动化。</x:v>
      </x:c>
      <x:c r="K369" s="95" t="str">
        <x:v>可直接支撑当前EIS-only闭环。</x:v>
      </x:c>
      <x:c r="L369" s="95" t="str">
        <x:v>暂缓</x:v>
      </x:c>
      <x:c r="M369" s="95" t="str">
        <x:v>当前不投入</x:v>
      </x:c>
      <x:c r="N369" s="95" t="str">
        <x:v>P0</x:v>
      </x:c>
      <x:c r="O369" s="95" t="str">
        <x:v>https://www.nature.com/articles/s41586-024-08173-7</x:v>
      </x:c>
      <x:c r="P369" s="96" t="str">
        <x:v>待评审</x:v>
      </x:c>
    </x:row>
    <x:row r="370">
      <x:c r="A370" s="94" t="str">
        <x:v>T0366</x:v>
      </x:c>
      <x:c r="B370" s="95" t="str">
        <x:v>实验执行与具身自动化</x:v>
      </x:c>
      <x:c r="C370" s="95" t="str">
        <x:v>机器视觉、多模态感知与异常检测</x:v>
      </x:c>
      <x:c r="D370" s="95" t="str">
        <x:v>当前低优先</x:v>
      </x:c>
      <x:c r="E370" s="100" t="n">
        <x:v>2</x:v>
      </x:c>
      <x:c r="F370" s="95" t="str">
        <x:v>实验执行</x:v>
      </x:c>
      <x:c r="G370" s="95" t="str">
        <x:v>G 实验执行自动化</x:v>
      </x:c>
      <x:c r="H370" s="95" t="str">
        <x:v>深度估计</x:v>
      </x:c>
      <x:c r="I370" s="95" t="str">
        <x:v>识别膜破损、装夹异常、气泡/接触问题等可见失效。</x:v>
      </x:c>
      <x:c r="J370" s="95" t="str">
        <x:v>仅围绕制膜、装夹、调理和EIS操作的真实瓶颈逐步自动化。</x:v>
      </x:c>
      <x:c r="K370" s="95" t="str">
        <x:v>可直接支撑当前EIS-only闭环。</x:v>
      </x:c>
      <x:c r="L370" s="95" t="str">
        <x:v>暂缓</x:v>
      </x:c>
      <x:c r="M370" s="95" t="str">
        <x:v>当前不投入</x:v>
      </x:c>
      <x:c r="N370" s="95" t="str">
        <x:v>P0</x:v>
      </x:c>
      <x:c r="O370" s="95" t="str">
        <x:v>https://www.nature.com/articles/s42004-025-01770-1</x:v>
      </x:c>
      <x:c r="P370" s="96" t="str">
        <x:v>待评审</x:v>
      </x:c>
    </x:row>
    <x:row r="371">
      <x:c r="A371" s="94" t="str">
        <x:v>T0367</x:v>
      </x:c>
      <x:c r="B371" s="95" t="str">
        <x:v>实验执行与具身自动化</x:v>
      </x:c>
      <x:c r="C371" s="95" t="str">
        <x:v>机器视觉、多模态感知与异常检测</x:v>
      </x:c>
      <x:c r="D371" s="95" t="str">
        <x:v>当前低优先</x:v>
      </x:c>
      <x:c r="E371" s="100" t="n">
        <x:v>2</x:v>
      </x:c>
      <x:c r="F371" s="95" t="str">
        <x:v>实验执行</x:v>
      </x:c>
      <x:c r="G371" s="95" t="str">
        <x:v>G 实验执行自动化</x:v>
      </x:c>
      <x:c r="H371" s="95" t="str">
        <x:v>语义分割</x:v>
      </x:c>
      <x:c r="I371" s="95" t="str">
        <x:v>识别膜破损、装夹异常、气泡/接触问题等可见失效。</x:v>
      </x:c>
      <x:c r="J371" s="95" t="str">
        <x:v>仅围绕制膜、装夹、调理和EIS操作的真实瓶颈逐步自动化。</x:v>
      </x:c>
      <x:c r="K371" s="95" t="str">
        <x:v>可直接支撑当前EIS-only闭环。</x:v>
      </x:c>
      <x:c r="L371" s="95" t="str">
        <x:v>暂缓</x:v>
      </x:c>
      <x:c r="M371" s="95" t="str">
        <x:v>当前不投入</x:v>
      </x:c>
      <x:c r="N371" s="95" t="str">
        <x:v>P0</x:v>
      </x:c>
      <x:c r="O371" s="95" t="str">
        <x:v>https://www.nature.com/articles/s41597-025-06060-y</x:v>
      </x:c>
      <x:c r="P371" s="96" t="str">
        <x:v>待评审</x:v>
      </x:c>
    </x:row>
    <x:row r="372">
      <x:c r="A372" s="94" t="str">
        <x:v>T0368</x:v>
      </x:c>
      <x:c r="B372" s="95" t="str">
        <x:v>实验执行与具身自动化</x:v>
      </x:c>
      <x:c r="C372" s="95" t="str">
        <x:v>机器视觉、多模态感知与异常检测</x:v>
      </x:c>
      <x:c r="D372" s="95" t="str">
        <x:v>当前低优先</x:v>
      </x:c>
      <x:c r="E372" s="100" t="n">
        <x:v>2</x:v>
      </x:c>
      <x:c r="F372" s="95" t="str">
        <x:v>实验执行</x:v>
      </x:c>
      <x:c r="G372" s="95" t="str">
        <x:v>G 实验执行自动化</x:v>
      </x:c>
      <x:c r="H372" s="95" t="str">
        <x:v>实例分割</x:v>
      </x:c>
      <x:c r="I372" s="95" t="str">
        <x:v>识别膜破损、装夹异常、气泡/接触问题等可见失效。</x:v>
      </x:c>
      <x:c r="J372" s="95" t="str">
        <x:v>仅围绕制膜、装夹、调理和EIS操作的真实瓶颈逐步自动化。</x:v>
      </x:c>
      <x:c r="K372" s="95" t="str">
        <x:v>可直接支撑当前EIS-only闭环。</x:v>
      </x:c>
      <x:c r="L372" s="95" t="str">
        <x:v>暂缓</x:v>
      </x:c>
      <x:c r="M372" s="95" t="str">
        <x:v>当前不投入</x:v>
      </x:c>
      <x:c r="N372" s="95" t="str">
        <x:v>P0</x:v>
      </x:c>
      <x:c r="O372" s="95" t="str">
        <x:v>https://www.aas.net.cn/cn/article/doi/10.16383/j.aas.c240364?viewType=HTML</x:v>
      </x:c>
      <x:c r="P372" s="96" t="str">
        <x:v>待评审</x:v>
      </x:c>
    </x:row>
    <x:row r="373">
      <x:c r="A373" s="94" t="str">
        <x:v>T0369</x:v>
      </x:c>
      <x:c r="B373" s="95" t="str">
        <x:v>实验执行与具身自动化</x:v>
      </x:c>
      <x:c r="C373" s="95" t="str">
        <x:v>机器视觉、多模态感知与异常检测</x:v>
      </x:c>
      <x:c r="D373" s="95" t="str">
        <x:v>当前低优先</x:v>
      </x:c>
      <x:c r="E373" s="100" t="n">
        <x:v>2</x:v>
      </x:c>
      <x:c r="F373" s="95" t="str">
        <x:v>实验执行</x:v>
      </x:c>
      <x:c r="G373" s="95" t="str">
        <x:v>G 实验执行自动化</x:v>
      </x:c>
      <x:c r="H373" s="95" t="str">
        <x:v>目标检测</x:v>
      </x:c>
      <x:c r="I373" s="95" t="str">
        <x:v>识别膜破损、装夹异常、气泡/接触问题等可见失效。</x:v>
      </x:c>
      <x:c r="J373" s="95" t="str">
        <x:v>仅围绕制膜、装夹、调理和EIS操作的真实瓶颈逐步自动化。</x:v>
      </x:c>
      <x:c r="K373" s="95" t="str">
        <x:v>可直接支撑当前EIS-only闭环。</x:v>
      </x:c>
      <x:c r="L373" s="95" t="str">
        <x:v>暂缓</x:v>
      </x:c>
      <x:c r="M373" s="95" t="str">
        <x:v>当前不投入</x:v>
      </x:c>
      <x:c r="N373" s="95" t="str">
        <x:v>P0</x:v>
      </x:c>
      <x:c r="O373" s="95" t="str">
        <x:v>https://www.nature.com/articles/s41586-024-08173-7</x:v>
      </x:c>
      <x:c r="P373" s="96" t="str">
        <x:v>待评审</x:v>
      </x:c>
    </x:row>
    <x:row r="374">
      <x:c r="A374" s="94" t="str">
        <x:v>T0370</x:v>
      </x:c>
      <x:c r="B374" s="95" t="str">
        <x:v>实验执行与具身自动化</x:v>
      </x:c>
      <x:c r="C374" s="95" t="str">
        <x:v>机器视觉、多模态感知与异常检测</x:v>
      </x:c>
      <x:c r="D374" s="95" t="str">
        <x:v>当前低优先</x:v>
      </x:c>
      <x:c r="E374" s="100" t="n">
        <x:v>3</x:v>
      </x:c>
      <x:c r="F374" s="95" t="str">
        <x:v>实验执行</x:v>
      </x:c>
      <x:c r="G374" s="95" t="str">
        <x:v>G 实验执行自动化</x:v>
      </x:c>
      <x:c r="H374" s="95" t="str">
        <x:v>多目标跟踪</x:v>
      </x:c>
      <x:c r="I374" s="95" t="str">
        <x:v>识别膜破损、装夹异常、气泡/接触问题等可见失效。</x:v>
      </x:c>
      <x:c r="J374" s="95" t="str">
        <x:v>仅围绕制膜、装夹、调理和EIS操作的真实瓶颈逐步自动化。</x:v>
      </x:c>
      <x:c r="K374" s="95" t="str">
        <x:v>可直接支撑当前EIS-only闭环。</x:v>
      </x:c>
      <x:c r="L374" s="95" t="str">
        <x:v>暂缓</x:v>
      </x:c>
      <x:c r="M374" s="95" t="str">
        <x:v>当前不投入</x:v>
      </x:c>
      <x:c r="N374" s="95" t="str">
        <x:v>P0</x:v>
      </x:c>
      <x:c r="O374" s="95" t="str">
        <x:v>https://www.nature.com/articles/s42004-025-01770-1</x:v>
      </x:c>
      <x:c r="P374" s="96" t="str">
        <x:v>待评审</x:v>
      </x:c>
    </x:row>
    <x:row r="375">
      <x:c r="A375" s="94" t="str">
        <x:v>T0371</x:v>
      </x:c>
      <x:c r="B375" s="95" t="str">
        <x:v>实验执行与具身自动化</x:v>
      </x:c>
      <x:c r="C375" s="95" t="str">
        <x:v>机器视觉、多模态感知与异常检测</x:v>
      </x:c>
      <x:c r="D375" s="95" t="str">
        <x:v>当前低优先</x:v>
      </x:c>
      <x:c r="E375" s="100" t="n">
        <x:v>2</x:v>
      </x:c>
      <x:c r="F375" s="95" t="str">
        <x:v>实验执行</x:v>
      </x:c>
      <x:c r="G375" s="95" t="str">
        <x:v>G 实验执行自动化</x:v>
      </x:c>
      <x:c r="H375" s="95" t="str">
        <x:v>六自由度位姿估计</x:v>
      </x:c>
      <x:c r="I375" s="95" t="str">
        <x:v>识别膜破损、装夹异常、气泡/接触问题等可见失效。</x:v>
      </x:c>
      <x:c r="J375" s="95" t="str">
        <x:v>仅围绕制膜、装夹、调理和EIS操作的真实瓶颈逐步自动化。</x:v>
      </x:c>
      <x:c r="K375" s="95" t="str">
        <x:v>可直接支撑当前EIS-only闭环。</x:v>
      </x:c>
      <x:c r="L375" s="95" t="str">
        <x:v>暂缓</x:v>
      </x:c>
      <x:c r="M375" s="95" t="str">
        <x:v>当前不投入</x:v>
      </x:c>
      <x:c r="N375" s="95" t="str">
        <x:v>P1</x:v>
      </x:c>
      <x:c r="O375" s="95" t="str">
        <x:v>https://www.nature.com/articles/s41597-025-06060-y</x:v>
      </x:c>
      <x:c r="P375" s="96" t="str">
        <x:v>待评审</x:v>
      </x:c>
    </x:row>
    <x:row r="376">
      <x:c r="A376" s="94" t="str">
        <x:v>T0372</x:v>
      </x:c>
      <x:c r="B376" s="95" t="str">
        <x:v>实验执行与具身自动化</x:v>
      </x:c>
      <x:c r="C376" s="95" t="str">
        <x:v>机器视觉、多模态感知与异常检测</x:v>
      </x:c>
      <x:c r="D376" s="95" t="str">
        <x:v>当前低优先</x:v>
      </x:c>
      <x:c r="E376" s="100" t="n">
        <x:v>2</x:v>
      </x:c>
      <x:c r="F376" s="95" t="str">
        <x:v>实验执行</x:v>
      </x:c>
      <x:c r="G376" s="95" t="str">
        <x:v>G 实验执行自动化</x:v>
      </x:c>
      <x:c r="H376" s="95" t="str">
        <x:v>透明物体感知</x:v>
      </x:c>
      <x:c r="I376" s="95" t="str">
        <x:v>识别膜破损、装夹异常、气泡/接触问题等可见失效。</x:v>
      </x:c>
      <x:c r="J376" s="95" t="str">
        <x:v>仅围绕制膜、装夹、调理和EIS操作的真实瓶颈逐步自动化。</x:v>
      </x:c>
      <x:c r="K376" s="95" t="str">
        <x:v>可直接支撑当前EIS-only闭环。</x:v>
      </x:c>
      <x:c r="L376" s="95" t="str">
        <x:v>暂缓</x:v>
      </x:c>
      <x:c r="M376" s="95" t="str">
        <x:v>当前不投入</x:v>
      </x:c>
      <x:c r="N376" s="95" t="str">
        <x:v>P1</x:v>
      </x:c>
      <x:c r="O376" s="95" t="str">
        <x:v>https://www.aas.net.cn/cn/article/doi/10.16383/j.aas.c240364?viewType=HTML</x:v>
      </x:c>
      <x:c r="P376" s="96" t="str">
        <x:v>待评审</x:v>
      </x:c>
    </x:row>
    <x:row r="377">
      <x:c r="A377" s="94" t="str">
        <x:v>T0373</x:v>
      </x:c>
      <x:c r="B377" s="95" t="str">
        <x:v>实验执行与具身自动化</x:v>
      </x:c>
      <x:c r="C377" s="95" t="str">
        <x:v>机器视觉、多模态感知与异常检测</x:v>
      </x:c>
      <x:c r="D377" s="95" t="str">
        <x:v>当前低优先</x:v>
      </x:c>
      <x:c r="E377" s="100" t="n">
        <x:v>2</x:v>
      </x:c>
      <x:c r="F377" s="95" t="str">
        <x:v>实验执行</x:v>
      </x:c>
      <x:c r="G377" s="95" t="str">
        <x:v>G 实验执行自动化</x:v>
      </x:c>
      <x:c r="H377" s="95" t="str">
        <x:v>反光物体感知</x:v>
      </x:c>
      <x:c r="I377" s="95" t="str">
        <x:v>识别膜破损、装夹异常、气泡/接触问题等可见失效。</x:v>
      </x:c>
      <x:c r="J377" s="95" t="str">
        <x:v>仅围绕制膜、装夹、调理和EIS操作的真实瓶颈逐步自动化。</x:v>
      </x:c>
      <x:c r="K377" s="95" t="str">
        <x:v>可直接支撑当前EIS-only闭环。</x:v>
      </x:c>
      <x:c r="L377" s="95" t="str">
        <x:v>暂缓</x:v>
      </x:c>
      <x:c r="M377" s="95" t="str">
        <x:v>当前不投入</x:v>
      </x:c>
      <x:c r="N377" s="95" t="str">
        <x:v>P1</x:v>
      </x:c>
      <x:c r="O377" s="95" t="str">
        <x:v>https://www.nature.com/articles/s41586-024-08173-7</x:v>
      </x:c>
      <x:c r="P377" s="96" t="str">
        <x:v>待评审</x:v>
      </x:c>
    </x:row>
    <x:row r="378">
      <x:c r="A378" s="94" t="str">
        <x:v>T0374</x:v>
      </x:c>
      <x:c r="B378" s="95" t="str">
        <x:v>实验执行与具身自动化</x:v>
      </x:c>
      <x:c r="C378" s="95" t="str">
        <x:v>机器视觉、多模态感知与异常检测</x:v>
      </x:c>
      <x:c r="D378" s="95" t="str">
        <x:v>当前低优先</x:v>
      </x:c>
      <x:c r="E378" s="100" t="n">
        <x:v>2</x:v>
      </x:c>
      <x:c r="F378" s="95" t="str">
        <x:v>实验执行</x:v>
      </x:c>
      <x:c r="G378" s="95" t="str">
        <x:v>G 实验执行自动化</x:v>
      </x:c>
      <x:c r="H378" s="95" t="str">
        <x:v>OCR与条码识别</x:v>
      </x:c>
      <x:c r="I378" s="95" t="str">
        <x:v>识别膜破损、装夹异常、气泡/接触问题等可见失效。</x:v>
      </x:c>
      <x:c r="J378" s="95" t="str">
        <x:v>仅围绕制膜、装夹、调理和EIS操作的真实瓶颈逐步自动化。</x:v>
      </x:c>
      <x:c r="K378" s="95" t="str">
        <x:v>可直接支撑当前EIS-only闭环。</x:v>
      </x:c>
      <x:c r="L378" s="95" t="str">
        <x:v>暂缓</x:v>
      </x:c>
      <x:c r="M378" s="95" t="str">
        <x:v>当前不投入</x:v>
      </x:c>
      <x:c r="N378" s="95" t="str">
        <x:v>P1</x:v>
      </x:c>
      <x:c r="O378" s="95" t="str">
        <x:v>https://www.nature.com/articles/s42004-025-01770-1</x:v>
      </x:c>
      <x:c r="P378" s="96" t="str">
        <x:v>待评审</x:v>
      </x:c>
    </x:row>
    <x:row r="379">
      <x:c r="A379" s="94" t="str">
        <x:v>T0375</x:v>
      </x:c>
      <x:c r="B379" s="95" t="str">
        <x:v>实验执行与具身自动化</x:v>
      </x:c>
      <x:c r="C379" s="95" t="str">
        <x:v>机器视觉、多模态感知与异常检测</x:v>
      </x:c>
      <x:c r="D379" s="95" t="str">
        <x:v>当前低优先</x:v>
      </x:c>
      <x:c r="E379" s="100" t="n">
        <x:v>2</x:v>
      </x:c>
      <x:c r="F379" s="95" t="str">
        <x:v>实验执行</x:v>
      </x:c>
      <x:c r="G379" s="95" t="str">
        <x:v>G 实验执行自动化</x:v>
      </x:c>
      <x:c r="H379" s="95" t="str">
        <x:v>弯月面识别</x:v>
      </x:c>
      <x:c r="I379" s="95" t="str">
        <x:v>识别膜破损、装夹异常、气泡/接触问题等可见失效。</x:v>
      </x:c>
      <x:c r="J379" s="95" t="str">
        <x:v>仅围绕制膜、装夹、调理和EIS操作的真实瓶颈逐步自动化。</x:v>
      </x:c>
      <x:c r="K379" s="95" t="str">
        <x:v>可直接支撑当前EIS-only闭环。</x:v>
      </x:c>
      <x:c r="L379" s="95" t="str">
        <x:v>暂缓</x:v>
      </x:c>
      <x:c r="M379" s="95" t="str">
        <x:v>当前不投入</x:v>
      </x:c>
      <x:c r="N379" s="95" t="str">
        <x:v>P1</x:v>
      </x:c>
      <x:c r="O379" s="95" t="str">
        <x:v>https://www.nature.com/articles/s41597-025-06060-y</x:v>
      </x:c>
      <x:c r="P379" s="96" t="str">
        <x:v>待评审</x:v>
      </x:c>
    </x:row>
    <x:row r="380">
      <x:c r="A380" s="94" t="str">
        <x:v>T0376</x:v>
      </x:c>
      <x:c r="B380" s="95" t="str">
        <x:v>实验执行与具身自动化</x:v>
      </x:c>
      <x:c r="C380" s="95" t="str">
        <x:v>机器视觉、多模态感知与异常检测</x:v>
      </x:c>
      <x:c r="D380" s="95" t="str">
        <x:v>当前低优先</x:v>
      </x:c>
      <x:c r="E380" s="100" t="n">
        <x:v>2</x:v>
      </x:c>
      <x:c r="F380" s="95" t="str">
        <x:v>实验执行</x:v>
      </x:c>
      <x:c r="G380" s="95" t="str">
        <x:v>G 实验执行自动化</x:v>
      </x:c>
      <x:c r="H380" s="95" t="str">
        <x:v>液位视觉测量</x:v>
      </x:c>
      <x:c r="I380" s="95" t="str">
        <x:v>识别膜破损、装夹异常、气泡/接触问题等可见失效。</x:v>
      </x:c>
      <x:c r="J380" s="95" t="str">
        <x:v>仅围绕制膜、装夹、调理和EIS操作的真实瓶颈逐步自动化。</x:v>
      </x:c>
      <x:c r="K380" s="95" t="str">
        <x:v>可直接支撑当前EIS-only闭环。</x:v>
      </x:c>
      <x:c r="L380" s="95" t="str">
        <x:v>暂缓</x:v>
      </x:c>
      <x:c r="M380" s="95" t="str">
        <x:v>当前不投入</x:v>
      </x:c>
      <x:c r="N380" s="95" t="str">
        <x:v>P1</x:v>
      </x:c>
      <x:c r="O380" s="95" t="str">
        <x:v>https://www.aas.net.cn/cn/article/doi/10.16383/j.aas.c240364?viewType=HTML</x:v>
      </x:c>
      <x:c r="P380" s="96" t="str">
        <x:v>待评审</x:v>
      </x:c>
    </x:row>
    <x:row r="381">
      <x:c r="A381" s="94" t="str">
        <x:v>T0377</x:v>
      </x:c>
      <x:c r="B381" s="95" t="str">
        <x:v>实验执行与具身自动化</x:v>
      </x:c>
      <x:c r="C381" s="95" t="str">
        <x:v>机器视觉、多模态感知与异常检测</x:v>
      </x:c>
      <x:c r="D381" s="95" t="str">
        <x:v>当前低优先</x:v>
      </x:c>
      <x:c r="E381" s="100" t="n">
        <x:v>2</x:v>
      </x:c>
      <x:c r="F381" s="95" t="str">
        <x:v>实验执行</x:v>
      </x:c>
      <x:c r="G381" s="95" t="str">
        <x:v>G 实验执行自动化</x:v>
      </x:c>
      <x:c r="H381" s="95" t="str">
        <x:v>液滴检测</x:v>
      </x:c>
      <x:c r="I381" s="95" t="str">
        <x:v>识别膜破损、装夹异常、气泡/接触问题等可见失效。</x:v>
      </x:c>
      <x:c r="J381" s="95" t="str">
        <x:v>仅围绕制膜、装夹、调理和EIS操作的真实瓶颈逐步自动化。</x:v>
      </x:c>
      <x:c r="K381" s="95" t="str">
        <x:v>可直接支撑当前EIS-only闭环。</x:v>
      </x:c>
      <x:c r="L381" s="95" t="str">
        <x:v>暂缓</x:v>
      </x:c>
      <x:c r="M381" s="95" t="str">
        <x:v>当前不投入</x:v>
      </x:c>
      <x:c r="N381" s="95" t="str">
        <x:v>P1</x:v>
      </x:c>
      <x:c r="O381" s="95" t="str">
        <x:v>https://www.nature.com/articles/s41586-024-08173-7</x:v>
      </x:c>
      <x:c r="P381" s="96" t="str">
        <x:v>待评审</x:v>
      </x:c>
    </x:row>
    <x:row r="382">
      <x:c r="A382" s="94" t="str">
        <x:v>T0378</x:v>
      </x:c>
      <x:c r="B382" s="95" t="str">
        <x:v>实验执行与具身自动化</x:v>
      </x:c>
      <x:c r="C382" s="95" t="str">
        <x:v>机器视觉、多模态感知与异常检测</x:v>
      </x:c>
      <x:c r="D382" s="95" t="str">
        <x:v>当前低优先</x:v>
      </x:c>
      <x:c r="E382" s="100" t="n">
        <x:v>2</x:v>
      </x:c>
      <x:c r="F382" s="95" t="str">
        <x:v>实验执行</x:v>
      </x:c>
      <x:c r="G382" s="95" t="str">
        <x:v>G 实验执行自动化</x:v>
      </x:c>
      <x:c r="H382" s="95" t="str">
        <x:v>粉体体积估计</x:v>
      </x:c>
      <x:c r="I382" s="95" t="str">
        <x:v>识别膜破损、装夹异常、气泡/接触问题等可见失效。</x:v>
      </x:c>
      <x:c r="J382" s="95" t="str">
        <x:v>仅围绕制膜、装夹、调理和EIS操作的真实瓶颈逐步自动化。</x:v>
      </x:c>
      <x:c r="K382" s="95" t="str">
        <x:v>可直接支撑当前EIS-only闭环。</x:v>
      </x:c>
      <x:c r="L382" s="95" t="str">
        <x:v>暂缓</x:v>
      </x:c>
      <x:c r="M382" s="95" t="str">
        <x:v>当前不投入</x:v>
      </x:c>
      <x:c r="N382" s="95" t="str">
        <x:v>P1</x:v>
      </x:c>
      <x:c r="O382" s="95" t="str">
        <x:v>https://www.nature.com/articles/s42004-025-01770-1</x:v>
      </x:c>
      <x:c r="P382" s="96" t="str">
        <x:v>待评审</x:v>
      </x:c>
    </x:row>
    <x:row r="383">
      <x:c r="A383" s="94" t="str">
        <x:v>T0379</x:v>
      </x:c>
      <x:c r="B383" s="95" t="str">
        <x:v>实验执行与具身自动化</x:v>
      </x:c>
      <x:c r="C383" s="95" t="str">
        <x:v>机器视觉、多模态感知与异常检测</x:v>
      </x:c>
      <x:c r="D383" s="95" t="str">
        <x:v>当前低优先</x:v>
      </x:c>
      <x:c r="E383" s="100" t="n">
        <x:v>2</x:v>
      </x:c>
      <x:c r="F383" s="95" t="str">
        <x:v>实验执行</x:v>
      </x:c>
      <x:c r="G383" s="95" t="str">
        <x:v>G 实验执行自动化</x:v>
      </x:c>
      <x:c r="H383" s="95" t="str">
        <x:v>泡沫检测</x:v>
      </x:c>
      <x:c r="I383" s="95" t="str">
        <x:v>识别膜破损、装夹异常、气泡/接触问题等可见失效。</x:v>
      </x:c>
      <x:c r="J383" s="95" t="str">
        <x:v>仅围绕制膜、装夹、调理和EIS操作的真实瓶颈逐步自动化。</x:v>
      </x:c>
      <x:c r="K383" s="95" t="str">
        <x:v>可直接支撑当前EIS-only闭环。</x:v>
      </x:c>
      <x:c r="L383" s="95" t="str">
        <x:v>暂缓</x:v>
      </x:c>
      <x:c r="M383" s="95" t="str">
        <x:v>当前不投入</x:v>
      </x:c>
      <x:c r="N383" s="95" t="str">
        <x:v>P1</x:v>
      </x:c>
      <x:c r="O383" s="95" t="str">
        <x:v>https://www.nature.com/articles/s41597-025-06060-y</x:v>
      </x:c>
      <x:c r="P383" s="96" t="str">
        <x:v>待评审</x:v>
      </x:c>
    </x:row>
    <x:row r="384">
      <x:c r="A384" s="94" t="str">
        <x:v>T0380</x:v>
      </x:c>
      <x:c r="B384" s="95" t="str">
        <x:v>实验执行与具身自动化</x:v>
      </x:c>
      <x:c r="C384" s="95" t="str">
        <x:v>机器视觉、多模态感知与异常检测</x:v>
      </x:c>
      <x:c r="D384" s="95" t="str">
        <x:v>当前低优先</x:v>
      </x:c>
      <x:c r="E384" s="100" t="n">
        <x:v>2</x:v>
      </x:c>
      <x:c r="F384" s="95" t="str">
        <x:v>实验执行</x:v>
      </x:c>
      <x:c r="G384" s="95" t="str">
        <x:v>G 实验执行自动化</x:v>
      </x:c>
      <x:c r="H384" s="95" t="str">
        <x:v>沉淀检测</x:v>
      </x:c>
      <x:c r="I384" s="95" t="str">
        <x:v>识别膜破损、装夹异常、气泡/接触问题等可见失效。</x:v>
      </x:c>
      <x:c r="J384" s="95" t="str">
        <x:v>仅围绕制膜、装夹、调理和EIS操作的真实瓶颈逐步自动化。</x:v>
      </x:c>
      <x:c r="K384" s="95" t="str">
        <x:v>可直接支撑当前EIS-only闭环。</x:v>
      </x:c>
      <x:c r="L384" s="95" t="str">
        <x:v>暂缓</x:v>
      </x:c>
      <x:c r="M384" s="95" t="str">
        <x:v>当前不投入</x:v>
      </x:c>
      <x:c r="N384" s="95" t="str">
        <x:v>P1</x:v>
      </x:c>
      <x:c r="O384" s="95" t="str">
        <x:v>https://www.aas.net.cn/cn/article/doi/10.16383/j.aas.c240364?viewType=HTML</x:v>
      </x:c>
      <x:c r="P384" s="96" t="str">
        <x:v>待评审</x:v>
      </x:c>
    </x:row>
    <x:row r="385">
      <x:c r="A385" s="94" t="str">
        <x:v>T0381</x:v>
      </x:c>
      <x:c r="B385" s="95" t="str">
        <x:v>实验执行与具身自动化</x:v>
      </x:c>
      <x:c r="C385" s="95" t="str">
        <x:v>机器视觉、多模态感知与异常检测</x:v>
      </x:c>
      <x:c r="D385" s="95" t="str">
        <x:v>当前低优先</x:v>
      </x:c>
      <x:c r="E385" s="100" t="n">
        <x:v>2</x:v>
      </x:c>
      <x:c r="F385" s="95" t="str">
        <x:v>实验执行</x:v>
      </x:c>
      <x:c r="G385" s="95" t="str">
        <x:v>G 实验执行自动化</x:v>
      </x:c>
      <x:c r="H385" s="95" t="str">
        <x:v>颜色变化检测</x:v>
      </x:c>
      <x:c r="I385" s="95" t="str">
        <x:v>识别膜破损、装夹异常、气泡/接触问题等可见失效。</x:v>
      </x:c>
      <x:c r="J385" s="95" t="str">
        <x:v>仅围绕制膜、装夹、调理和EIS操作的真实瓶颈逐步自动化。</x:v>
      </x:c>
      <x:c r="K385" s="95" t="str">
        <x:v>可直接支撑当前EIS-only闭环。</x:v>
      </x:c>
      <x:c r="L385" s="95" t="str">
        <x:v>暂缓</x:v>
      </x:c>
      <x:c r="M385" s="95" t="str">
        <x:v>当前不投入</x:v>
      </x:c>
      <x:c r="N385" s="95" t="str">
        <x:v>P1</x:v>
      </x:c>
      <x:c r="O385" s="95" t="str">
        <x:v>https://www.nature.com/articles/s41586-024-08173-7</x:v>
      </x:c>
      <x:c r="P385" s="96" t="str">
        <x:v>待评审</x:v>
      </x:c>
    </x:row>
    <x:row r="386">
      <x:c r="A386" s="94" t="str">
        <x:v>T0382</x:v>
      </x:c>
      <x:c r="B386" s="95" t="str">
        <x:v>实验执行与具身自动化</x:v>
      </x:c>
      <x:c r="C386" s="95" t="str">
        <x:v>机器视觉、多模态感知与异常检测</x:v>
      </x:c>
      <x:c r="D386" s="95" t="str">
        <x:v>当前低优先</x:v>
      </x:c>
      <x:c r="E386" s="100" t="n">
        <x:v>2</x:v>
      </x:c>
      <x:c r="F386" s="95" t="str">
        <x:v>实验执行</x:v>
      </x:c>
      <x:c r="G386" s="95" t="str">
        <x:v>G 实验执行自动化</x:v>
      </x:c>
      <x:c r="H386" s="95" t="str">
        <x:v>晶体形貌分析</x:v>
      </x:c>
      <x:c r="I386" s="95" t="str">
        <x:v>识别膜破损、装夹异常、气泡/接触问题等可见失效。</x:v>
      </x:c>
      <x:c r="J386" s="95" t="str">
        <x:v>仅围绕制膜、装夹、调理和EIS操作的真实瓶颈逐步自动化。</x:v>
      </x:c>
      <x:c r="K386" s="95" t="str">
        <x:v>可直接支撑当前EIS-only闭环。</x:v>
      </x:c>
      <x:c r="L386" s="95" t="str">
        <x:v>暂缓</x:v>
      </x:c>
      <x:c r="M386" s="95" t="str">
        <x:v>当前不投入</x:v>
      </x:c>
      <x:c r="N386" s="95" t="str">
        <x:v>P1</x:v>
      </x:c>
      <x:c r="O386" s="95" t="str">
        <x:v>https://www.nature.com/articles/s42004-025-01770-1</x:v>
      </x:c>
      <x:c r="P386" s="96" t="str">
        <x:v>待评审</x:v>
      </x:c>
    </x:row>
    <x:row r="387">
      <x:c r="A387" s="94" t="str">
        <x:v>T0383</x:v>
      </x:c>
      <x:c r="B387" s="95" t="str">
        <x:v>实验执行与具身自动化</x:v>
      </x:c>
      <x:c r="C387" s="95" t="str">
        <x:v>机器视觉、多模态感知与异常检测</x:v>
      </x:c>
      <x:c r="D387" s="95" t="str">
        <x:v>当前低优先</x:v>
      </x:c>
      <x:c r="E387" s="100" t="n">
        <x:v>2</x:v>
      </x:c>
      <x:c r="F387" s="95" t="str">
        <x:v>实验执行</x:v>
      </x:c>
      <x:c r="G387" s="95" t="str">
        <x:v>G 实验执行自动化</x:v>
      </x:c>
      <x:c r="H387" s="95" t="str">
        <x:v>反应终点识别</x:v>
      </x:c>
      <x:c r="I387" s="95" t="str">
        <x:v>识别膜破损、装夹异常、气泡/接触问题等可见失效。</x:v>
      </x:c>
      <x:c r="J387" s="95" t="str">
        <x:v>仅围绕制膜、装夹、调理和EIS操作的真实瓶颈逐步自动化。</x:v>
      </x:c>
      <x:c r="K387" s="95" t="str">
        <x:v>可直接支撑当前EIS-only闭环。</x:v>
      </x:c>
      <x:c r="L387" s="95" t="str">
        <x:v>暂缓</x:v>
      </x:c>
      <x:c r="M387" s="95" t="str">
        <x:v>当前不投入</x:v>
      </x:c>
      <x:c r="N387" s="95" t="str">
        <x:v>P1</x:v>
      </x:c>
      <x:c r="O387" s="95" t="str">
        <x:v>https://www.nature.com/articles/s41597-025-06060-y</x:v>
      </x:c>
      <x:c r="P387" s="96" t="str">
        <x:v>待评审</x:v>
      </x:c>
    </x:row>
    <x:row r="388">
      <x:c r="A388" s="94" t="str">
        <x:v>T0384</x:v>
      </x:c>
      <x:c r="B388" s="95" t="str">
        <x:v>实验执行与具身自动化</x:v>
      </x:c>
      <x:c r="C388" s="95" t="str">
        <x:v>机器视觉、多模态感知与异常检测</x:v>
      </x:c>
      <x:c r="D388" s="95" t="str">
        <x:v>当前低优先</x:v>
      </x:c>
      <x:c r="E388" s="100" t="n">
        <x:v>2</x:v>
      </x:c>
      <x:c r="F388" s="95" t="str">
        <x:v>实验执行</x:v>
      </x:c>
      <x:c r="G388" s="95" t="str">
        <x:v>G 实验执行自动化</x:v>
      </x:c>
      <x:c r="H388" s="95" t="str">
        <x:v>火焰/烟雾检测</x:v>
      </x:c>
      <x:c r="I388" s="95" t="str">
        <x:v>识别膜破损、装夹异常、气泡/接触问题等可见失效。</x:v>
      </x:c>
      <x:c r="J388" s="95" t="str">
        <x:v>仅围绕制膜、装夹、调理和EIS操作的真实瓶颈逐步自动化。</x:v>
      </x:c>
      <x:c r="K388" s="95" t="str">
        <x:v>可直接支撑当前EIS-only闭环。</x:v>
      </x:c>
      <x:c r="L388" s="95" t="str">
        <x:v>暂缓</x:v>
      </x:c>
      <x:c r="M388" s="95" t="str">
        <x:v>当前不投入</x:v>
      </x:c>
      <x:c r="N388" s="95" t="str">
        <x:v>P1</x:v>
      </x:c>
      <x:c r="O388" s="95" t="str">
        <x:v>https://www.aas.net.cn/cn/article/doi/10.16383/j.aas.c240364?viewType=HTML</x:v>
      </x:c>
      <x:c r="P388" s="96" t="str">
        <x:v>待评审</x:v>
      </x:c>
    </x:row>
    <x:row r="389">
      <x:c r="A389" s="94" t="str">
        <x:v>T0385</x:v>
      </x:c>
      <x:c r="B389" s="95" t="str">
        <x:v>实验执行与具身自动化</x:v>
      </x:c>
      <x:c r="C389" s="95" t="str">
        <x:v>机器视觉、多模态感知与异常检测</x:v>
      </x:c>
      <x:c r="D389" s="95" t="str">
        <x:v>当前低优先</x:v>
      </x:c>
      <x:c r="E389" s="100" t="n">
        <x:v>2</x:v>
      </x:c>
      <x:c r="F389" s="95" t="str">
        <x:v>实验执行</x:v>
      </x:c>
      <x:c r="G389" s="95" t="str">
        <x:v>G 实验执行自动化</x:v>
      </x:c>
      <x:c r="H389" s="95" t="str">
        <x:v>泄漏/溢洒检测</x:v>
      </x:c>
      <x:c r="I389" s="95" t="str">
        <x:v>识别膜破损、装夹异常、气泡/接触问题等可见失效。</x:v>
      </x:c>
      <x:c r="J389" s="95" t="str">
        <x:v>仅围绕制膜、装夹、调理和EIS操作的真实瓶颈逐步自动化。</x:v>
      </x:c>
      <x:c r="K389" s="95" t="str">
        <x:v>可直接支撑当前EIS-only闭环。</x:v>
      </x:c>
      <x:c r="L389" s="95" t="str">
        <x:v>暂缓</x:v>
      </x:c>
      <x:c r="M389" s="95" t="str">
        <x:v>当前不投入</x:v>
      </x:c>
      <x:c r="N389" s="95" t="str">
        <x:v>P1</x:v>
      </x:c>
      <x:c r="O389" s="95" t="str">
        <x:v>https://www.nature.com/articles/s41586-024-08173-7</x:v>
      </x:c>
      <x:c r="P389" s="96" t="str">
        <x:v>待评审</x:v>
      </x:c>
    </x:row>
    <x:row r="390">
      <x:c r="A390" s="94" t="str">
        <x:v>T0386</x:v>
      </x:c>
      <x:c r="B390" s="95" t="str">
        <x:v>实验执行与具身自动化</x:v>
      </x:c>
      <x:c r="C390" s="95" t="str">
        <x:v>机器视觉、多模态感知与异常检测</x:v>
      </x:c>
      <x:c r="D390" s="95" t="str">
        <x:v>当前低优先</x:v>
      </x:c>
      <x:c r="E390" s="100" t="n">
        <x:v>2</x:v>
      </x:c>
      <x:c r="F390" s="95" t="str">
        <x:v>实验执行</x:v>
      </x:c>
      <x:c r="G390" s="95" t="str">
        <x:v>G 实验执行自动化</x:v>
      </x:c>
      <x:c r="H390" s="95" t="str">
        <x:v>人员/PPE检测</x:v>
      </x:c>
      <x:c r="I390" s="95" t="str">
        <x:v>识别膜破损、装夹异常、气泡/接触问题等可见失效。</x:v>
      </x:c>
      <x:c r="J390" s="95" t="str">
        <x:v>仅围绕制膜、装夹、调理和EIS操作的真实瓶颈逐步自动化。</x:v>
      </x:c>
      <x:c r="K390" s="95" t="str">
        <x:v>可直接支撑当前EIS-only闭环。</x:v>
      </x:c>
      <x:c r="L390" s="95" t="str">
        <x:v>暂缓</x:v>
      </x:c>
      <x:c r="M390" s="95" t="str">
        <x:v>当前不投入</x:v>
      </x:c>
      <x:c r="N390" s="95" t="str">
        <x:v>P1</x:v>
      </x:c>
      <x:c r="O390" s="95" t="str">
        <x:v>https://www.nature.com/articles/s42004-025-01770-1</x:v>
      </x:c>
      <x:c r="P390" s="96" t="str">
        <x:v>待评审</x:v>
      </x:c>
    </x:row>
    <x:row r="391">
      <x:c r="A391" s="94" t="str">
        <x:v>T0387</x:v>
      </x:c>
      <x:c r="B391" s="95" t="str">
        <x:v>实验执行与具身自动化</x:v>
      </x:c>
      <x:c r="C391" s="95" t="str">
        <x:v>机器视觉、多模态感知与异常检测</x:v>
      </x:c>
      <x:c r="D391" s="95" t="str">
        <x:v>当前低优先</x:v>
      </x:c>
      <x:c r="E391" s="100" t="n">
        <x:v>2</x:v>
      </x:c>
      <x:c r="F391" s="95" t="str">
        <x:v>实验执行</x:v>
      </x:c>
      <x:c r="G391" s="95" t="str">
        <x:v>G 实验执行自动化</x:v>
      </x:c>
      <x:c r="H391" s="95" t="str">
        <x:v>机器人动作视觉验收</x:v>
      </x:c>
      <x:c r="I391" s="95" t="str">
        <x:v>识别膜破损、装夹异常、气泡/接触问题等可见失效。</x:v>
      </x:c>
      <x:c r="J391" s="95" t="str">
        <x:v>仅围绕制膜、装夹、调理和EIS操作的真实瓶颈逐步自动化。</x:v>
      </x:c>
      <x:c r="K391" s="95" t="str">
        <x:v>可直接支撑当前EIS-only闭环。</x:v>
      </x:c>
      <x:c r="L391" s="95" t="str">
        <x:v>暂缓</x:v>
      </x:c>
      <x:c r="M391" s="95" t="str">
        <x:v>当前不投入</x:v>
      </x:c>
      <x:c r="N391" s="95" t="str">
        <x:v>P1</x:v>
      </x:c>
      <x:c r="O391" s="95" t="str">
        <x:v>https://www.nature.com/articles/s41597-025-06060-y</x:v>
      </x:c>
      <x:c r="P391" s="96" t="str">
        <x:v>待评审</x:v>
      </x:c>
    </x:row>
    <x:row r="392">
      <x:c r="A392" s="94" t="str">
        <x:v>T0388</x:v>
      </x:c>
      <x:c r="B392" s="95" t="str">
        <x:v>实验执行与具身自动化</x:v>
      </x:c>
      <x:c r="C392" s="95" t="str">
        <x:v>机器视觉、多模态感知与异常检测</x:v>
      </x:c>
      <x:c r="D392" s="95" t="str">
        <x:v>当前低优先</x:v>
      </x:c>
      <x:c r="E392" s="100" t="n">
        <x:v>2</x:v>
      </x:c>
      <x:c r="F392" s="95" t="str">
        <x:v>实验执行</x:v>
      </x:c>
      <x:c r="G392" s="95" t="str">
        <x:v>G 实验执行自动化</x:v>
      </x:c>
      <x:c r="H392" s="95" t="str">
        <x:v>仪器屏幕读取</x:v>
      </x:c>
      <x:c r="I392" s="95" t="str">
        <x:v>识别膜破损、装夹异常、气泡/接触问题等可见失效。</x:v>
      </x:c>
      <x:c r="J392" s="95" t="str">
        <x:v>仅围绕制膜、装夹、调理和EIS操作的真实瓶颈逐步自动化。</x:v>
      </x:c>
      <x:c r="K392" s="95" t="str">
        <x:v>可直接支撑当前EIS-only闭环。</x:v>
      </x:c>
      <x:c r="L392" s="95" t="str">
        <x:v>暂缓</x:v>
      </x:c>
      <x:c r="M392" s="95" t="str">
        <x:v>当前不投入</x:v>
      </x:c>
      <x:c r="N392" s="95" t="str">
        <x:v>P1</x:v>
      </x:c>
      <x:c r="O392" s="95" t="str">
        <x:v>https://www.aas.net.cn/cn/article/doi/10.16383/j.aas.c240364?viewType=HTML</x:v>
      </x:c>
      <x:c r="P392" s="96" t="str">
        <x:v>待评审</x:v>
      </x:c>
    </x:row>
    <x:row r="393">
      <x:c r="A393" s="94" t="str">
        <x:v>T0389</x:v>
      </x:c>
      <x:c r="B393" s="95" t="str">
        <x:v>实验执行与具身自动化</x:v>
      </x:c>
      <x:c r="C393" s="95" t="str">
        <x:v>机器视觉、多模态感知与异常检测</x:v>
      </x:c>
      <x:c r="D393" s="95" t="str">
        <x:v>当前低优先</x:v>
      </x:c>
      <x:c r="E393" s="100" t="n">
        <x:v>2</x:v>
      </x:c>
      <x:c r="F393" s="95" t="str">
        <x:v>实验执行</x:v>
      </x:c>
      <x:c r="G393" s="95" t="str">
        <x:v>G 实验执行自动化</x:v>
      </x:c>
      <x:c r="H393" s="95" t="str">
        <x:v>多模态传感融合</x:v>
      </x:c>
      <x:c r="I393" s="95" t="str">
        <x:v>识别膜破损、装夹异常、气泡/接触问题等可见失效。</x:v>
      </x:c>
      <x:c r="J393" s="95" t="str">
        <x:v>仅围绕制膜、装夹、调理和EIS操作的真实瓶颈逐步自动化。</x:v>
      </x:c>
      <x:c r="K393" s="95" t="str">
        <x:v>可直接支撑当前EIS-only闭环。</x:v>
      </x:c>
      <x:c r="L393" s="95" t="str">
        <x:v>暂缓</x:v>
      </x:c>
      <x:c r="M393" s="95" t="str">
        <x:v>当前不投入</x:v>
      </x:c>
      <x:c r="N393" s="95" t="str">
        <x:v>P2</x:v>
      </x:c>
      <x:c r="O393" s="95" t="str">
        <x:v>https://www.nature.com/articles/s41586-024-08173-7</x:v>
      </x:c>
      <x:c r="P393" s="96" t="str">
        <x:v>待评审</x:v>
      </x:c>
    </x:row>
    <x:row r="394">
      <x:c r="A394" s="94" t="str">
        <x:v>T0390</x:v>
      </x:c>
      <x:c r="B394" s="95" t="str">
        <x:v>实验执行与具身自动化</x:v>
      </x:c>
      <x:c r="C394" s="95" t="str">
        <x:v>机器视觉、多模态感知与异常检测</x:v>
      </x:c>
      <x:c r="D394" s="95" t="str">
        <x:v>当前低优先</x:v>
      </x:c>
      <x:c r="E394" s="100" t="n">
        <x:v>2</x:v>
      </x:c>
      <x:c r="F394" s="95" t="str">
        <x:v>实验执行</x:v>
      </x:c>
      <x:c r="G394" s="95" t="str">
        <x:v>G 实验执行自动化</x:v>
      </x:c>
      <x:c r="H394" s="95" t="str">
        <x:v>视觉语言模型</x:v>
      </x:c>
      <x:c r="I394" s="95" t="str">
        <x:v>识别膜破损、装夹异常、气泡/接触问题等可见失效。</x:v>
      </x:c>
      <x:c r="J394" s="95" t="str">
        <x:v>仅围绕制膜、装夹、调理和EIS操作的真实瓶颈逐步自动化。</x:v>
      </x:c>
      <x:c r="K394" s="95" t="str">
        <x:v>可直接支撑当前EIS-only闭环。</x:v>
      </x:c>
      <x:c r="L394" s="95" t="str">
        <x:v>暂缓</x:v>
      </x:c>
      <x:c r="M394" s="95" t="str">
        <x:v>当前不投入</x:v>
      </x:c>
      <x:c r="N394" s="95" t="str">
        <x:v>P2</x:v>
      </x:c>
      <x:c r="O394" s="95" t="str">
        <x:v>https://www.nature.com/articles/s42004-025-01770-1</x:v>
      </x:c>
      <x:c r="P394" s="96" t="str">
        <x:v>待评审</x:v>
      </x:c>
    </x:row>
    <x:row r="395">
      <x:c r="A395" s="94" t="str">
        <x:v>T0391</x:v>
      </x:c>
      <x:c r="B395" s="95" t="str">
        <x:v>实验执行与具身自动化</x:v>
      </x:c>
      <x:c r="C395" s="95" t="str">
        <x:v>机器视觉、多模态感知与异常检测</x:v>
      </x:c>
      <x:c r="D395" s="95" t="str">
        <x:v>当前低优先</x:v>
      </x:c>
      <x:c r="E395" s="100" t="n">
        <x:v>2</x:v>
      </x:c>
      <x:c r="F395" s="95" t="str">
        <x:v>实验执行</x:v>
      </x:c>
      <x:c r="G395" s="95" t="str">
        <x:v>G 实验执行自动化</x:v>
      </x:c>
      <x:c r="H395" s="95" t="str">
        <x:v>视觉问答</x:v>
      </x:c>
      <x:c r="I395" s="95" t="str">
        <x:v>识别膜破损、装夹异常、气泡/接触问题等可见失效。</x:v>
      </x:c>
      <x:c r="J395" s="95" t="str">
        <x:v>仅围绕制膜、装夹、调理和EIS操作的真实瓶颈逐步自动化。</x:v>
      </x:c>
      <x:c r="K395" s="95" t="str">
        <x:v>可直接支撑当前EIS-only闭环。</x:v>
      </x:c>
      <x:c r="L395" s="95" t="str">
        <x:v>暂缓</x:v>
      </x:c>
      <x:c r="M395" s="95" t="str">
        <x:v>当前不投入</x:v>
      </x:c>
      <x:c r="N395" s="95" t="str">
        <x:v>P2</x:v>
      </x:c>
      <x:c r="O395" s="95" t="str">
        <x:v>https://www.nature.com/articles/s41597-025-06060-y</x:v>
      </x:c>
      <x:c r="P395" s="96" t="str">
        <x:v>待评审</x:v>
      </x:c>
    </x:row>
    <x:row r="396">
      <x:c r="A396" s="94" t="str">
        <x:v>T0392</x:v>
      </x:c>
      <x:c r="B396" s="95" t="str">
        <x:v>实验执行与具身自动化</x:v>
      </x:c>
      <x:c r="C396" s="95" t="str">
        <x:v>机器视觉、多模态感知与异常检测</x:v>
      </x:c>
      <x:c r="D396" s="95" t="str">
        <x:v>当前低优先</x:v>
      </x:c>
      <x:c r="E396" s="100" t="n">
        <x:v>2</x:v>
      </x:c>
      <x:c r="F396" s="95" t="str">
        <x:v>实验执行</x:v>
      </x:c>
      <x:c r="G396" s="95" t="str">
        <x:v>G 实验执行自动化</x:v>
      </x:c>
      <x:c r="H396" s="95" t="str">
        <x:v>异常检测</x:v>
      </x:c>
      <x:c r="I396" s="95" t="str">
        <x:v>识别膜破损、装夹异常、气泡/接触问题等可见失效。</x:v>
      </x:c>
      <x:c r="J396" s="95" t="str">
        <x:v>仅围绕制膜、装夹、调理和EIS操作的真实瓶颈逐步自动化。</x:v>
      </x:c>
      <x:c r="K396" s="95" t="str">
        <x:v>可直接支撑当前EIS-only闭环。</x:v>
      </x:c>
      <x:c r="L396" s="95" t="str">
        <x:v>暂缓</x:v>
      </x:c>
      <x:c r="M396" s="95" t="str">
        <x:v>当前不投入</x:v>
      </x:c>
      <x:c r="N396" s="95" t="str">
        <x:v>P2</x:v>
      </x:c>
      <x:c r="O396" s="95" t="str">
        <x:v>https://www.aas.net.cn/cn/article/doi/10.16383/j.aas.c240364?viewType=HTML</x:v>
      </x:c>
      <x:c r="P396" s="96" t="str">
        <x:v>待评审</x:v>
      </x:c>
    </x:row>
    <x:row r="397">
      <x:c r="A397" s="94" t="str">
        <x:v>T0393</x:v>
      </x:c>
      <x:c r="B397" s="95" t="str">
        <x:v>实验执行与具身自动化</x:v>
      </x:c>
      <x:c r="C397" s="95" t="str">
        <x:v>机器视觉、多模态感知与异常检测</x:v>
      </x:c>
      <x:c r="D397" s="95" t="str">
        <x:v>当前低优先</x:v>
      </x:c>
      <x:c r="E397" s="100" t="n">
        <x:v>2</x:v>
      </x:c>
      <x:c r="F397" s="95" t="str">
        <x:v>实验执行</x:v>
      </x:c>
      <x:c r="G397" s="95" t="str">
        <x:v>G 实验执行自动化</x:v>
      </x:c>
      <x:c r="H397" s="95" t="str">
        <x:v>自监督异常学习</x:v>
      </x:c>
      <x:c r="I397" s="95" t="str">
        <x:v>识别膜破损、装夹异常、气泡/接触问题等可见失效。</x:v>
      </x:c>
      <x:c r="J397" s="95" t="str">
        <x:v>仅围绕制膜、装夹、调理和EIS操作的真实瓶颈逐步自动化。</x:v>
      </x:c>
      <x:c r="K397" s="95" t="str">
        <x:v>可直接支撑当前EIS-only闭环。</x:v>
      </x:c>
      <x:c r="L397" s="95" t="str">
        <x:v>暂缓</x:v>
      </x:c>
      <x:c r="M397" s="95" t="str">
        <x:v>当前不投入</x:v>
      </x:c>
      <x:c r="N397" s="95" t="str">
        <x:v>P2</x:v>
      </x:c>
      <x:c r="O397" s="95" t="str">
        <x:v>https://www.nature.com/articles/s41586-024-08173-7</x:v>
      </x:c>
      <x:c r="P397" s="96" t="str">
        <x:v>待评审</x:v>
      </x:c>
    </x:row>
    <x:row r="398">
      <x:c r="A398" s="94" t="str">
        <x:v>T0394</x:v>
      </x:c>
      <x:c r="B398" s="95" t="str">
        <x:v>实验执行与具身自动化</x:v>
      </x:c>
      <x:c r="C398" s="95" t="str">
        <x:v>机器视觉、多模态感知与异常检测</x:v>
      </x:c>
      <x:c r="D398" s="95" t="str">
        <x:v>当前低优先</x:v>
      </x:c>
      <x:c r="E398" s="100" t="n">
        <x:v>2</x:v>
      </x:c>
      <x:c r="F398" s="95" t="str">
        <x:v>实验执行</x:v>
      </x:c>
      <x:c r="G398" s="95" t="str">
        <x:v>G 实验执行自动化</x:v>
      </x:c>
      <x:c r="H398" s="95" t="str">
        <x:v>少样本异常检测</x:v>
      </x:c>
      <x:c r="I398" s="95" t="str">
        <x:v>识别膜破损、装夹异常、气泡/接触问题等可见失效。</x:v>
      </x:c>
      <x:c r="J398" s="95" t="str">
        <x:v>仅围绕制膜、装夹、调理和EIS操作的真实瓶颈逐步自动化。</x:v>
      </x:c>
      <x:c r="K398" s="95" t="str">
        <x:v>可直接支撑当前EIS-only闭环。</x:v>
      </x:c>
      <x:c r="L398" s="95" t="str">
        <x:v>暂缓</x:v>
      </x:c>
      <x:c r="M398" s="95" t="str">
        <x:v>当前不投入</x:v>
      </x:c>
      <x:c r="N398" s="95" t="str">
        <x:v>P2</x:v>
      </x:c>
      <x:c r="O398" s="95" t="str">
        <x:v>https://www.nature.com/articles/s42004-025-01770-1</x:v>
      </x:c>
      <x:c r="P398" s="96" t="str">
        <x:v>待评审</x:v>
      </x:c>
    </x:row>
    <x:row r="399">
      <x:c r="A399" s="94" t="str">
        <x:v>T0395</x:v>
      </x:c>
      <x:c r="B399" s="95" t="str">
        <x:v>实验执行与具身自动化</x:v>
      </x:c>
      <x:c r="C399" s="95" t="str">
        <x:v>机器视觉、多模态感知与异常检测</x:v>
      </x:c>
      <x:c r="D399" s="95" t="str">
        <x:v>当前低优先</x:v>
      </x:c>
      <x:c r="E399" s="100" t="n">
        <x:v>2</x:v>
      </x:c>
      <x:c r="F399" s="95" t="str">
        <x:v>实验执行</x:v>
      </x:c>
      <x:c r="G399" s="95" t="str">
        <x:v>G 实验执行自动化</x:v>
      </x:c>
      <x:c r="H399" s="95" t="str">
        <x:v>时序异常检测</x:v>
      </x:c>
      <x:c r="I399" s="95" t="str">
        <x:v>识别膜破损、装夹异常、气泡/接触问题等可见失效。</x:v>
      </x:c>
      <x:c r="J399" s="95" t="str">
        <x:v>仅围绕制膜、装夹、调理和EIS操作的真实瓶颈逐步自动化。</x:v>
      </x:c>
      <x:c r="K399" s="95" t="str">
        <x:v>可直接支撑当前EIS-only闭环。</x:v>
      </x:c>
      <x:c r="L399" s="95" t="str">
        <x:v>暂缓</x:v>
      </x:c>
      <x:c r="M399" s="95" t="str">
        <x:v>当前不投入</x:v>
      </x:c>
      <x:c r="N399" s="95" t="str">
        <x:v>P2</x:v>
      </x:c>
      <x:c r="O399" s="95" t="str">
        <x:v>https://www.nature.com/articles/s41597-025-06060-y</x:v>
      </x:c>
      <x:c r="P399" s="96" t="str">
        <x:v>待评审</x:v>
      </x:c>
    </x:row>
    <x:row r="400">
      <x:c r="A400" s="94" t="str">
        <x:v>T0396</x:v>
      </x:c>
      <x:c r="B400" s="95" t="str">
        <x:v>实验执行与具身自动化</x:v>
      </x:c>
      <x:c r="C400" s="95" t="str">
        <x:v>机器视觉、多模态感知与异常检测</x:v>
      </x:c>
      <x:c r="D400" s="95" t="str">
        <x:v>当前低优先</x:v>
      </x:c>
      <x:c r="E400" s="100" t="n">
        <x:v>2</x:v>
      </x:c>
      <x:c r="F400" s="95" t="str">
        <x:v>实验执行</x:v>
      </x:c>
      <x:c r="G400" s="95" t="str">
        <x:v>G 实验执行自动化</x:v>
      </x:c>
      <x:c r="H400" s="95" t="str">
        <x:v>变化点检测</x:v>
      </x:c>
      <x:c r="I400" s="95" t="str">
        <x:v>识别膜破损、装夹异常、气泡/接触问题等可见失效。</x:v>
      </x:c>
      <x:c r="J400" s="95" t="str">
        <x:v>仅围绕制膜、装夹、调理和EIS操作的真实瓶颈逐步自动化。</x:v>
      </x:c>
      <x:c r="K400" s="95" t="str">
        <x:v>可直接支撑当前EIS-only闭环。</x:v>
      </x:c>
      <x:c r="L400" s="95" t="str">
        <x:v>暂缓</x:v>
      </x:c>
      <x:c r="M400" s="95" t="str">
        <x:v>当前不投入</x:v>
      </x:c>
      <x:c r="N400" s="95" t="str">
        <x:v>P2</x:v>
      </x:c>
      <x:c r="O400" s="95" t="str">
        <x:v>https://www.aas.net.cn/cn/article/doi/10.16383/j.aas.c240364?viewType=HTML</x:v>
      </x:c>
      <x:c r="P400" s="96" t="str">
        <x:v>待评审</x:v>
      </x:c>
    </x:row>
    <x:row r="401">
      <x:c r="A401" s="94" t="str">
        <x:v>T0397</x:v>
      </x:c>
      <x:c r="B401" s="95" t="str">
        <x:v>实验执行与具身自动化</x:v>
      </x:c>
      <x:c r="C401" s="95" t="str">
        <x:v>机器视觉、多模态感知与异常检测</x:v>
      </x:c>
      <x:c r="D401" s="95" t="str">
        <x:v>当前低优先</x:v>
      </x:c>
      <x:c r="E401" s="100" t="n">
        <x:v>2</x:v>
      </x:c>
      <x:c r="F401" s="95" t="str">
        <x:v>实验执行</x:v>
      </x:c>
      <x:c r="G401" s="95" t="str">
        <x:v>G 实验执行自动化</x:v>
      </x:c>
      <x:c r="H401" s="95" t="str">
        <x:v>视觉根因推理</x:v>
      </x:c>
      <x:c r="I401" s="95" t="str">
        <x:v>识别膜破损、装夹异常、气泡/接触问题等可见失效。</x:v>
      </x:c>
      <x:c r="J401" s="95" t="str">
        <x:v>仅围绕制膜、装夹、调理和EIS操作的真实瓶颈逐步自动化。</x:v>
      </x:c>
      <x:c r="K401" s="95" t="str">
        <x:v>可直接支撑当前EIS-only闭环。</x:v>
      </x:c>
      <x:c r="L401" s="95" t="str">
        <x:v>暂缓</x:v>
      </x:c>
      <x:c r="M401" s="95" t="str">
        <x:v>当前不投入</x:v>
      </x:c>
      <x:c r="N401" s="95" t="str">
        <x:v>P2</x:v>
      </x:c>
      <x:c r="O401" s="95" t="str">
        <x:v>https://www.nature.com/articles/s41586-024-08173-7</x:v>
      </x:c>
      <x:c r="P401" s="96" t="str">
        <x:v>待评审</x:v>
      </x:c>
    </x:row>
    <x:row r="402">
      <x:c r="A402" s="94" t="str">
        <x:v>T0398</x:v>
      </x:c>
      <x:c r="B402" s="95" t="str">
        <x:v>实验执行与具身自动化</x:v>
      </x:c>
      <x:c r="C402" s="95" t="str">
        <x:v>机器视觉、多模态感知与异常检测</x:v>
      </x:c>
      <x:c r="D402" s="95" t="str">
        <x:v>当前低优先</x:v>
      </x:c>
      <x:c r="E402" s="100" t="n">
        <x:v>2</x:v>
      </x:c>
      <x:c r="F402" s="95" t="str">
        <x:v>实验执行</x:v>
      </x:c>
      <x:c r="G402" s="95" t="str">
        <x:v>G 实验执行自动化</x:v>
      </x:c>
      <x:c r="H402" s="95" t="str">
        <x:v>主动感知</x:v>
      </x:c>
      <x:c r="I402" s="95" t="str">
        <x:v>识别膜破损、装夹异常、气泡/接触问题等可见失效。</x:v>
      </x:c>
      <x:c r="J402" s="95" t="str">
        <x:v>仅围绕制膜、装夹、调理和EIS操作的真实瓶颈逐步自动化。</x:v>
      </x:c>
      <x:c r="K402" s="95" t="str">
        <x:v>可直接支撑当前EIS-only闭环。</x:v>
      </x:c>
      <x:c r="L402" s="95" t="str">
        <x:v>暂缓</x:v>
      </x:c>
      <x:c r="M402" s="95" t="str">
        <x:v>当前不投入</x:v>
      </x:c>
      <x:c r="N402" s="95" t="str">
        <x:v>P2</x:v>
      </x:c>
      <x:c r="O402" s="95" t="str">
        <x:v>https://www.nature.com/articles/s42004-025-01770-1</x:v>
      </x:c>
      <x:c r="P402" s="96" t="str">
        <x:v>待评审</x:v>
      </x:c>
    </x:row>
    <x:row r="403">
      <x:c r="A403" s="94" t="str">
        <x:v>T0399</x:v>
      </x:c>
      <x:c r="B403" s="95" t="str">
        <x:v>实验执行与具身自动化</x:v>
      </x:c>
      <x:c r="C403" s="95" t="str">
        <x:v>机器视觉、多模态感知与异常检测</x:v>
      </x:c>
      <x:c r="D403" s="95" t="str">
        <x:v>当前低优先</x:v>
      </x:c>
      <x:c r="E403" s="100" t="n">
        <x:v>2</x:v>
      </x:c>
      <x:c r="F403" s="95" t="str">
        <x:v>实验执行</x:v>
      </x:c>
      <x:c r="G403" s="95" t="str">
        <x:v>G 实验执行自动化</x:v>
      </x:c>
      <x:c r="H403" s="95" t="str">
        <x:v>视角规划</x:v>
      </x:c>
      <x:c r="I403" s="95" t="str">
        <x:v>识别膜破损、装夹异常、气泡/接触问题等可见失效。</x:v>
      </x:c>
      <x:c r="J403" s="95" t="str">
        <x:v>仅围绕制膜、装夹、调理和EIS操作的真实瓶颈逐步自动化。</x:v>
      </x:c>
      <x:c r="K403" s="95" t="str">
        <x:v>可直接支撑当前EIS-only闭环。</x:v>
      </x:c>
      <x:c r="L403" s="95" t="str">
        <x:v>暂缓</x:v>
      </x:c>
      <x:c r="M403" s="95" t="str">
        <x:v>当前不投入</x:v>
      </x:c>
      <x:c r="N403" s="95" t="str">
        <x:v>P2</x:v>
      </x:c>
      <x:c r="O403" s="95" t="str">
        <x:v>https://www.nature.com/articles/s41597-025-06060-y</x:v>
      </x:c>
      <x:c r="P403" s="96" t="str">
        <x:v>待评审</x:v>
      </x:c>
    </x:row>
    <x:row r="404">
      <x:c r="A404" s="94" t="str">
        <x:v>T0400</x:v>
      </x:c>
      <x:c r="B404" s="95" t="str">
        <x:v>实验执行与具身自动化</x:v>
      </x:c>
      <x:c r="C404" s="95" t="str">
        <x:v>机器视觉、多模态感知与异常检测</x:v>
      </x:c>
      <x:c r="D404" s="95" t="str">
        <x:v>当前低优先</x:v>
      </x:c>
      <x:c r="E404" s="100" t="n">
        <x:v>2</x:v>
      </x:c>
      <x:c r="F404" s="95" t="str">
        <x:v>实验执行</x:v>
      </x:c>
      <x:c r="G404" s="95" t="str">
        <x:v>G 实验执行自动化</x:v>
      </x:c>
      <x:c r="H404" s="95" t="str">
        <x:v>边缘视觉推理</x:v>
      </x:c>
      <x:c r="I404" s="95" t="str">
        <x:v>识别膜破损、装夹异常、气泡/接触问题等可见失效。</x:v>
      </x:c>
      <x:c r="J404" s="95" t="str">
        <x:v>仅围绕制膜、装夹、调理和EIS操作的真实瓶颈逐步自动化。</x:v>
      </x:c>
      <x:c r="K404" s="95" t="str">
        <x:v>可直接支撑当前EIS-only闭环。</x:v>
      </x:c>
      <x:c r="L404" s="95" t="str">
        <x:v>暂缓</x:v>
      </x:c>
      <x:c r="M404" s="95" t="str">
        <x:v>当前不投入</x:v>
      </x:c>
      <x:c r="N404" s="95" t="str">
        <x:v>P2</x:v>
      </x:c>
      <x:c r="O404" s="95" t="str">
        <x:v>https://www.aas.net.cn/cn/article/doi/10.16383/j.aas.c240364?viewType=HTML</x:v>
      </x:c>
      <x:c r="P404" s="96" t="str">
        <x:v>待评审</x:v>
      </x:c>
    </x:row>
    <x:row r="405">
      <x:c r="A405" s="94" t="str">
        <x:v>T0401</x:v>
      </x:c>
      <x:c r="B405" s="95" t="str">
        <x:v>数据与互操作基础设施</x:v>
      </x:c>
      <x:c r="C405" s="95" t="str">
        <x:v>数据基础设施、FAIR、语义与溯源</x:v>
      </x:c>
      <x:c r="D405" s="95" t="str">
        <x:v>关键支撑</x:v>
      </x:c>
      <x:c r="E405" s="100" t="n">
        <x:v>8</x:v>
      </x:c>
      <x:c r="F405" s="95" t="str">
        <x:v>两线共用</x:v>
      </x:c>
      <x:c r="G405" s="95" t="str">
        <x:v>F 数据、协议与复现</x:v>
      </x:c>
      <x:c r="H405" s="95" t="str">
        <x:v>FAIR-可发现</x:v>
      </x:c>
      <x:c r="I405" s="95" t="str">
        <x:v>让每个结论可追到样品、批次、协议、原始谱和代码版本。</x:v>
      </x:c>
      <x:c r="J405" s="95" t="str">
        <x:v>建立统一ID、原始数据不可变、协议/代码版本、W3C PROV/RO-Crate复现包。</x:v>
      </x:c>
      <x:c r="K405" s="95" t="str">
        <x:v>可直接支撑当前EIS-only闭环。</x:v>
      </x:c>
      <x:c r="L405" s="95" t="str">
        <x:v>M2 扩展与复现（5–12月）</x:v>
      </x:c>
      <x:c r="M405" s="95" t="str">
        <x:v>按瓶颈接入</x:v>
      </x:c>
      <x:c r="N405" s="95" t="str">
        <x:v>P0</x:v>
      </x:c>
      <x:c r="O405" s="95" t="str">
        <x:v>https://www.nature.com/articles/sdata201618</x:v>
      </x:c>
      <x:c r="P405" s="96" t="str">
        <x:v>待评审</x:v>
      </x:c>
    </x:row>
    <x:row r="406">
      <x:c r="A406" s="94" t="str">
        <x:v>T0402</x:v>
      </x:c>
      <x:c r="B406" s="95" t="str">
        <x:v>数据与互操作基础设施</x:v>
      </x:c>
      <x:c r="C406" s="95" t="str">
        <x:v>数据基础设施、FAIR、语义与溯源</x:v>
      </x:c>
      <x:c r="D406" s="95" t="str">
        <x:v>关键支撑</x:v>
      </x:c>
      <x:c r="E406" s="100" t="n">
        <x:v>8</x:v>
      </x:c>
      <x:c r="F406" s="95" t="str">
        <x:v>两线共用</x:v>
      </x:c>
      <x:c r="G406" s="95" t="str">
        <x:v>F 数据、协议与复现</x:v>
      </x:c>
      <x:c r="H406" s="95" t="str">
        <x:v>FAIR-可访问</x:v>
      </x:c>
      <x:c r="I406" s="95" t="str">
        <x:v>让每个结论可追到样品、批次、协议、原始谱和代码版本。</x:v>
      </x:c>
      <x:c r="J406" s="95" t="str">
        <x:v>建立统一ID、原始数据不可变、协议/代码版本、W3C PROV/RO-Crate复现包。</x:v>
      </x:c>
      <x:c r="K406" s="95" t="str">
        <x:v>可直接支撑当前EIS-only闭环。</x:v>
      </x:c>
      <x:c r="L406" s="95" t="str">
        <x:v>M2 扩展与复现（5–12月）</x:v>
      </x:c>
      <x:c r="M406" s="95" t="str">
        <x:v>按瓶颈接入</x:v>
      </x:c>
      <x:c r="N406" s="95" t="str">
        <x:v>P0</x:v>
      </x:c>
      <x:c r="O406" s="95" t="str">
        <x:v>https://www.w3.org/TR/prov-o/</x:v>
      </x:c>
      <x:c r="P406" s="96" t="str">
        <x:v>待评审</x:v>
      </x:c>
    </x:row>
    <x:row r="407">
      <x:c r="A407" s="94" t="str">
        <x:v>T0403</x:v>
      </x:c>
      <x:c r="B407" s="95" t="str">
        <x:v>数据与互操作基础设施</x:v>
      </x:c>
      <x:c r="C407" s="95" t="str">
        <x:v>数据基础设施、FAIR、语义与溯源</x:v>
      </x:c>
      <x:c r="D407" s="95" t="str">
        <x:v>关键支撑</x:v>
      </x:c>
      <x:c r="E407" s="100" t="n">
        <x:v>8</x:v>
      </x:c>
      <x:c r="F407" s="95" t="str">
        <x:v>两线共用</x:v>
      </x:c>
      <x:c r="G407" s="95" t="str">
        <x:v>F 数据、协议与复现</x:v>
      </x:c>
      <x:c r="H407" s="95" t="str">
        <x:v>FAIR-互操作</x:v>
      </x:c>
      <x:c r="I407" s="95" t="str">
        <x:v>让每个结论可追到样品、批次、协议、原始谱和代码版本。</x:v>
      </x:c>
      <x:c r="J407" s="95" t="str">
        <x:v>建立统一ID、原始数据不可变、协议/代码版本、W3C PROV/RO-Crate复现包。</x:v>
      </x:c>
      <x:c r="K407" s="95" t="str">
        <x:v>可直接支撑当前EIS-only闭环。</x:v>
      </x:c>
      <x:c r="L407" s="95" t="str">
        <x:v>M2 扩展与复现（5–12月）</x:v>
      </x:c>
      <x:c r="M407" s="95" t="str">
        <x:v>按瓶颈接入</x:v>
      </x:c>
      <x:c r="N407" s="95" t="str">
        <x:v>P0</x:v>
      </x:c>
      <x:c r="O407" s="95" t="str">
        <x:v>https://www.researchobject.org/ro-crate/specification/1.1/provenance.html</x:v>
      </x:c>
      <x:c r="P407" s="96" t="str">
        <x:v>待评审</x:v>
      </x:c>
    </x:row>
    <x:row r="408">
      <x:c r="A408" s="94" t="str">
        <x:v>T0404</x:v>
      </x:c>
      <x:c r="B408" s="95" t="str">
        <x:v>数据与互操作基础设施</x:v>
      </x:c>
      <x:c r="C408" s="95" t="str">
        <x:v>数据基础设施、FAIR、语义与溯源</x:v>
      </x:c>
      <x:c r="D408" s="95" t="str">
        <x:v>关键支撑</x:v>
      </x:c>
      <x:c r="E408" s="100" t="n">
        <x:v>8</x:v>
      </x:c>
      <x:c r="F408" s="95" t="str">
        <x:v>两线共用</x:v>
      </x:c>
      <x:c r="G408" s="95" t="str">
        <x:v>F 数据、协议与复现</x:v>
      </x:c>
      <x:c r="H408" s="95" t="str">
        <x:v>FAIR-可复用</x:v>
      </x:c>
      <x:c r="I408" s="95" t="str">
        <x:v>让每个结论可追到样品、批次、协议、原始谱和代码版本。</x:v>
      </x:c>
      <x:c r="J408" s="95" t="str">
        <x:v>建立统一ID、原始数据不可变、协议/代码版本、W3C PROV/RO-Crate复现包。</x:v>
      </x:c>
      <x:c r="K408" s="95" t="str">
        <x:v>可直接支撑当前EIS-only闭环。</x:v>
      </x:c>
      <x:c r="L408" s="95" t="str">
        <x:v>M2 扩展与复现（5–12月）</x:v>
      </x:c>
      <x:c r="M408" s="95" t="str">
        <x:v>按瓶颈接入</x:v>
      </x:c>
      <x:c r="N408" s="95" t="str">
        <x:v>P0</x:v>
      </x:c>
      <x:c r="O408" s="95" t="str">
        <x:v>https://www.allotrope.org/</x:v>
      </x:c>
      <x:c r="P408" s="96" t="str">
        <x:v>待评审</x:v>
      </x:c>
    </x:row>
    <x:row r="409">
      <x:c r="A409" s="94" t="str">
        <x:v>T0405</x:v>
      </x:c>
      <x:c r="B409" s="95" t="str">
        <x:v>数据与互操作基础设施</x:v>
      </x:c>
      <x:c r="C409" s="95" t="str">
        <x:v>数据基础设施、FAIR、语义与溯源</x:v>
      </x:c>
      <x:c r="D409" s="95" t="str">
        <x:v>关键支撑</x:v>
      </x:c>
      <x:c r="E409" s="100" t="n">
        <x:v>8</x:v>
      </x:c>
      <x:c r="F409" s="95" t="str">
        <x:v>两线共用</x:v>
      </x:c>
      <x:c r="G409" s="95" t="str">
        <x:v>F 数据、协议与复现</x:v>
      </x:c>
      <x:c r="H409" s="95" t="str">
        <x:v>元数据模式</x:v>
      </x:c>
      <x:c r="I409" s="95" t="str">
        <x:v>让每个结论可追到样品、批次、协议、原始谱和代码版本。</x:v>
      </x:c>
      <x:c r="J409" s="95" t="str">
        <x:v>建立统一ID、原始数据不可变、协议/代码版本、W3C PROV/RO-Crate复现包。</x:v>
      </x:c>
      <x:c r="K409" s="95" t="str">
        <x:v>可直接支撑当前EIS-only闭环。</x:v>
      </x:c>
      <x:c r="L409" s="95" t="str">
        <x:v>M2 扩展与复现（5–12月）</x:v>
      </x:c>
      <x:c r="M409" s="95" t="str">
        <x:v>按瓶颈接入</x:v>
      </x:c>
      <x:c r="N409" s="95" t="str">
        <x:v>P0</x:v>
      </x:c>
      <x:c r="O409" s="95" t="str">
        <x:v>https://www.animl.org/</x:v>
      </x:c>
      <x:c r="P409" s="96" t="str">
        <x:v>待评审</x:v>
      </x:c>
    </x:row>
    <x:row r="410">
      <x:c r="A410" s="94" t="str">
        <x:v>T0406</x:v>
      </x:c>
      <x:c r="B410" s="95" t="str">
        <x:v>数据与互操作基础设施</x:v>
      </x:c>
      <x:c r="C410" s="95" t="str">
        <x:v>数据基础设施、FAIR、语义与溯源</x:v>
      </x:c>
      <x:c r="D410" s="95" t="str">
        <x:v>关键支撑</x:v>
      </x:c>
      <x:c r="E410" s="100" t="n">
        <x:v>8</x:v>
      </x:c>
      <x:c r="F410" s="95" t="str">
        <x:v>两线共用</x:v>
      </x:c>
      <x:c r="G410" s="95" t="str">
        <x:v>F 数据、协议与复现</x:v>
      </x:c>
      <x:c r="H410" s="95" t="str">
        <x:v>领域本体</x:v>
      </x:c>
      <x:c r="I410" s="95" t="str">
        <x:v>让每个结论可追到样品、批次、协议、原始谱和代码版本。</x:v>
      </x:c>
      <x:c r="J410" s="95" t="str">
        <x:v>建立统一ID、原始数据不可变、协议/代码版本、W3C PROV/RO-Crate复现包。</x:v>
      </x:c>
      <x:c r="K410" s="95" t="str">
        <x:v>可直接支撑当前EIS-only闭环。</x:v>
      </x:c>
      <x:c r="L410" s="95" t="str">
        <x:v>M2 扩展与复现（5–12月）</x:v>
      </x:c>
      <x:c r="M410" s="95" t="str">
        <x:v>按瓶颈接入</x:v>
      </x:c>
      <x:c r="N410" s="95" t="str">
        <x:v>P0</x:v>
      </x:c>
      <x:c r="O410" s="95" t="str">
        <x:v>https://www.nature.com/articles/sdata201618</x:v>
      </x:c>
      <x:c r="P410" s="96" t="str">
        <x:v>待评审</x:v>
      </x:c>
    </x:row>
    <x:row r="411">
      <x:c r="A411" s="94" t="str">
        <x:v>T0407</x:v>
      </x:c>
      <x:c r="B411" s="95" t="str">
        <x:v>数据与互操作基础设施</x:v>
      </x:c>
      <x:c r="C411" s="95" t="str">
        <x:v>数据基础设施、FAIR、语义与溯源</x:v>
      </x:c>
      <x:c r="D411" s="95" t="str">
        <x:v>关键支撑</x:v>
      </x:c>
      <x:c r="E411" s="100" t="n">
        <x:v>8</x:v>
      </x:c>
      <x:c r="F411" s="95" t="str">
        <x:v>两线共用</x:v>
      </x:c>
      <x:c r="G411" s="95" t="str">
        <x:v>F 数据、协议与复现</x:v>
      </x:c>
      <x:c r="H411" s="95" t="str">
        <x:v>受控词表</x:v>
      </x:c>
      <x:c r="I411" s="95" t="str">
        <x:v>让每个结论可追到样品、批次、协议、原始谱和代码版本。</x:v>
      </x:c>
      <x:c r="J411" s="95" t="str">
        <x:v>建立统一ID、原始数据不可变、协议/代码版本、W3C PROV/RO-Crate复现包。</x:v>
      </x:c>
      <x:c r="K411" s="95" t="str">
        <x:v>可直接支撑当前EIS-only闭环。</x:v>
      </x:c>
      <x:c r="L411" s="95" t="str">
        <x:v>M2 扩展与复现（5–12月）</x:v>
      </x:c>
      <x:c r="M411" s="95" t="str">
        <x:v>按瓶颈接入</x:v>
      </x:c>
      <x:c r="N411" s="95" t="str">
        <x:v>P0</x:v>
      </x:c>
      <x:c r="O411" s="95" t="str">
        <x:v>https://www.w3.org/TR/prov-o/</x:v>
      </x:c>
      <x:c r="P411" s="96" t="str">
        <x:v>待评审</x:v>
      </x:c>
    </x:row>
    <x:row r="412">
      <x:c r="A412" s="94" t="str">
        <x:v>T0408</x:v>
      </x:c>
      <x:c r="B412" s="95" t="str">
        <x:v>数据与互操作基础设施</x:v>
      </x:c>
      <x:c r="C412" s="95" t="str">
        <x:v>数据基础设施、FAIR、语义与溯源</x:v>
      </x:c>
      <x:c r="D412" s="95" t="str">
        <x:v>关键支撑</x:v>
      </x:c>
      <x:c r="E412" s="100" t="n">
        <x:v>8</x:v>
      </x:c>
      <x:c r="F412" s="95" t="str">
        <x:v>两线共用</x:v>
      </x:c>
      <x:c r="G412" s="95" t="str">
        <x:v>F 数据、协议与复现</x:v>
      </x:c>
      <x:c r="H412" s="95" t="str">
        <x:v>科学知识图谱</x:v>
      </x:c>
      <x:c r="I412" s="95" t="str">
        <x:v>让每个结论可追到样品、批次、协议、原始谱和代码版本。</x:v>
      </x:c>
      <x:c r="J412" s="95" t="str">
        <x:v>建立统一ID、原始数据不可变、协议/代码版本、W3C PROV/RO-Crate复现包。</x:v>
      </x:c>
      <x:c r="K412" s="95" t="str">
        <x:v>可直接支撑当前EIS-only闭环。</x:v>
      </x:c>
      <x:c r="L412" s="95" t="str">
        <x:v>M2 扩展与复现（5–12月）</x:v>
      </x:c>
      <x:c r="M412" s="95" t="str">
        <x:v>按瓶颈接入</x:v>
      </x:c>
      <x:c r="N412" s="95" t="str">
        <x:v>P0</x:v>
      </x:c>
      <x:c r="O412" s="95" t="str">
        <x:v>https://www.researchobject.org/ro-crate/specification/1.1/provenance.html</x:v>
      </x:c>
      <x:c r="P412" s="96" t="str">
        <x:v>待评审</x:v>
      </x:c>
    </x:row>
    <x:row r="413">
      <x:c r="A413" s="94" t="str">
        <x:v>T0409</x:v>
      </x:c>
      <x:c r="B413" s="95" t="str">
        <x:v>数据与互操作基础设施</x:v>
      </x:c>
      <x:c r="C413" s="95" t="str">
        <x:v>数据基础设施、FAIR、语义与溯源</x:v>
      </x:c>
      <x:c r="D413" s="95" t="str">
        <x:v>关键支撑</x:v>
      </x:c>
      <x:c r="E413" s="100" t="n">
        <x:v>8</x:v>
      </x:c>
      <x:c r="F413" s="95" t="str">
        <x:v>两线共用</x:v>
      </x:c>
      <x:c r="G413" s="95" t="str">
        <x:v>F 数据、协议与复现</x:v>
      </x:c>
      <x:c r="H413" s="95" t="str">
        <x:v>实体消歧</x:v>
      </x:c>
      <x:c r="I413" s="95" t="str">
        <x:v>让每个结论可追到样品、批次、协议、原始谱和代码版本。</x:v>
      </x:c>
      <x:c r="J413" s="95" t="str">
        <x:v>建立统一ID、原始数据不可变、协议/代码版本、W3C PROV/RO-Crate复现包。</x:v>
      </x:c>
      <x:c r="K413" s="95" t="str">
        <x:v>可直接支撑当前EIS-only闭环。</x:v>
      </x:c>
      <x:c r="L413" s="95" t="str">
        <x:v>M2 扩展与复现（5–12月）</x:v>
      </x:c>
      <x:c r="M413" s="95" t="str">
        <x:v>按瓶颈接入</x:v>
      </x:c>
      <x:c r="N413" s="95" t="str">
        <x:v>P0</x:v>
      </x:c>
      <x:c r="O413" s="95" t="str">
        <x:v>https://www.allotrope.org/</x:v>
      </x:c>
      <x:c r="P413" s="96" t="str">
        <x:v>待评审</x:v>
      </x:c>
    </x:row>
    <x:row r="414">
      <x:c r="A414" s="94" t="str">
        <x:v>T0410</x:v>
      </x:c>
      <x:c r="B414" s="95" t="str">
        <x:v>数据与互操作基础设施</x:v>
      </x:c>
      <x:c r="C414" s="95" t="str">
        <x:v>数据基础设施、FAIR、语义与溯源</x:v>
      </x:c>
      <x:c r="D414" s="95" t="str">
        <x:v>关键支撑</x:v>
      </x:c>
      <x:c r="E414" s="100" t="n">
        <x:v>8</x:v>
      </x:c>
      <x:c r="F414" s="95" t="str">
        <x:v>两线共用</x:v>
      </x:c>
      <x:c r="G414" s="95" t="str">
        <x:v>F 数据、协议与复现</x:v>
      </x:c>
      <x:c r="H414" s="95" t="str">
        <x:v>持久标识符</x:v>
      </x:c>
      <x:c r="I414" s="95" t="str">
        <x:v>让每个结论可追到样品、批次、协议、原始谱和代码版本。</x:v>
      </x:c>
      <x:c r="J414" s="95" t="str">
        <x:v>建立统一ID、原始数据不可变、协议/代码版本、W3C PROV/RO-Crate复现包。</x:v>
      </x:c>
      <x:c r="K414" s="95" t="str">
        <x:v>可直接支撑当前EIS-only闭环。</x:v>
      </x:c>
      <x:c r="L414" s="95" t="str">
        <x:v>M2 扩展与复现（5–12月）</x:v>
      </x:c>
      <x:c r="M414" s="95" t="str">
        <x:v>按瓶颈接入</x:v>
      </x:c>
      <x:c r="N414" s="95" t="str">
        <x:v>P0</x:v>
      </x:c>
      <x:c r="O414" s="95" t="str">
        <x:v>https://www.animl.org/</x:v>
      </x:c>
      <x:c r="P414" s="96" t="str">
        <x:v>待评审</x:v>
      </x:c>
    </x:row>
    <x:row r="415">
      <x:c r="A415" s="94" t="str">
        <x:v>T0411</x:v>
      </x:c>
      <x:c r="B415" s="95" t="str">
        <x:v>数据与互操作基础设施</x:v>
      </x:c>
      <x:c r="C415" s="95" t="str">
        <x:v>数据基础设施、FAIR、语义与溯源</x:v>
      </x:c>
      <x:c r="D415" s="95" t="str">
        <x:v>核心必需</x:v>
      </x:c>
      <x:c r="E415" s="100" t="n">
        <x:v>12</x:v>
      </x:c>
      <x:c r="F415" s="95" t="str">
        <x:v>两线共用</x:v>
      </x:c>
      <x:c r="G415" s="95" t="str">
        <x:v>F 数据、协议与复现</x:v>
      </x:c>
      <x:c r="H415" s="95" t="str">
        <x:v>样品唯一ID</x:v>
      </x:c>
      <x:c r="I415" s="95" t="str">
        <x:v>让每个结论可追到样品、批次、协议、原始谱和代码版本。</x:v>
      </x:c>
      <x:c r="J415" s="95" t="str">
        <x:v>建立统一ID、原始数据不可变、协议/代码版本、W3C PROV/RO-Crate复现包。</x:v>
      </x:c>
      <x:c r="K415" s="95" t="str">
        <x:v>可直接支撑当前EIS-only闭环。</x:v>
      </x:c>
      <x:c r="L415" s="95" t="str">
        <x:v>M0 主流程接入（0–2月）</x:v>
      </x:c>
      <x:c r="M415" s="95" t="str">
        <x:v>首批接入</x:v>
      </x:c>
      <x:c r="N415" s="95" t="str">
        <x:v>P1</x:v>
      </x:c>
      <x:c r="O415" s="95" t="str">
        <x:v>https://www.nature.com/articles/sdata201618</x:v>
      </x:c>
      <x:c r="P415" s="96" t="str">
        <x:v>待评审</x:v>
      </x:c>
    </x:row>
    <x:row r="416">
      <x:c r="A416" s="94" t="str">
        <x:v>T0412</x:v>
      </x:c>
      <x:c r="B416" s="95" t="str">
        <x:v>数据与互操作基础设施</x:v>
      </x:c>
      <x:c r="C416" s="95" t="str">
        <x:v>数据基础设施、FAIR、语义与溯源</x:v>
      </x:c>
      <x:c r="D416" s="95" t="str">
        <x:v>关键支撑</x:v>
      </x:c>
      <x:c r="E416" s="100" t="n">
        <x:v>10</x:v>
      </x:c>
      <x:c r="F416" s="95" t="str">
        <x:v>两线共用</x:v>
      </x:c>
      <x:c r="G416" s="95" t="str">
        <x:v>F 数据、协议与复现</x:v>
      </x:c>
      <x:c r="H416" s="95" t="str">
        <x:v>材料唯一ID</x:v>
      </x:c>
      <x:c r="I416" s="95" t="str">
        <x:v>让每个结论可追到样品、批次、协议、原始谱和代码版本。</x:v>
      </x:c>
      <x:c r="J416" s="95" t="str">
        <x:v>建立统一ID、原始数据不可变、协议/代码版本、W3C PROV/RO-Crate复现包。</x:v>
      </x:c>
      <x:c r="K416" s="95" t="str">
        <x:v>可直接支撑当前EIS-only闭环。</x:v>
      </x:c>
      <x:c r="L416" s="95" t="str">
        <x:v>M2 扩展与复现（5–12月）</x:v>
      </x:c>
      <x:c r="M416" s="95" t="str">
        <x:v>按瓶颈接入</x:v>
      </x:c>
      <x:c r="N416" s="95" t="str">
        <x:v>P1</x:v>
      </x:c>
      <x:c r="O416" s="95" t="str">
        <x:v>https://www.w3.org/TR/prov-o/</x:v>
      </x:c>
      <x:c r="P416" s="96" t="str">
        <x:v>待评审</x:v>
      </x:c>
    </x:row>
    <x:row r="417">
      <x:c r="A417" s="94" t="str">
        <x:v>T0413</x:v>
      </x:c>
      <x:c r="B417" s="95" t="str">
        <x:v>数据与互操作基础设施</x:v>
      </x:c>
      <x:c r="C417" s="95" t="str">
        <x:v>数据基础设施、FAIR、语义与溯源</x:v>
      </x:c>
      <x:c r="D417" s="95" t="str">
        <x:v>关键支撑</x:v>
      </x:c>
      <x:c r="E417" s="100" t="n">
        <x:v>8</x:v>
      </x:c>
      <x:c r="F417" s="95" t="str">
        <x:v>两线共用</x:v>
      </x:c>
      <x:c r="G417" s="95" t="str">
        <x:v>F 数据、协议与复现</x:v>
      </x:c>
      <x:c r="H417" s="95" t="str">
        <x:v>设备唯一ID</x:v>
      </x:c>
      <x:c r="I417" s="95" t="str">
        <x:v>让每个结论可追到样品、批次、协议、原始谱和代码版本。</x:v>
      </x:c>
      <x:c r="J417" s="95" t="str">
        <x:v>建立统一ID、原始数据不可变、协议/代码版本、W3C PROV/RO-Crate复现包。</x:v>
      </x:c>
      <x:c r="K417" s="95" t="str">
        <x:v>可直接支撑当前EIS-only闭环。</x:v>
      </x:c>
      <x:c r="L417" s="95" t="str">
        <x:v>M2 扩展与复现（5–12月）</x:v>
      </x:c>
      <x:c r="M417" s="95" t="str">
        <x:v>按瓶颈接入</x:v>
      </x:c>
      <x:c r="N417" s="95" t="str">
        <x:v>P1</x:v>
      </x:c>
      <x:c r="O417" s="95" t="str">
        <x:v>https://www.researchobject.org/ro-crate/specification/1.1/provenance.html</x:v>
      </x:c>
      <x:c r="P417" s="96" t="str">
        <x:v>待评审</x:v>
      </x:c>
    </x:row>
    <x:row r="418">
      <x:c r="A418" s="94" t="str">
        <x:v>T0414</x:v>
      </x:c>
      <x:c r="B418" s="95" t="str">
        <x:v>数据与互操作基础设施</x:v>
      </x:c>
      <x:c r="C418" s="95" t="str">
        <x:v>数据基础设施、FAIR、语义与溯源</x:v>
      </x:c>
      <x:c r="D418" s="95" t="str">
        <x:v>关键支撑</x:v>
      </x:c>
      <x:c r="E418" s="100" t="n">
        <x:v>8</x:v>
      </x:c>
      <x:c r="F418" s="95" t="str">
        <x:v>两线共用</x:v>
      </x:c>
      <x:c r="G418" s="95" t="str">
        <x:v>F 数据、协议与复现</x:v>
      </x:c>
      <x:c r="H418" s="95" t="str">
        <x:v>协议唯一ID</x:v>
      </x:c>
      <x:c r="I418" s="95" t="str">
        <x:v>让每个结论可追到样品、批次、协议、原始谱和代码版本。</x:v>
      </x:c>
      <x:c r="J418" s="95" t="str">
        <x:v>建立统一ID、原始数据不可变、协议/代码版本、W3C PROV/RO-Crate复现包。</x:v>
      </x:c>
      <x:c r="K418" s="95" t="str">
        <x:v>可直接支撑当前EIS-only闭环。</x:v>
      </x:c>
      <x:c r="L418" s="95" t="str">
        <x:v>M2 扩展与复现（5–12月）</x:v>
      </x:c>
      <x:c r="M418" s="95" t="str">
        <x:v>按瓶颈接入</x:v>
      </x:c>
      <x:c r="N418" s="95" t="str">
        <x:v>P1</x:v>
      </x:c>
      <x:c r="O418" s="95" t="str">
        <x:v>https://www.allotrope.org/</x:v>
      </x:c>
      <x:c r="P418" s="96" t="str">
        <x:v>待评审</x:v>
      </x:c>
    </x:row>
    <x:row r="419">
      <x:c r="A419" s="94" t="str">
        <x:v>T0415</x:v>
      </x:c>
      <x:c r="B419" s="95" t="str">
        <x:v>数据与互操作基础设施</x:v>
      </x:c>
      <x:c r="C419" s="95" t="str">
        <x:v>数据基础设施、FAIR、语义与溯源</x:v>
      </x:c>
      <x:c r="D419" s="95" t="str">
        <x:v>关键支撑</x:v>
      </x:c>
      <x:c r="E419" s="100" t="n">
        <x:v>8</x:v>
      </x:c>
      <x:c r="F419" s="95" t="str">
        <x:v>两线共用</x:v>
      </x:c>
      <x:c r="G419" s="95" t="str">
        <x:v>F 数据、协议与复现</x:v>
      </x:c>
      <x:c r="H419" s="95" t="str">
        <x:v>语义版本</x:v>
      </x:c>
      <x:c r="I419" s="95" t="str">
        <x:v>让每个结论可追到样品、批次、协议、原始谱和代码版本。</x:v>
      </x:c>
      <x:c r="J419" s="95" t="str">
        <x:v>建立统一ID、原始数据不可变、协议/代码版本、W3C PROV/RO-Crate复现包。</x:v>
      </x:c>
      <x:c r="K419" s="95" t="str">
        <x:v>可直接支撑当前EIS-only闭环。</x:v>
      </x:c>
      <x:c r="L419" s="95" t="str">
        <x:v>M2 扩展与复现（5–12月）</x:v>
      </x:c>
      <x:c r="M419" s="95" t="str">
        <x:v>按瓶颈接入</x:v>
      </x:c>
      <x:c r="N419" s="95" t="str">
        <x:v>P1</x:v>
      </x:c>
      <x:c r="O419" s="95" t="str">
        <x:v>https://www.animl.org/</x:v>
      </x:c>
      <x:c r="P419" s="96" t="str">
        <x:v>待评审</x:v>
      </x:c>
    </x:row>
    <x:row r="420">
      <x:c r="A420" s="94" t="str">
        <x:v>T0416</x:v>
      </x:c>
      <x:c r="B420" s="95" t="str">
        <x:v>数据与互操作基础设施</x:v>
      </x:c>
      <x:c r="C420" s="95" t="str">
        <x:v>数据基础设施、FAIR、语义与溯源</x:v>
      </x:c>
      <x:c r="D420" s="95" t="str">
        <x:v>关键支撑</x:v>
      </x:c>
      <x:c r="E420" s="100" t="n">
        <x:v>8</x:v>
      </x:c>
      <x:c r="F420" s="95" t="str">
        <x:v>两线共用</x:v>
      </x:c>
      <x:c r="G420" s="95" t="str">
        <x:v>F 数据、协议与复现</x:v>
      </x:c>
      <x:c r="H420" s="95" t="str">
        <x:v>高精度时间戳</x:v>
      </x:c>
      <x:c r="I420" s="95" t="str">
        <x:v>让每个结论可追到样品、批次、协议、原始谱和代码版本。</x:v>
      </x:c>
      <x:c r="J420" s="95" t="str">
        <x:v>建立统一ID、原始数据不可变、协议/代码版本、W3C PROV/RO-Crate复现包。</x:v>
      </x:c>
      <x:c r="K420" s="95" t="str">
        <x:v>可直接支撑当前EIS-only闭环。</x:v>
      </x:c>
      <x:c r="L420" s="95" t="str">
        <x:v>M2 扩展与复现（5–12月）</x:v>
      </x:c>
      <x:c r="M420" s="95" t="str">
        <x:v>按瓶颈接入</x:v>
      </x:c>
      <x:c r="N420" s="95" t="str">
        <x:v>P1</x:v>
      </x:c>
      <x:c r="O420" s="95" t="str">
        <x:v>https://www.nature.com/articles/sdata201618</x:v>
      </x:c>
      <x:c r="P420" s="96" t="str">
        <x:v>待评审</x:v>
      </x:c>
    </x:row>
    <x:row r="421">
      <x:c r="A421" s="94" t="str">
        <x:v>T0417</x:v>
      </x:c>
      <x:c r="B421" s="95" t="str">
        <x:v>数据与互操作基础设施</x:v>
      </x:c>
      <x:c r="C421" s="95" t="str">
        <x:v>数据基础设施、FAIR、语义与溯源</x:v>
      </x:c>
      <x:c r="D421" s="95" t="str">
        <x:v>关键支撑</x:v>
      </x:c>
      <x:c r="E421" s="100" t="n">
        <x:v>8</x:v>
      </x:c>
      <x:c r="F421" s="95" t="str">
        <x:v>两线共用</x:v>
      </x:c>
      <x:c r="G421" s="95" t="str">
        <x:v>F 数据、协议与复现</x:v>
      </x:c>
      <x:c r="H421" s="95" t="str">
        <x:v>时钟同步</x:v>
      </x:c>
      <x:c r="I421" s="95" t="str">
        <x:v>让每个结论可追到样品、批次、协议、原始谱和代码版本。</x:v>
      </x:c>
      <x:c r="J421" s="95" t="str">
        <x:v>建立统一ID、原始数据不可变、协议/代码版本、W3C PROV/RO-Crate复现包。</x:v>
      </x:c>
      <x:c r="K421" s="95" t="str">
        <x:v>可直接支撑当前EIS-only闭环。</x:v>
      </x:c>
      <x:c r="L421" s="95" t="str">
        <x:v>M2 扩展与复现（5–12月）</x:v>
      </x:c>
      <x:c r="M421" s="95" t="str">
        <x:v>按瓶颈接入</x:v>
      </x:c>
      <x:c r="N421" s="95" t="str">
        <x:v>P1</x:v>
      </x:c>
      <x:c r="O421" s="95" t="str">
        <x:v>https://www.w3.org/TR/prov-o/</x:v>
      </x:c>
      <x:c r="P421" s="96" t="str">
        <x:v>待评审</x:v>
      </x:c>
    </x:row>
    <x:row r="422">
      <x:c r="A422" s="94" t="str">
        <x:v>T0418</x:v>
      </x:c>
      <x:c r="B422" s="95" t="str">
        <x:v>数据与互操作基础设施</x:v>
      </x:c>
      <x:c r="C422" s="95" t="str">
        <x:v>数据基础设施、FAIR、语义与溯源</x:v>
      </x:c>
      <x:c r="D422" s="95" t="str">
        <x:v>核心必需</x:v>
      </x:c>
      <x:c r="E422" s="100" t="n">
        <x:v>12</x:v>
      </x:c>
      <x:c r="F422" s="95" t="str">
        <x:v>两线共用</x:v>
      </x:c>
      <x:c r="G422" s="95" t="str">
        <x:v>F 数据、协议与复现</x:v>
      </x:c>
      <x:c r="H422" s="95" t="str">
        <x:v>W3C PROV溯源</x:v>
      </x:c>
      <x:c r="I422" s="95" t="str">
        <x:v>让每个结论可追到样品、批次、协议、原始谱和代码版本。</x:v>
      </x:c>
      <x:c r="J422" s="95" t="str">
        <x:v>建立统一ID、原始数据不可变、协议/代码版本、W3C PROV/RO-Crate复现包。</x:v>
      </x:c>
      <x:c r="K422" s="95" t="str">
        <x:v>可直接支撑当前EIS-only闭环。</x:v>
      </x:c>
      <x:c r="L422" s="95" t="str">
        <x:v>M0 主流程接入（0–2月）</x:v>
      </x:c>
      <x:c r="M422" s="95" t="str">
        <x:v>首批接入</x:v>
      </x:c>
      <x:c r="N422" s="95" t="str">
        <x:v>P1</x:v>
      </x:c>
      <x:c r="O422" s="95" t="str">
        <x:v>https://www.researchobject.org/ro-crate/specification/1.1/provenance.html</x:v>
      </x:c>
      <x:c r="P422" s="96" t="str">
        <x:v>待评审</x:v>
      </x:c>
    </x:row>
    <x:row r="423">
      <x:c r="A423" s="94" t="str">
        <x:v>T0419</x:v>
      </x:c>
      <x:c r="B423" s="95" t="str">
        <x:v>数据与互操作基础设施</x:v>
      </x:c>
      <x:c r="C423" s="95" t="str">
        <x:v>数据基础设施、FAIR、语义与溯源</x:v>
      </x:c>
      <x:c r="D423" s="95" t="str">
        <x:v>关键支撑</x:v>
      </x:c>
      <x:c r="E423" s="100" t="n">
        <x:v>10</x:v>
      </x:c>
      <x:c r="F423" s="95" t="str">
        <x:v>两线共用</x:v>
      </x:c>
      <x:c r="G423" s="95" t="str">
        <x:v>F 数据、协议与复现</x:v>
      </x:c>
      <x:c r="H423" s="95" t="str">
        <x:v>RO-Crate封装</x:v>
      </x:c>
      <x:c r="I423" s="95" t="str">
        <x:v>让每个结论可追到样品、批次、协议、原始谱和代码版本。</x:v>
      </x:c>
      <x:c r="J423" s="95" t="str">
        <x:v>建立统一ID、原始数据不可变、协议/代码版本、W3C PROV/RO-Crate复现包。</x:v>
      </x:c>
      <x:c r="K423" s="95" t="str">
        <x:v>可直接支撑当前EIS-only闭环。</x:v>
      </x:c>
      <x:c r="L423" s="95" t="str">
        <x:v>M2 扩展与复现（5–12月）</x:v>
      </x:c>
      <x:c r="M423" s="95" t="str">
        <x:v>按瓶颈接入</x:v>
      </x:c>
      <x:c r="N423" s="95" t="str">
        <x:v>P1</x:v>
      </x:c>
      <x:c r="O423" s="95" t="str">
        <x:v>https://www.allotrope.org/</x:v>
      </x:c>
      <x:c r="P423" s="96" t="str">
        <x:v>待评审</x:v>
      </x:c>
    </x:row>
    <x:row r="424">
      <x:c r="A424" s="94" t="str">
        <x:v>T0420</x:v>
      </x:c>
      <x:c r="B424" s="95" t="str">
        <x:v>数据与互操作基础设施</x:v>
      </x:c>
      <x:c r="C424" s="95" t="str">
        <x:v>数据基础设施、FAIR、语义与溯源</x:v>
      </x:c>
      <x:c r="D424" s="95" t="str">
        <x:v>关键支撑</x:v>
      </x:c>
      <x:c r="E424" s="100" t="n">
        <x:v>10</x:v>
      </x:c>
      <x:c r="F424" s="95" t="str">
        <x:v>两线共用</x:v>
      </x:c>
      <x:c r="G424" s="95" t="str">
        <x:v>F 数据、协议与复现</x:v>
      </x:c>
      <x:c r="H424" s="95" t="str">
        <x:v>数据血缘</x:v>
      </x:c>
      <x:c r="I424" s="95" t="str">
        <x:v>让每个结论可追到样品、批次、协议、原始谱和代码版本。</x:v>
      </x:c>
      <x:c r="J424" s="95" t="str">
        <x:v>建立统一ID、原始数据不可变、协议/代码版本、W3C PROV/RO-Crate复现包。</x:v>
      </x:c>
      <x:c r="K424" s="95" t="str">
        <x:v>可直接支撑当前EIS-only闭环。</x:v>
      </x:c>
      <x:c r="L424" s="95" t="str">
        <x:v>M2 扩展与复现（5–12月）</x:v>
      </x:c>
      <x:c r="M424" s="95" t="str">
        <x:v>按瓶颈接入</x:v>
      </x:c>
      <x:c r="N424" s="95" t="str">
        <x:v>P1</x:v>
      </x:c>
      <x:c r="O424" s="95" t="str">
        <x:v>https://www.animl.org/</x:v>
      </x:c>
      <x:c r="P424" s="96" t="str">
        <x:v>待评审</x:v>
      </x:c>
    </x:row>
    <x:row r="425">
      <x:c r="A425" s="94" t="str">
        <x:v>T0421</x:v>
      </x:c>
      <x:c r="B425" s="95" t="str">
        <x:v>数据与互操作基础设施</x:v>
      </x:c>
      <x:c r="C425" s="95" t="str">
        <x:v>数据基础设施、FAIR、语义与溯源</x:v>
      </x:c>
      <x:c r="D425" s="95" t="str">
        <x:v>核心必需</x:v>
      </x:c>
      <x:c r="E425" s="100" t="n">
        <x:v>12</x:v>
      </x:c>
      <x:c r="F425" s="95" t="str">
        <x:v>两线共用</x:v>
      </x:c>
      <x:c r="G425" s="95" t="str">
        <x:v>F 数据、协议与复现</x:v>
      </x:c>
      <x:c r="H425" s="95" t="str">
        <x:v>原始数据不可变</x:v>
      </x:c>
      <x:c r="I425" s="95" t="str">
        <x:v>让每个结论可追到样品、批次、协议、原始谱和代码版本。</x:v>
      </x:c>
      <x:c r="J425" s="95" t="str">
        <x:v>建立统一ID、原始数据不可变、协议/代码版本、W3C PROV/RO-Crate复现包。</x:v>
      </x:c>
      <x:c r="K425" s="95" t="str">
        <x:v>可直接支撑当前EIS-only闭环。</x:v>
      </x:c>
      <x:c r="L425" s="95" t="str">
        <x:v>M0 主流程接入（0–2月）</x:v>
      </x:c>
      <x:c r="M425" s="95" t="str">
        <x:v>首批接入</x:v>
      </x:c>
      <x:c r="N425" s="95" t="str">
        <x:v>P1</x:v>
      </x:c>
      <x:c r="O425" s="95" t="str">
        <x:v>https://www.nature.com/articles/sdata201618</x:v>
      </x:c>
      <x:c r="P425" s="96" t="str">
        <x:v>待评审</x:v>
      </x:c>
    </x:row>
    <x:row r="426">
      <x:c r="A426" s="94" t="str">
        <x:v>T0422</x:v>
      </x:c>
      <x:c r="B426" s="95" t="str">
        <x:v>数据与互操作基础设施</x:v>
      </x:c>
      <x:c r="C426" s="95" t="str">
        <x:v>数据基础设施、FAIR、语义与溯源</x:v>
      </x:c>
      <x:c r="D426" s="95" t="str">
        <x:v>关键支撑</x:v>
      </x:c>
      <x:c r="E426" s="100" t="n">
        <x:v>10</x:v>
      </x:c>
      <x:c r="F426" s="95" t="str">
        <x:v>两线共用</x:v>
      </x:c>
      <x:c r="G426" s="95" t="str">
        <x:v>F 数据、协议与复现</x:v>
      </x:c>
      <x:c r="H426" s="95" t="str">
        <x:v>校验和</x:v>
      </x:c>
      <x:c r="I426" s="95" t="str">
        <x:v>让每个结论可追到样品、批次、协议、原始谱和代码版本。</x:v>
      </x:c>
      <x:c r="J426" s="95" t="str">
        <x:v>建立统一ID、原始数据不可变、协议/代码版本、W3C PROV/RO-Crate复现包。</x:v>
      </x:c>
      <x:c r="K426" s="95" t="str">
        <x:v>可直接支撑当前EIS-only闭环。</x:v>
      </x:c>
      <x:c r="L426" s="95" t="str">
        <x:v>M2 扩展与复现（5–12月）</x:v>
      </x:c>
      <x:c r="M426" s="95" t="str">
        <x:v>按瓶颈接入</x:v>
      </x:c>
      <x:c r="N426" s="95" t="str">
        <x:v>P1</x:v>
      </x:c>
      <x:c r="O426" s="95" t="str">
        <x:v>https://www.w3.org/TR/prov-o/</x:v>
      </x:c>
      <x:c r="P426" s="96" t="str">
        <x:v>待评审</x:v>
      </x:c>
    </x:row>
    <x:row r="427">
      <x:c r="A427" s="94" t="str">
        <x:v>T0423</x:v>
      </x:c>
      <x:c r="B427" s="95" t="str">
        <x:v>数据与互操作基础设施</x:v>
      </x:c>
      <x:c r="C427" s="95" t="str">
        <x:v>数据基础设施、FAIR、语义与溯源</x:v>
      </x:c>
      <x:c r="D427" s="95" t="str">
        <x:v>关键支撑</x:v>
      </x:c>
      <x:c r="E427" s="100" t="n">
        <x:v>8</x:v>
      </x:c>
      <x:c r="F427" s="95" t="str">
        <x:v>两线共用</x:v>
      </x:c>
      <x:c r="G427" s="95" t="str">
        <x:v>F 数据、协议与复现</x:v>
      </x:c>
      <x:c r="H427" s="95" t="str">
        <x:v>数据湖仓</x:v>
      </x:c>
      <x:c r="I427" s="95" t="str">
        <x:v>让每个结论可追到样品、批次、协议、原始谱和代码版本。</x:v>
      </x:c>
      <x:c r="J427" s="95" t="str">
        <x:v>建立统一ID、原始数据不可变、协议/代码版本、W3C PROV/RO-Crate复现包。</x:v>
      </x:c>
      <x:c r="K427" s="95" t="str">
        <x:v>可直接支撑当前EIS-only闭环。</x:v>
      </x:c>
      <x:c r="L427" s="95" t="str">
        <x:v>M2 扩展与复现（5–12月）</x:v>
      </x:c>
      <x:c r="M427" s="95" t="str">
        <x:v>按瓶颈接入</x:v>
      </x:c>
      <x:c r="N427" s="95" t="str">
        <x:v>P1</x:v>
      </x:c>
      <x:c r="O427" s="95" t="str">
        <x:v>https://www.researchobject.org/ro-crate/specification/1.1/provenance.html</x:v>
      </x:c>
      <x:c r="P427" s="96" t="str">
        <x:v>待评审</x:v>
      </x:c>
    </x:row>
    <x:row r="428">
      <x:c r="A428" s="94" t="str">
        <x:v>T0424</x:v>
      </x:c>
      <x:c r="B428" s="95" t="str">
        <x:v>数据与互操作基础设施</x:v>
      </x:c>
      <x:c r="C428" s="95" t="str">
        <x:v>数据基础设施、FAIR、语义与溯源</x:v>
      </x:c>
      <x:c r="D428" s="95" t="str">
        <x:v>关键支撑</x:v>
      </x:c>
      <x:c r="E428" s="100" t="n">
        <x:v>8</x:v>
      </x:c>
      <x:c r="F428" s="95" t="str">
        <x:v>两线共用</x:v>
      </x:c>
      <x:c r="G428" s="95" t="str">
        <x:v>F 数据、协议与复现</x:v>
      </x:c>
      <x:c r="H428" s="95" t="str">
        <x:v>时序数据库</x:v>
      </x:c>
      <x:c r="I428" s="95" t="str">
        <x:v>让每个结论可追到样品、批次、协议、原始谱和代码版本。</x:v>
      </x:c>
      <x:c r="J428" s="95" t="str">
        <x:v>建立统一ID、原始数据不可变、协议/代码版本、W3C PROV/RO-Crate复现包。</x:v>
      </x:c>
      <x:c r="K428" s="95" t="str">
        <x:v>可直接支撑当前EIS-only闭环。</x:v>
      </x:c>
      <x:c r="L428" s="95" t="str">
        <x:v>M2 扩展与复现（5–12月）</x:v>
      </x:c>
      <x:c r="M428" s="95" t="str">
        <x:v>按瓶颈接入</x:v>
      </x:c>
      <x:c r="N428" s="95" t="str">
        <x:v>P1</x:v>
      </x:c>
      <x:c r="O428" s="95" t="str">
        <x:v>https://www.allotrope.org/</x:v>
      </x:c>
      <x:c r="P428" s="96" t="str">
        <x:v>待评审</x:v>
      </x:c>
    </x:row>
    <x:row r="429">
      <x:c r="A429" s="94" t="str">
        <x:v>T0425</x:v>
      </x:c>
      <x:c r="B429" s="95" t="str">
        <x:v>数据与互操作基础设施</x:v>
      </x:c>
      <x:c r="C429" s="95" t="str">
        <x:v>数据基础设施、FAIR、语义与溯源</x:v>
      </x:c>
      <x:c r="D429" s="95" t="str">
        <x:v>关键支撑</x:v>
      </x:c>
      <x:c r="E429" s="100" t="n">
        <x:v>8</x:v>
      </x:c>
      <x:c r="F429" s="95" t="str">
        <x:v>两线共用</x:v>
      </x:c>
      <x:c r="G429" s="95" t="str">
        <x:v>F 数据、协议与复现</x:v>
      </x:c>
      <x:c r="H429" s="95" t="str">
        <x:v>对象存储</x:v>
      </x:c>
      <x:c r="I429" s="95" t="str">
        <x:v>让每个结论可追到样品、批次、协议、原始谱和代码版本。</x:v>
      </x:c>
      <x:c r="J429" s="95" t="str">
        <x:v>建立统一ID、原始数据不可变、协议/代码版本、W3C PROV/RO-Crate复现包。</x:v>
      </x:c>
      <x:c r="K429" s="95" t="str">
        <x:v>可直接支撑当前EIS-only闭环。</x:v>
      </x:c>
      <x:c r="L429" s="95" t="str">
        <x:v>M2 扩展与复现（5–12月）</x:v>
      </x:c>
      <x:c r="M429" s="95" t="str">
        <x:v>按瓶颈接入</x:v>
      </x:c>
      <x:c r="N429" s="95" t="str">
        <x:v>P1</x:v>
      </x:c>
      <x:c r="O429" s="95" t="str">
        <x:v>https://www.animl.org/</x:v>
      </x:c>
      <x:c r="P429" s="96" t="str">
        <x:v>待评审</x:v>
      </x:c>
    </x:row>
    <x:row r="430">
      <x:c r="A430" s="94" t="str">
        <x:v>T0426</x:v>
      </x:c>
      <x:c r="B430" s="95" t="str">
        <x:v>数据与互操作基础设施</x:v>
      </x:c>
      <x:c r="C430" s="95" t="str">
        <x:v>数据基础设施、FAIR、语义与溯源</x:v>
      </x:c>
      <x:c r="D430" s="95" t="str">
        <x:v>关键支撑</x:v>
      </x:c>
      <x:c r="E430" s="100" t="n">
        <x:v>8</x:v>
      </x:c>
      <x:c r="F430" s="95" t="str">
        <x:v>两线共用</x:v>
      </x:c>
      <x:c r="G430" s="95" t="str">
        <x:v>F 数据、协议与复现</x:v>
      </x:c>
      <x:c r="H430" s="95" t="str">
        <x:v>关系数据库</x:v>
      </x:c>
      <x:c r="I430" s="95" t="str">
        <x:v>让每个结论可追到样品、批次、协议、原始谱和代码版本。</x:v>
      </x:c>
      <x:c r="J430" s="95" t="str">
        <x:v>建立统一ID、原始数据不可变、协议/代码版本、W3C PROV/RO-Crate复现包。</x:v>
      </x:c>
      <x:c r="K430" s="95" t="str">
        <x:v>可直接支撑当前EIS-only闭环。</x:v>
      </x:c>
      <x:c r="L430" s="95" t="str">
        <x:v>M2 扩展与复现（5–12月）</x:v>
      </x:c>
      <x:c r="M430" s="95" t="str">
        <x:v>按瓶颈接入</x:v>
      </x:c>
      <x:c r="N430" s="95" t="str">
        <x:v>P1</x:v>
      </x:c>
      <x:c r="O430" s="95" t="str">
        <x:v>https://www.nature.com/articles/sdata201618</x:v>
      </x:c>
      <x:c r="P430" s="96" t="str">
        <x:v>待评审</x:v>
      </x:c>
    </x:row>
    <x:row r="431">
      <x:c r="A431" s="94" t="str">
        <x:v>T0427</x:v>
      </x:c>
      <x:c r="B431" s="95" t="str">
        <x:v>数据与互操作基础设施</x:v>
      </x:c>
      <x:c r="C431" s="95" t="str">
        <x:v>数据基础设施、FAIR、语义与溯源</x:v>
      </x:c>
      <x:c r="D431" s="95" t="str">
        <x:v>关键支撑</x:v>
      </x:c>
      <x:c r="E431" s="100" t="n">
        <x:v>8</x:v>
      </x:c>
      <x:c r="F431" s="95" t="str">
        <x:v>两线共用</x:v>
      </x:c>
      <x:c r="G431" s="95" t="str">
        <x:v>F 数据、协议与复现</x:v>
      </x:c>
      <x:c r="H431" s="95" t="str">
        <x:v>图数据库</x:v>
      </x:c>
      <x:c r="I431" s="95" t="str">
        <x:v>让每个结论可追到样品、批次、协议、原始谱和代码版本。</x:v>
      </x:c>
      <x:c r="J431" s="95" t="str">
        <x:v>建立统一ID、原始数据不可变、协议/代码版本、W3C PROV/RO-Crate复现包。</x:v>
      </x:c>
      <x:c r="K431" s="95" t="str">
        <x:v>可直接支撑当前EIS-only闭环。</x:v>
      </x:c>
      <x:c r="L431" s="95" t="str">
        <x:v>M2 扩展与复现（5–12月）</x:v>
      </x:c>
      <x:c r="M431" s="95" t="str">
        <x:v>按瓶颈接入</x:v>
      </x:c>
      <x:c r="N431" s="95" t="str">
        <x:v>P1</x:v>
      </x:c>
      <x:c r="O431" s="95" t="str">
        <x:v>https://www.w3.org/TR/prov-o/</x:v>
      </x:c>
      <x:c r="P431" s="96" t="str">
        <x:v>待评审</x:v>
      </x:c>
    </x:row>
    <x:row r="432">
      <x:c r="A432" s="94" t="str">
        <x:v>T0428</x:v>
      </x:c>
      <x:c r="B432" s="95" t="str">
        <x:v>数据与互操作基础设施</x:v>
      </x:c>
      <x:c r="C432" s="95" t="str">
        <x:v>数据基础设施、FAIR、语义与溯源</x:v>
      </x:c>
      <x:c r="D432" s="95" t="str">
        <x:v>关键支撑</x:v>
      </x:c>
      <x:c r="E432" s="100" t="n">
        <x:v>8</x:v>
      </x:c>
      <x:c r="F432" s="95" t="str">
        <x:v>两线共用</x:v>
      </x:c>
      <x:c r="G432" s="95" t="str">
        <x:v>F 数据、协议与复现</x:v>
      </x:c>
      <x:c r="H432" s="95" t="str">
        <x:v>向量数据库</x:v>
      </x:c>
      <x:c r="I432" s="95" t="str">
        <x:v>让每个结论可追到样品、批次、协议、原始谱和代码版本。</x:v>
      </x:c>
      <x:c r="J432" s="95" t="str">
        <x:v>建立统一ID、原始数据不可变、协议/代码版本、W3C PROV/RO-Crate复现包。</x:v>
      </x:c>
      <x:c r="K432" s="95" t="str">
        <x:v>可直接支撑当前EIS-only闭环。</x:v>
      </x:c>
      <x:c r="L432" s="95" t="str">
        <x:v>M2 扩展与复现（5–12月）</x:v>
      </x:c>
      <x:c r="M432" s="95" t="str">
        <x:v>按瓶颈接入</x:v>
      </x:c>
      <x:c r="N432" s="95" t="str">
        <x:v>P1</x:v>
      </x:c>
      <x:c r="O432" s="95" t="str">
        <x:v>https://www.researchobject.org/ro-crate/specification/1.1/provenance.html</x:v>
      </x:c>
      <x:c r="P432" s="96" t="str">
        <x:v>待评审</x:v>
      </x:c>
    </x:row>
    <x:row r="433">
      <x:c r="A433" s="94" t="str">
        <x:v>T0429</x:v>
      </x:c>
      <x:c r="B433" s="95" t="str">
        <x:v>数据与互操作基础设施</x:v>
      </x:c>
      <x:c r="C433" s="95" t="str">
        <x:v>数据基础设施、FAIR、语义与溯源</x:v>
      </x:c>
      <x:c r="D433" s="95" t="str">
        <x:v>关键支撑</x:v>
      </x:c>
      <x:c r="E433" s="100" t="n">
        <x:v>8</x:v>
      </x:c>
      <x:c r="F433" s="95" t="str">
        <x:v>两线共用</x:v>
      </x:c>
      <x:c r="G433" s="95" t="str">
        <x:v>F 数据、协议与复现</x:v>
      </x:c>
      <x:c r="H433" s="95" t="str">
        <x:v>ELN</x:v>
      </x:c>
      <x:c r="I433" s="95" t="str">
        <x:v>让每个结论可追到样品、批次、协议、原始谱和代码版本。</x:v>
      </x:c>
      <x:c r="J433" s="95" t="str">
        <x:v>建立统一ID、原始数据不可变、协议/代码版本、W3C PROV/RO-Crate复现包。</x:v>
      </x:c>
      <x:c r="K433" s="95" t="str">
        <x:v>可直接支撑当前EIS-only闭环。</x:v>
      </x:c>
      <x:c r="L433" s="95" t="str">
        <x:v>M2 扩展与复现（5–12月）</x:v>
      </x:c>
      <x:c r="M433" s="95" t="str">
        <x:v>按瓶颈接入</x:v>
      </x:c>
      <x:c r="N433" s="95" t="str">
        <x:v>P2</x:v>
      </x:c>
      <x:c r="O433" s="95" t="str">
        <x:v>https://www.allotrope.org/</x:v>
      </x:c>
      <x:c r="P433" s="96" t="str">
        <x:v>待评审</x:v>
      </x:c>
    </x:row>
    <x:row r="434">
      <x:c r="A434" s="94" t="str">
        <x:v>T0430</x:v>
      </x:c>
      <x:c r="B434" s="95" t="str">
        <x:v>数据与互操作基础设施</x:v>
      </x:c>
      <x:c r="C434" s="95" t="str">
        <x:v>数据基础设施、FAIR、语义与溯源</x:v>
      </x:c>
      <x:c r="D434" s="95" t="str">
        <x:v>关键支撑</x:v>
      </x:c>
      <x:c r="E434" s="100" t="n">
        <x:v>8</x:v>
      </x:c>
      <x:c r="F434" s="95" t="str">
        <x:v>两线共用</x:v>
      </x:c>
      <x:c r="G434" s="95" t="str">
        <x:v>F 数据、协议与复现</x:v>
      </x:c>
      <x:c r="H434" s="95" t="str">
        <x:v>LIMS</x:v>
      </x:c>
      <x:c r="I434" s="95" t="str">
        <x:v>让每个结论可追到样品、批次、协议、原始谱和代码版本。</x:v>
      </x:c>
      <x:c r="J434" s="95" t="str">
        <x:v>建立统一ID、原始数据不可变、协议/代码版本、W3C PROV/RO-Crate复现包。</x:v>
      </x:c>
      <x:c r="K434" s="95" t="str">
        <x:v>可直接支撑当前EIS-only闭环。</x:v>
      </x:c>
      <x:c r="L434" s="95" t="str">
        <x:v>M2 扩展与复现（5–12月）</x:v>
      </x:c>
      <x:c r="M434" s="95" t="str">
        <x:v>按瓶颈接入</x:v>
      </x:c>
      <x:c r="N434" s="95" t="str">
        <x:v>P2</x:v>
      </x:c>
      <x:c r="O434" s="95" t="str">
        <x:v>https://www.animl.org/</x:v>
      </x:c>
      <x:c r="P434" s="96" t="str">
        <x:v>待评审</x:v>
      </x:c>
    </x:row>
    <x:row r="435">
      <x:c r="A435" s="94" t="str">
        <x:v>T0431</x:v>
      </x:c>
      <x:c r="B435" s="95" t="str">
        <x:v>数据与互操作基础设施</x:v>
      </x:c>
      <x:c r="C435" s="95" t="str">
        <x:v>数据基础设施、FAIR、语义与溯源</x:v>
      </x:c>
      <x:c r="D435" s="95" t="str">
        <x:v>关键支撑</x:v>
      </x:c>
      <x:c r="E435" s="100" t="n">
        <x:v>8</x:v>
      </x:c>
      <x:c r="F435" s="95" t="str">
        <x:v>两线共用</x:v>
      </x:c>
      <x:c r="G435" s="95" t="str">
        <x:v>F 数据、协议与复现</x:v>
      </x:c>
      <x:c r="H435" s="95" t="str">
        <x:v>SDMS</x:v>
      </x:c>
      <x:c r="I435" s="95" t="str">
        <x:v>让每个结论可追到样品、批次、协议、原始谱和代码版本。</x:v>
      </x:c>
      <x:c r="J435" s="95" t="str">
        <x:v>建立统一ID、原始数据不可变、协议/代码版本、W3C PROV/RO-Crate复现包。</x:v>
      </x:c>
      <x:c r="K435" s="95" t="str">
        <x:v>可直接支撑当前EIS-only闭环。</x:v>
      </x:c>
      <x:c r="L435" s="95" t="str">
        <x:v>M2 扩展与复现（5–12月）</x:v>
      </x:c>
      <x:c r="M435" s="95" t="str">
        <x:v>按瓶颈接入</x:v>
      </x:c>
      <x:c r="N435" s="95" t="str">
        <x:v>P2</x:v>
      </x:c>
      <x:c r="O435" s="95" t="str">
        <x:v>https://www.nature.com/articles/sdata201618</x:v>
      </x:c>
      <x:c r="P435" s="96" t="str">
        <x:v>待评审</x:v>
      </x:c>
    </x:row>
    <x:row r="436">
      <x:c r="A436" s="94" t="str">
        <x:v>T0432</x:v>
      </x:c>
      <x:c r="B436" s="95" t="str">
        <x:v>数据与互操作基础设施</x:v>
      </x:c>
      <x:c r="C436" s="95" t="str">
        <x:v>数据基础设施、FAIR、语义与溯源</x:v>
      </x:c>
      <x:c r="D436" s="95" t="str">
        <x:v>关键支撑</x:v>
      </x:c>
      <x:c r="E436" s="100" t="n">
        <x:v>8</x:v>
      </x:c>
      <x:c r="F436" s="95" t="str">
        <x:v>两线共用</x:v>
      </x:c>
      <x:c r="G436" s="95" t="str">
        <x:v>F 数据、协议与复现</x:v>
      </x:c>
      <x:c r="H436" s="95" t="str">
        <x:v>数据目录</x:v>
      </x:c>
      <x:c r="I436" s="95" t="str">
        <x:v>让每个结论可追到样品、批次、协议、原始谱和代码版本。</x:v>
      </x:c>
      <x:c r="J436" s="95" t="str">
        <x:v>建立统一ID、原始数据不可变、协议/代码版本、W3C PROV/RO-Crate复现包。</x:v>
      </x:c>
      <x:c r="K436" s="95" t="str">
        <x:v>可直接支撑当前EIS-only闭环。</x:v>
      </x:c>
      <x:c r="L436" s="95" t="str">
        <x:v>M2 扩展与复现（5–12月）</x:v>
      </x:c>
      <x:c r="M436" s="95" t="str">
        <x:v>按瓶颈接入</x:v>
      </x:c>
      <x:c r="N436" s="95" t="str">
        <x:v>P2</x:v>
      </x:c>
      <x:c r="O436" s="95" t="str">
        <x:v>https://www.w3.org/TR/prov-o/</x:v>
      </x:c>
      <x:c r="P436" s="96" t="str">
        <x:v>待评审</x:v>
      </x:c>
    </x:row>
    <x:row r="437">
      <x:c r="A437" s="94" t="str">
        <x:v>T0433</x:v>
      </x:c>
      <x:c r="B437" s="95" t="str">
        <x:v>数据与互操作基础设施</x:v>
      </x:c>
      <x:c r="C437" s="95" t="str">
        <x:v>数据基础设施、FAIR、语义与溯源</x:v>
      </x:c>
      <x:c r="D437" s="95" t="str">
        <x:v>关键支撑</x:v>
      </x:c>
      <x:c r="E437" s="100" t="n">
        <x:v>8</x:v>
      </x:c>
      <x:c r="F437" s="95" t="str">
        <x:v>两线共用</x:v>
      </x:c>
      <x:c r="G437" s="95" t="str">
        <x:v>F 数据、协议与复现</x:v>
      </x:c>
      <x:c r="H437" s="95" t="str">
        <x:v>模式注册表</x:v>
      </x:c>
      <x:c r="I437" s="95" t="str">
        <x:v>让每个结论可追到样品、批次、协议、原始谱和代码版本。</x:v>
      </x:c>
      <x:c r="J437" s="95" t="str">
        <x:v>建立统一ID、原始数据不可变、协议/代码版本、W3C PROV/RO-Crate复现包。</x:v>
      </x:c>
      <x:c r="K437" s="95" t="str">
        <x:v>可直接支撑当前EIS-only闭环。</x:v>
      </x:c>
      <x:c r="L437" s="95" t="str">
        <x:v>M2 扩展与复现（5–12月）</x:v>
      </x:c>
      <x:c r="M437" s="95" t="str">
        <x:v>按瓶颈接入</x:v>
      </x:c>
      <x:c r="N437" s="95" t="str">
        <x:v>P2</x:v>
      </x:c>
      <x:c r="O437" s="95" t="str">
        <x:v>https://www.researchobject.org/ro-crate/specification/1.1/provenance.html</x:v>
      </x:c>
      <x:c r="P437" s="96" t="str">
        <x:v>待评审</x:v>
      </x:c>
    </x:row>
    <x:row r="438">
      <x:c r="A438" s="94" t="str">
        <x:v>T0434</x:v>
      </x:c>
      <x:c r="B438" s="95" t="str">
        <x:v>数据与互操作基础设施</x:v>
      </x:c>
      <x:c r="C438" s="95" t="str">
        <x:v>数据基础设施、FAIR、语义与溯源</x:v>
      </x:c>
      <x:c r="D438" s="95" t="str">
        <x:v>核心必需</x:v>
      </x:c>
      <x:c r="E438" s="100" t="n">
        <x:v>12</x:v>
      </x:c>
      <x:c r="F438" s="95" t="str">
        <x:v>两线共用</x:v>
      </x:c>
      <x:c r="G438" s="95" t="str">
        <x:v>F 数据、协议与复现</x:v>
      </x:c>
      <x:c r="H438" s="95" t="str">
        <x:v>单位与量纲管理</x:v>
      </x:c>
      <x:c r="I438" s="95" t="str">
        <x:v>让每个结论可追到样品、批次、协议、原始谱和代码版本。</x:v>
      </x:c>
      <x:c r="J438" s="95" t="str">
        <x:v>建立统一ID、原始数据不可变、协议/代码版本、W3C PROV/RO-Crate复现包。</x:v>
      </x:c>
      <x:c r="K438" s="95" t="str">
        <x:v>可直接支撑当前EIS-only闭环。</x:v>
      </x:c>
      <x:c r="L438" s="95" t="str">
        <x:v>M0 主流程接入（0–2月）</x:v>
      </x:c>
      <x:c r="M438" s="95" t="str">
        <x:v>首批接入</x:v>
      </x:c>
      <x:c r="N438" s="95" t="str">
        <x:v>P2</x:v>
      </x:c>
      <x:c r="O438" s="95" t="str">
        <x:v>https://www.allotrope.org/</x:v>
      </x:c>
      <x:c r="P438" s="96" t="str">
        <x:v>待评审</x:v>
      </x:c>
    </x:row>
    <x:row r="439">
      <x:c r="A439" s="94" t="str">
        <x:v>T0435</x:v>
      </x:c>
      <x:c r="B439" s="95" t="str">
        <x:v>数据与互操作基础设施</x:v>
      </x:c>
      <x:c r="C439" s="95" t="str">
        <x:v>数据基础设施、FAIR、语义与溯源</x:v>
      </x:c>
      <x:c r="D439" s="95" t="str">
        <x:v>关键支撑</x:v>
      </x:c>
      <x:c r="E439" s="100" t="n">
        <x:v>10</x:v>
      </x:c>
      <x:c r="F439" s="95" t="str">
        <x:v>两线共用</x:v>
      </x:c>
      <x:c r="G439" s="95" t="str">
        <x:v>F 数据、协议与复现</x:v>
      </x:c>
      <x:c r="H439" s="95" t="str">
        <x:v>缺失数据编码</x:v>
      </x:c>
      <x:c r="I439" s="95" t="str">
        <x:v>让每个结论可追到样品、批次、协议、原始谱和代码版本。</x:v>
      </x:c>
      <x:c r="J439" s="95" t="str">
        <x:v>建立统一ID、原始数据不可变、协议/代码版本、W3C PROV/RO-Crate复现包。</x:v>
      </x:c>
      <x:c r="K439" s="95" t="str">
        <x:v>可直接支撑当前EIS-only闭环。</x:v>
      </x:c>
      <x:c r="L439" s="95" t="str">
        <x:v>M2 扩展与复现（5–12月）</x:v>
      </x:c>
      <x:c r="M439" s="95" t="str">
        <x:v>按瓶颈接入</x:v>
      </x:c>
      <x:c r="N439" s="95" t="str">
        <x:v>P2</x:v>
      </x:c>
      <x:c r="O439" s="95" t="str">
        <x:v>https://www.animl.org/</x:v>
      </x:c>
      <x:c r="P439" s="96" t="str">
        <x:v>待评审</x:v>
      </x:c>
    </x:row>
    <x:row r="440">
      <x:c r="A440" s="94" t="str">
        <x:v>T0436</x:v>
      </x:c>
      <x:c r="B440" s="95" t="str">
        <x:v>数据与互操作基础设施</x:v>
      </x:c>
      <x:c r="C440" s="95" t="str">
        <x:v>数据基础设施、FAIR、语义与溯源</x:v>
      </x:c>
      <x:c r="D440" s="95" t="str">
        <x:v>关键支撑</x:v>
      </x:c>
      <x:c r="E440" s="100" t="n">
        <x:v>10</x:v>
      </x:c>
      <x:c r="F440" s="95" t="str">
        <x:v>两线共用</x:v>
      </x:c>
      <x:c r="G440" s="95" t="str">
        <x:v>F 数据、协议与复现</x:v>
      </x:c>
      <x:c r="H440" s="95" t="str">
        <x:v>数据质量规则</x:v>
      </x:c>
      <x:c r="I440" s="95" t="str">
        <x:v>让每个结论可追到样品、批次、协议、原始谱和代码版本。</x:v>
      </x:c>
      <x:c r="J440" s="95" t="str">
        <x:v>建立统一ID、原始数据不可变、协议/代码版本、W3C PROV/RO-Crate复现包。</x:v>
      </x:c>
      <x:c r="K440" s="95" t="str">
        <x:v>可直接支撑当前EIS-only闭环。</x:v>
      </x:c>
      <x:c r="L440" s="95" t="str">
        <x:v>M2 扩展与复现（5–12月）</x:v>
      </x:c>
      <x:c r="M440" s="95" t="str">
        <x:v>按瓶颈接入</x:v>
      </x:c>
      <x:c r="N440" s="95" t="str">
        <x:v>P2</x:v>
      </x:c>
      <x:c r="O440" s="95" t="str">
        <x:v>https://www.nature.com/articles/sdata201618</x:v>
      </x:c>
      <x:c r="P440" s="96" t="str">
        <x:v>待评审</x:v>
      </x:c>
    </x:row>
    <x:row r="441">
      <x:c r="A441" s="94" t="str">
        <x:v>T0437</x:v>
      </x:c>
      <x:c r="B441" s="95" t="str">
        <x:v>数据与互操作基础设施</x:v>
      </x:c>
      <x:c r="C441" s="95" t="str">
        <x:v>数据基础设施、FAIR、语义与溯源</x:v>
      </x:c>
      <x:c r="D441" s="95" t="str">
        <x:v>关键支撑</x:v>
      </x:c>
      <x:c r="E441" s="100" t="n">
        <x:v>8</x:v>
      </x:c>
      <x:c r="F441" s="95" t="str">
        <x:v>两线共用</x:v>
      </x:c>
      <x:c r="G441" s="95" t="str">
        <x:v>F 数据、协议与复现</x:v>
      </x:c>
      <x:c r="H441" s="95" t="str">
        <x:v>ALCOA+数据完整性</x:v>
      </x:c>
      <x:c r="I441" s="95" t="str">
        <x:v>让每个结论可追到样品、批次、协议、原始谱和代码版本。</x:v>
      </x:c>
      <x:c r="J441" s="95" t="str">
        <x:v>建立统一ID、原始数据不可变、协议/代码版本、W3C PROV/RO-Crate复现包。</x:v>
      </x:c>
      <x:c r="K441" s="95" t="str">
        <x:v>可直接支撑当前EIS-only闭环。</x:v>
      </x:c>
      <x:c r="L441" s="95" t="str">
        <x:v>M2 扩展与复现（5–12月）</x:v>
      </x:c>
      <x:c r="M441" s="95" t="str">
        <x:v>按瓶颈接入</x:v>
      </x:c>
      <x:c r="N441" s="95" t="str">
        <x:v>P2</x:v>
      </x:c>
      <x:c r="O441" s="95" t="str">
        <x:v>https://www.w3.org/TR/prov-o/</x:v>
      </x:c>
      <x:c r="P441" s="96" t="str">
        <x:v>待评审</x:v>
      </x:c>
    </x:row>
    <x:row r="442">
      <x:c r="A442" s="94" t="str">
        <x:v>T0438</x:v>
      </x:c>
      <x:c r="B442" s="95" t="str">
        <x:v>数据与互操作基础设施</x:v>
      </x:c>
      <x:c r="C442" s="95" t="str">
        <x:v>数据基础设施、FAIR、语义与溯源</x:v>
      </x:c>
      <x:c r="D442" s="95" t="str">
        <x:v>关键支撑</x:v>
      </x:c>
      <x:c r="E442" s="100" t="n">
        <x:v>10</x:v>
      </x:c>
      <x:c r="F442" s="95" t="str">
        <x:v>两线共用</x:v>
      </x:c>
      <x:c r="G442" s="95" t="str">
        <x:v>F 数据、协议与复现</x:v>
      </x:c>
      <x:c r="H442" s="95" t="str">
        <x:v>审计追踪</x:v>
      </x:c>
      <x:c r="I442" s="95" t="str">
        <x:v>让每个结论可追到样品、批次、协议、原始谱和代码版本。</x:v>
      </x:c>
      <x:c r="J442" s="95" t="str">
        <x:v>建立统一ID、原始数据不可变、协议/代码版本、W3C PROV/RO-Crate复现包。</x:v>
      </x:c>
      <x:c r="K442" s="95" t="str">
        <x:v>可直接支撑当前EIS-only闭环。</x:v>
      </x:c>
      <x:c r="L442" s="95" t="str">
        <x:v>M2 扩展与复现（5–12月）</x:v>
      </x:c>
      <x:c r="M442" s="95" t="str">
        <x:v>按瓶颈接入</x:v>
      </x:c>
      <x:c r="N442" s="95" t="str">
        <x:v>P2</x:v>
      </x:c>
      <x:c r="O442" s="95" t="str">
        <x:v>https://www.researchobject.org/ro-crate/specification/1.1/provenance.html</x:v>
      </x:c>
      <x:c r="P442" s="96" t="str">
        <x:v>待评审</x:v>
      </x:c>
    </x:row>
    <x:row r="443">
      <x:c r="A443" s="94" t="str">
        <x:v>T0439</x:v>
      </x:c>
      <x:c r="B443" s="95" t="str">
        <x:v>数据与互操作基础设施</x:v>
      </x:c>
      <x:c r="C443" s="95" t="str">
        <x:v>数据基础设施、FAIR、语义与溯源</x:v>
      </x:c>
      <x:c r="D443" s="95" t="str">
        <x:v>关键支撑</x:v>
      </x:c>
      <x:c r="E443" s="100" t="n">
        <x:v>8</x:v>
      </x:c>
      <x:c r="F443" s="95" t="str">
        <x:v>两线共用</x:v>
      </x:c>
      <x:c r="G443" s="95" t="str">
        <x:v>F 数据、协议与复现</x:v>
      </x:c>
      <x:c r="H443" s="95" t="str">
        <x:v>数据保留策略</x:v>
      </x:c>
      <x:c r="I443" s="95" t="str">
        <x:v>让每个结论可追到样品、批次、协议、原始谱和代码版本。</x:v>
      </x:c>
      <x:c r="J443" s="95" t="str">
        <x:v>建立统一ID、原始数据不可变、协议/代码版本、W3C PROV/RO-Crate复现包。</x:v>
      </x:c>
      <x:c r="K443" s="95" t="str">
        <x:v>可直接支撑当前EIS-only闭环。</x:v>
      </x:c>
      <x:c r="L443" s="95" t="str">
        <x:v>M2 扩展与复现（5–12月）</x:v>
      </x:c>
      <x:c r="M443" s="95" t="str">
        <x:v>按瓶颈接入</x:v>
      </x:c>
      <x:c r="N443" s="95" t="str">
        <x:v>P2</x:v>
      </x:c>
      <x:c r="O443" s="95" t="str">
        <x:v>https://www.allotrope.org/</x:v>
      </x:c>
      <x:c r="P443" s="96" t="str">
        <x:v>待评审</x:v>
      </x:c>
    </x:row>
    <x:row r="444">
      <x:c r="A444" s="94" t="str">
        <x:v>T0440</x:v>
      </x:c>
      <x:c r="B444" s="95" t="str">
        <x:v>数据与互操作基础设施</x:v>
      </x:c>
      <x:c r="C444" s="95" t="str">
        <x:v>数据基础设施、FAIR、语义与溯源</x:v>
      </x:c>
      <x:c r="D444" s="95" t="str">
        <x:v>关键支撑</x:v>
      </x:c>
      <x:c r="E444" s="100" t="n">
        <x:v>10</x:v>
      </x:c>
      <x:c r="F444" s="95" t="str">
        <x:v>两线共用</x:v>
      </x:c>
      <x:c r="G444" s="95" t="str">
        <x:v>F 数据、协议与复现</x:v>
      </x:c>
      <x:c r="H444" s="95" t="str">
        <x:v>机器可行动数据</x:v>
      </x:c>
      <x:c r="I444" s="95" t="str">
        <x:v>让每个结论可追到样品、批次、协议、原始谱和代码版本。</x:v>
      </x:c>
      <x:c r="J444" s="95" t="str">
        <x:v>建立统一ID、原始数据不可变、协议/代码版本、W3C PROV/RO-Crate复现包。</x:v>
      </x:c>
      <x:c r="K444" s="95" t="str">
        <x:v>可直接支撑当前EIS-only闭环。</x:v>
      </x:c>
      <x:c r="L444" s="95" t="str">
        <x:v>M2 扩展与复现（5–12月）</x:v>
      </x:c>
      <x:c r="M444" s="95" t="str">
        <x:v>按瓶颈接入</x:v>
      </x:c>
      <x:c r="N444" s="95" t="str">
        <x:v>P2</x:v>
      </x:c>
      <x:c r="O444" s="95" t="str">
        <x:v>https://www.animl.org/</x:v>
      </x:c>
      <x:c r="P444" s="96" t="str">
        <x:v>待评审</x:v>
      </x:c>
    </x:row>
    <x:row r="445">
      <x:c r="A445" s="94" t="str">
        <x:v>T0441</x:v>
      </x:c>
      <x:c r="B445" s="95" t="str">
        <x:v>数据与互操作基础设施</x:v>
      </x:c>
      <x:c r="C445" s="95" t="str">
        <x:v>互操作、中间件、编排与调度</x:v>
      </x:c>
      <x:c r="D445" s="95" t="str">
        <x:v>研究储备</x:v>
      </x:c>
      <x:c r="E445" s="100" t="n">
        <x:v>5</x:v>
      </x:c>
      <x:c r="F445" s="95" t="str">
        <x:v>两线共用</x:v>
      </x:c>
      <x:c r="G445" s="95" t="str">
        <x:v>F 数据、协议与复现</x:v>
      </x:c>
      <x:c r="H445" s="95" t="str">
        <x:v>SiLA 2</x:v>
      </x:c>
      <x:c r="I445" s="95" t="str">
        <x:v>连接前后端、仪器、分析服务和优化器，并保证幂等与可恢复。</x:v>
      </x:c>
      <x:c r="J445" s="95" t="str">
        <x:v>建立统一ID、原始数据不可变、协议/代码版本、W3C PROV/RO-Crate复现包。</x:v>
      </x:c>
      <x:c r="K445" s="95" t="str">
        <x:v>可直接支撑当前EIS-only闭环。</x:v>
      </x:c>
      <x:c r="L445" s="95" t="str">
        <x:v>M3 研究储备</x:v>
      </x:c>
      <x:c r="M445" s="95" t="str">
        <x:v>条件具备后</x:v>
      </x:c>
      <x:c r="N445" s="95" t="str">
        <x:v>P0</x:v>
      </x:c>
      <x:c r="O445" s="95" t="str">
        <x:v>https://www.science.org/doi/10.1126/scirobotics.aat5559</x:v>
      </x:c>
      <x:c r="P445" s="96" t="str">
        <x:v>待评审</x:v>
      </x:c>
    </x:row>
    <x:row r="446">
      <x:c r="A446" s="94" t="str">
        <x:v>T0442</x:v>
      </x:c>
      <x:c r="B446" s="95" t="str">
        <x:v>数据与互操作基础设施</x:v>
      </x:c>
      <x:c r="C446" s="95" t="str">
        <x:v>互操作、中间件、编排与调度</x:v>
      </x:c>
      <x:c r="D446" s="95" t="str">
        <x:v>研究储备</x:v>
      </x:c>
      <x:c r="E446" s="100" t="n">
        <x:v>5</x:v>
      </x:c>
      <x:c r="F446" s="95" t="str">
        <x:v>两线共用</x:v>
      </x:c>
      <x:c r="G446" s="95" t="str">
        <x:v>F 数据、协议与复现</x:v>
      </x:c>
      <x:c r="H446" s="95" t="str">
        <x:v>OPC UA</x:v>
      </x:c>
      <x:c r="I446" s="95" t="str">
        <x:v>连接前后端、仪器、分析服务和优化器，并保证幂等与可恢复。</x:v>
      </x:c>
      <x:c r="J446" s="95" t="str">
        <x:v>建立统一ID、原始数据不可变、协议/代码版本、W3C PROV/RO-Crate复现包。</x:v>
      </x:c>
      <x:c r="K446" s="95" t="str">
        <x:v>可直接支撑当前EIS-only闭环。</x:v>
      </x:c>
      <x:c r="L446" s="95" t="str">
        <x:v>M3 研究储备</x:v>
      </x:c>
      <x:c r="M446" s="95" t="str">
        <x:v>条件具备后</x:v>
      </x:c>
      <x:c r="N446" s="95" t="str">
        <x:v>P0</x:v>
      </x:c>
      <x:c r="O446" s="95" t="str">
        <x:v>https://sila-standard.com/standards/</x:v>
      </x:c>
      <x:c r="P446" s="96" t="str">
        <x:v>待评审</x:v>
      </x:c>
    </x:row>
    <x:row r="447">
      <x:c r="A447" s="94" t="str">
        <x:v>T0443</x:v>
      </x:c>
      <x:c r="B447" s="95" t="str">
        <x:v>数据与互操作基础设施</x:v>
      </x:c>
      <x:c r="C447" s="95" t="str">
        <x:v>互操作、中间件、编排与调度</x:v>
      </x:c>
      <x:c r="D447" s="95" t="str">
        <x:v>研究储备</x:v>
      </x:c>
      <x:c r="E447" s="100" t="n">
        <x:v>5</x:v>
      </x:c>
      <x:c r="F447" s="95" t="str">
        <x:v>两线共用</x:v>
      </x:c>
      <x:c r="G447" s="95" t="str">
        <x:v>F 数据、协议与复现</x:v>
      </x:c>
      <x:c r="H447" s="95" t="str">
        <x:v>ISA-88</x:v>
      </x:c>
      <x:c r="I447" s="95" t="str">
        <x:v>连接前后端、仪器、分析服务和优化器，并保证幂等与可恢复。</x:v>
      </x:c>
      <x:c r="J447" s="95" t="str">
        <x:v>建立统一ID、原始数据不可变、协议/代码版本、W3C PROV/RO-Crate复现包。</x:v>
      </x:c>
      <x:c r="K447" s="95" t="str">
        <x:v>可直接支撑当前EIS-only闭环。</x:v>
      </x:c>
      <x:c r="L447" s="95" t="str">
        <x:v>M3 研究储备</x:v>
      </x:c>
      <x:c r="M447" s="95" t="str">
        <x:v>条件具备后</x:v>
      </x:c>
      <x:c r="N447" s="95" t="str">
        <x:v>P0</x:v>
      </x:c>
      <x:c r="O447" s="95" t="str">
        <x:v>https://www.isa.org/standards-and-publications/isa-standards/isa-88-standards</x:v>
      </x:c>
      <x:c r="P447" s="96" t="str">
        <x:v>待评审</x:v>
      </x:c>
    </x:row>
    <x:row r="448">
      <x:c r="A448" s="94" t="str">
        <x:v>T0444</x:v>
      </x:c>
      <x:c r="B448" s="95" t="str">
        <x:v>数据与互操作基础设施</x:v>
      </x:c>
      <x:c r="C448" s="95" t="str">
        <x:v>互操作、中间件、编排与调度</x:v>
      </x:c>
      <x:c r="D448" s="95" t="str">
        <x:v>研究储备</x:v>
      </x:c>
      <x:c r="E448" s="100" t="n">
        <x:v>5</x:v>
      </x:c>
      <x:c r="F448" s="95" t="str">
        <x:v>两线共用</x:v>
      </x:c>
      <x:c r="G448" s="95" t="str">
        <x:v>F 数据、协议与复现</x:v>
      </x:c>
      <x:c r="H448" s="95" t="str">
        <x:v>ISA-95</x:v>
      </x:c>
      <x:c r="I448" s="95" t="str">
        <x:v>连接前后端、仪器、分析服务和优化器，并保证幂等与可恢复。</x:v>
      </x:c>
      <x:c r="J448" s="95" t="str">
        <x:v>建立统一ID、原始数据不可变、协议/代码版本、W3C PROV/RO-Crate复现包。</x:v>
      </x:c>
      <x:c r="K448" s="95" t="str">
        <x:v>可直接支撑当前EIS-only闭环。</x:v>
      </x:c>
      <x:c r="L448" s="95" t="str">
        <x:v>M3 研究储备</x:v>
      </x:c>
      <x:c r="M448" s="95" t="str">
        <x:v>条件具备后</x:v>
      </x:c>
      <x:c r="N448" s="95" t="str">
        <x:v>P0</x:v>
      </x:c>
      <x:c r="O448" s="95" t="str">
        <x:v>https://reference.opcfoundation.org/specs/OPC-10030/4/</x:v>
      </x:c>
      <x:c r="P448" s="96" t="str">
        <x:v>待评审</x:v>
      </x:c>
    </x:row>
    <x:row r="449">
      <x:c r="A449" s="94" t="str">
        <x:v>T0445</x:v>
      </x:c>
      <x:c r="B449" s="95" t="str">
        <x:v>数据与互操作基础设施</x:v>
      </x:c>
      <x:c r="C449" s="95" t="str">
        <x:v>互操作、中间件、编排与调度</x:v>
      </x:c>
      <x:c r="D449" s="95" t="str">
        <x:v>研究储备</x:v>
      </x:c>
      <x:c r="E449" s="100" t="n">
        <x:v>5</x:v>
      </x:c>
      <x:c r="F449" s="95" t="str">
        <x:v>两线共用</x:v>
      </x:c>
      <x:c r="G449" s="95" t="str">
        <x:v>F 数据、协议与复现</x:v>
      </x:c>
      <x:c r="H449" s="95" t="str">
        <x:v>AnIML</x:v>
      </x:c>
      <x:c r="I449" s="95" t="str">
        <x:v>连接前后端、仪器、分析服务和优化器，并保证幂等与可恢复。</x:v>
      </x:c>
      <x:c r="J449" s="95" t="str">
        <x:v>建立统一ID、原始数据不可变、协议/代码版本、W3C PROV/RO-Crate复现包。</x:v>
      </x:c>
      <x:c r="K449" s="95" t="str">
        <x:v>可直接支撑当前EIS-only闭环。</x:v>
      </x:c>
      <x:c r="L449" s="95" t="str">
        <x:v>M3 研究储备</x:v>
      </x:c>
      <x:c r="M449" s="95" t="str">
        <x:v>条件具备后</x:v>
      </x:c>
      <x:c r="N449" s="95" t="str">
        <x:v>P0</x:v>
      </x:c>
      <x:c r="O449" s="95" t="str">
        <x:v>https://www.science.org/doi/10.1126/scirobotics.aat5559</x:v>
      </x:c>
      <x:c r="P449" s="96" t="str">
        <x:v>待评审</x:v>
      </x:c>
    </x:row>
    <x:row r="450">
      <x:c r="A450" s="94" t="str">
        <x:v>T0446</x:v>
      </x:c>
      <x:c r="B450" s="95" t="str">
        <x:v>数据与互操作基础设施</x:v>
      </x:c>
      <x:c r="C450" s="95" t="str">
        <x:v>互操作、中间件、编排与调度</x:v>
      </x:c>
      <x:c r="D450" s="95" t="str">
        <x:v>研究储备</x:v>
      </x:c>
      <x:c r="E450" s="100" t="n">
        <x:v>5</x:v>
      </x:c>
      <x:c r="F450" s="95" t="str">
        <x:v>两线共用</x:v>
      </x:c>
      <x:c r="G450" s="95" t="str">
        <x:v>F 数据、协议与复现</x:v>
      </x:c>
      <x:c r="H450" s="95" t="str">
        <x:v>Allotrope</x:v>
      </x:c>
      <x:c r="I450" s="95" t="str">
        <x:v>连接前后端、仪器、分析服务和优化器，并保证幂等与可恢复。</x:v>
      </x:c>
      <x:c r="J450" s="95" t="str">
        <x:v>建立统一ID、原始数据不可变、协议/代码版本、W3C PROV/RO-Crate复现包。</x:v>
      </x:c>
      <x:c r="K450" s="95" t="str">
        <x:v>可直接支撑当前EIS-only闭环。</x:v>
      </x:c>
      <x:c r="L450" s="95" t="str">
        <x:v>M3 研究储备</x:v>
      </x:c>
      <x:c r="M450" s="95" t="str">
        <x:v>条件具备后</x:v>
      </x:c>
      <x:c r="N450" s="95" t="str">
        <x:v>P0</x:v>
      </x:c>
      <x:c r="O450" s="95" t="str">
        <x:v>https://sila-standard.com/standards/</x:v>
      </x:c>
      <x:c r="P450" s="96" t="str">
        <x:v>待评审</x:v>
      </x:c>
    </x:row>
    <x:row r="451">
      <x:c r="A451" s="94" t="str">
        <x:v>T0447</x:v>
      </x:c>
      <x:c r="B451" s="95" t="str">
        <x:v>数据与互操作基础设施</x:v>
      </x:c>
      <x:c r="C451" s="95" t="str">
        <x:v>互操作、中间件、编排与调度</x:v>
      </x:c>
      <x:c r="D451" s="95" t="str">
        <x:v>研究储备</x:v>
      </x:c>
      <x:c r="E451" s="100" t="n">
        <x:v>5</x:v>
      </x:c>
      <x:c r="F451" s="95" t="str">
        <x:v>两线共用</x:v>
      </x:c>
      <x:c r="G451" s="95" t="str">
        <x:v>F 数据、协议与复现</x:v>
      </x:c>
      <x:c r="H451" s="95" t="str">
        <x:v>REST API</x:v>
      </x:c>
      <x:c r="I451" s="95" t="str">
        <x:v>连接前后端、仪器、分析服务和优化器，并保证幂等与可恢复。</x:v>
      </x:c>
      <x:c r="J451" s="95" t="str">
        <x:v>建立统一ID、原始数据不可变、协议/代码版本、W3C PROV/RO-Crate复现包。</x:v>
      </x:c>
      <x:c r="K451" s="95" t="str">
        <x:v>可直接支撑当前EIS-only闭环。</x:v>
      </x:c>
      <x:c r="L451" s="95" t="str">
        <x:v>M3 研究储备</x:v>
      </x:c>
      <x:c r="M451" s="95" t="str">
        <x:v>条件具备后</x:v>
      </x:c>
      <x:c r="N451" s="95" t="str">
        <x:v>P0</x:v>
      </x:c>
      <x:c r="O451" s="95" t="str">
        <x:v>https://www.isa.org/standards-and-publications/isa-standards/isa-88-standards</x:v>
      </x:c>
      <x:c r="P451" s="96" t="str">
        <x:v>待评审</x:v>
      </x:c>
    </x:row>
    <x:row r="452">
      <x:c r="A452" s="94" t="str">
        <x:v>T0448</x:v>
      </x:c>
      <x:c r="B452" s="95" t="str">
        <x:v>数据与互操作基础设施</x:v>
      </x:c>
      <x:c r="C452" s="95" t="str">
        <x:v>互操作、中间件、编排与调度</x:v>
      </x:c>
      <x:c r="D452" s="95" t="str">
        <x:v>研究储备</x:v>
      </x:c>
      <x:c r="E452" s="100" t="n">
        <x:v>5</x:v>
      </x:c>
      <x:c r="F452" s="95" t="str">
        <x:v>两线共用</x:v>
      </x:c>
      <x:c r="G452" s="95" t="str">
        <x:v>F 数据、协议与复现</x:v>
      </x:c>
      <x:c r="H452" s="95" t="str">
        <x:v>gRPC</x:v>
      </x:c>
      <x:c r="I452" s="95" t="str">
        <x:v>连接前后端、仪器、分析服务和优化器，并保证幂等与可恢复。</x:v>
      </x:c>
      <x:c r="J452" s="95" t="str">
        <x:v>建立统一ID、原始数据不可变、协议/代码版本、W3C PROV/RO-Crate复现包。</x:v>
      </x:c>
      <x:c r="K452" s="95" t="str">
        <x:v>可直接支撑当前EIS-only闭环。</x:v>
      </x:c>
      <x:c r="L452" s="95" t="str">
        <x:v>M3 研究储备</x:v>
      </x:c>
      <x:c r="M452" s="95" t="str">
        <x:v>条件具备后</x:v>
      </x:c>
      <x:c r="N452" s="95" t="str">
        <x:v>P0</x:v>
      </x:c>
      <x:c r="O452" s="95" t="str">
        <x:v>https://reference.opcfoundation.org/specs/OPC-10030/4/</x:v>
      </x:c>
      <x:c r="P452" s="96" t="str">
        <x:v>待评审</x:v>
      </x:c>
    </x:row>
    <x:row r="453">
      <x:c r="A453" s="94" t="str">
        <x:v>T0449</x:v>
      </x:c>
      <x:c r="B453" s="95" t="str">
        <x:v>数据与互操作基础设施</x:v>
      </x:c>
      <x:c r="C453" s="95" t="str">
        <x:v>互操作、中间件、编排与调度</x:v>
      </x:c>
      <x:c r="D453" s="95" t="str">
        <x:v>研究储备</x:v>
      </x:c>
      <x:c r="E453" s="100" t="n">
        <x:v>5</x:v>
      </x:c>
      <x:c r="F453" s="95" t="str">
        <x:v>两线共用</x:v>
      </x:c>
      <x:c r="G453" s="95" t="str">
        <x:v>F 数据、协议与复现</x:v>
      </x:c>
      <x:c r="H453" s="95" t="str">
        <x:v>MQTT</x:v>
      </x:c>
      <x:c r="I453" s="95" t="str">
        <x:v>连接前后端、仪器、分析服务和优化器，并保证幂等与可恢复。</x:v>
      </x:c>
      <x:c r="J453" s="95" t="str">
        <x:v>建立统一ID、原始数据不可变、协议/代码版本、W3C PROV/RO-Crate复现包。</x:v>
      </x:c>
      <x:c r="K453" s="95" t="str">
        <x:v>可直接支撑当前EIS-only闭环。</x:v>
      </x:c>
      <x:c r="L453" s="95" t="str">
        <x:v>M3 研究储备</x:v>
      </x:c>
      <x:c r="M453" s="95" t="str">
        <x:v>条件具备后</x:v>
      </x:c>
      <x:c r="N453" s="95" t="str">
        <x:v>P0</x:v>
      </x:c>
      <x:c r="O453" s="95" t="str">
        <x:v>https://www.science.org/doi/10.1126/scirobotics.aat5559</x:v>
      </x:c>
      <x:c r="P453" s="96" t="str">
        <x:v>待评审</x:v>
      </x:c>
    </x:row>
    <x:row r="454">
      <x:c r="A454" s="94" t="str">
        <x:v>T0450</x:v>
      </x:c>
      <x:c r="B454" s="95" t="str">
        <x:v>数据与互操作基础设施</x:v>
      </x:c>
      <x:c r="C454" s="95" t="str">
        <x:v>互操作、中间件、编排与调度</x:v>
      </x:c>
      <x:c r="D454" s="95" t="str">
        <x:v>研究储备</x:v>
      </x:c>
      <x:c r="E454" s="100" t="n">
        <x:v>5</x:v>
      </x:c>
      <x:c r="F454" s="95" t="str">
        <x:v>两线共用</x:v>
      </x:c>
      <x:c r="G454" s="95" t="str">
        <x:v>F 数据、协议与复现</x:v>
      </x:c>
      <x:c r="H454" s="95" t="str">
        <x:v>AMQP</x:v>
      </x:c>
      <x:c r="I454" s="95" t="str">
        <x:v>连接前后端、仪器、分析服务和优化器，并保证幂等与可恢复。</x:v>
      </x:c>
      <x:c r="J454" s="95" t="str">
        <x:v>建立统一ID、原始数据不可变、协议/代码版本、W3C PROV/RO-Crate复现包。</x:v>
      </x:c>
      <x:c r="K454" s="95" t="str">
        <x:v>可直接支撑当前EIS-only闭环。</x:v>
      </x:c>
      <x:c r="L454" s="95" t="str">
        <x:v>M3 研究储备</x:v>
      </x:c>
      <x:c r="M454" s="95" t="str">
        <x:v>条件具备后</x:v>
      </x:c>
      <x:c r="N454" s="95" t="str">
        <x:v>P0</x:v>
      </x:c>
      <x:c r="O454" s="95" t="str">
        <x:v>https://sila-standard.com/standards/</x:v>
      </x:c>
      <x:c r="P454" s="96" t="str">
        <x:v>待评审</x:v>
      </x:c>
    </x:row>
    <x:row r="455">
      <x:c r="A455" s="94" t="str">
        <x:v>T0451</x:v>
      </x:c>
      <x:c r="B455" s="95" t="str">
        <x:v>数据与互操作基础设施</x:v>
      </x:c>
      <x:c r="C455" s="95" t="str">
        <x:v>互操作、中间件、编排与调度</x:v>
      </x:c>
      <x:c r="D455" s="95" t="str">
        <x:v>研究储备</x:v>
      </x:c>
      <x:c r="E455" s="100" t="n">
        <x:v>6</x:v>
      </x:c>
      <x:c r="F455" s="95" t="str">
        <x:v>两线共用</x:v>
      </x:c>
      <x:c r="G455" s="95" t="str">
        <x:v>F 数据、协议与复现</x:v>
      </x:c>
      <x:c r="H455" s="95" t="str">
        <x:v>事件总线</x:v>
      </x:c>
      <x:c r="I455" s="95" t="str">
        <x:v>连接前后端、仪器、分析服务和优化器，并保证幂等与可恢复。</x:v>
      </x:c>
      <x:c r="J455" s="95" t="str">
        <x:v>建立统一ID、原始数据不可变、协议/代码版本、W3C PROV/RO-Crate复现包。</x:v>
      </x:c>
      <x:c r="K455" s="95" t="str">
        <x:v>可直接支撑当前EIS-only闭环。</x:v>
      </x:c>
      <x:c r="L455" s="95" t="str">
        <x:v>M3 研究储备</x:v>
      </x:c>
      <x:c r="M455" s="95" t="str">
        <x:v>条件具备后</x:v>
      </x:c>
      <x:c r="N455" s="95" t="str">
        <x:v>P1</x:v>
      </x:c>
      <x:c r="O455" s="95" t="str">
        <x:v>https://www.isa.org/standards-and-publications/isa-standards/isa-88-standards</x:v>
      </x:c>
      <x:c r="P455" s="96" t="str">
        <x:v>待评审</x:v>
      </x:c>
    </x:row>
    <x:row r="456">
      <x:c r="A456" s="94" t="str">
        <x:v>T0452</x:v>
      </x:c>
      <x:c r="B456" s="95" t="str">
        <x:v>数据与互操作基础设施</x:v>
      </x:c>
      <x:c r="C456" s="95" t="str">
        <x:v>互操作、中间件、编排与调度</x:v>
      </x:c>
      <x:c r="D456" s="95" t="str">
        <x:v>研究储备</x:v>
      </x:c>
      <x:c r="E456" s="100" t="n">
        <x:v>5</x:v>
      </x:c>
      <x:c r="F456" s="95" t="str">
        <x:v>两线共用</x:v>
      </x:c>
      <x:c r="G456" s="95" t="str">
        <x:v>F 数据、协议与复现</x:v>
      </x:c>
      <x:c r="H456" s="95" t="str">
        <x:v>API网关</x:v>
      </x:c>
      <x:c r="I456" s="95" t="str">
        <x:v>连接前后端、仪器、分析服务和优化器，并保证幂等与可恢复。</x:v>
      </x:c>
      <x:c r="J456" s="95" t="str">
        <x:v>建立统一ID、原始数据不可变、协议/代码版本、W3C PROV/RO-Crate复现包。</x:v>
      </x:c>
      <x:c r="K456" s="95" t="str">
        <x:v>可直接支撑当前EIS-only闭环。</x:v>
      </x:c>
      <x:c r="L456" s="95" t="str">
        <x:v>M3 研究储备</x:v>
      </x:c>
      <x:c r="M456" s="95" t="str">
        <x:v>条件具备后</x:v>
      </x:c>
      <x:c r="N456" s="95" t="str">
        <x:v>P1</x:v>
      </x:c>
      <x:c r="O456" s="95" t="str">
        <x:v>https://reference.opcfoundation.org/specs/OPC-10030/4/</x:v>
      </x:c>
      <x:c r="P456" s="96" t="str">
        <x:v>待评审</x:v>
      </x:c>
    </x:row>
    <x:row r="457">
      <x:c r="A457" s="94" t="str">
        <x:v>T0453</x:v>
      </x:c>
      <x:c r="B457" s="95" t="str">
        <x:v>数据与互操作基础设施</x:v>
      </x:c>
      <x:c r="C457" s="95" t="str">
        <x:v>互操作、中间件、编排与调度</x:v>
      </x:c>
      <x:c r="D457" s="95" t="str">
        <x:v>研究储备</x:v>
      </x:c>
      <x:c r="E457" s="100" t="n">
        <x:v>6</x:v>
      </x:c>
      <x:c r="F457" s="95" t="str">
        <x:v>两线共用</x:v>
      </x:c>
      <x:c r="G457" s="95" t="str">
        <x:v>F 数据、协议与复现</x:v>
      </x:c>
      <x:c r="H457" s="95" t="str">
        <x:v>设备驱动</x:v>
      </x:c>
      <x:c r="I457" s="95" t="str">
        <x:v>连接前后端、仪器、分析服务和优化器，并保证幂等与可恢复。</x:v>
      </x:c>
      <x:c r="J457" s="95" t="str">
        <x:v>建立统一ID、原始数据不可变、协议/代码版本、W3C PROV/RO-Crate复现包。</x:v>
      </x:c>
      <x:c r="K457" s="95" t="str">
        <x:v>可直接支撑当前EIS-only闭环。</x:v>
      </x:c>
      <x:c r="L457" s="95" t="str">
        <x:v>M3 研究储备</x:v>
      </x:c>
      <x:c r="M457" s="95" t="str">
        <x:v>条件具备后</x:v>
      </x:c>
      <x:c r="N457" s="95" t="str">
        <x:v>P1</x:v>
      </x:c>
      <x:c r="O457" s="95" t="str">
        <x:v>https://www.science.org/doi/10.1126/scirobotics.aat5559</x:v>
      </x:c>
      <x:c r="P457" s="96" t="str">
        <x:v>待评审</x:v>
      </x:c>
    </x:row>
    <x:row r="458">
      <x:c r="A458" s="94" t="str">
        <x:v>T0454</x:v>
      </x:c>
      <x:c r="B458" s="95" t="str">
        <x:v>数据与互操作基础设施</x:v>
      </x:c>
      <x:c r="C458" s="95" t="str">
        <x:v>互操作、中间件、编排与调度</x:v>
      </x:c>
      <x:c r="D458" s="95" t="str">
        <x:v>研究储备</x:v>
      </x:c>
      <x:c r="E458" s="100" t="n">
        <x:v>6</x:v>
      </x:c>
      <x:c r="F458" s="95" t="str">
        <x:v>两线共用</x:v>
      </x:c>
      <x:c r="G458" s="95" t="str">
        <x:v>F 数据、协议与复现</x:v>
      </x:c>
      <x:c r="H458" s="95" t="str">
        <x:v>协议适配器</x:v>
      </x:c>
      <x:c r="I458" s="95" t="str">
        <x:v>连接前后端、仪器、分析服务和优化器，并保证幂等与可恢复。</x:v>
      </x:c>
      <x:c r="J458" s="95" t="str">
        <x:v>建立统一ID、原始数据不可变、协议/代码版本、W3C PROV/RO-Crate复现包。</x:v>
      </x:c>
      <x:c r="K458" s="95" t="str">
        <x:v>可直接支撑当前EIS-only闭环。</x:v>
      </x:c>
      <x:c r="L458" s="95" t="str">
        <x:v>M3 研究储备</x:v>
      </x:c>
      <x:c r="M458" s="95" t="str">
        <x:v>条件具备后</x:v>
      </x:c>
      <x:c r="N458" s="95" t="str">
        <x:v>P1</x:v>
      </x:c>
      <x:c r="O458" s="95" t="str">
        <x:v>https://sila-standard.com/standards/</x:v>
      </x:c>
      <x:c r="P458" s="96" t="str">
        <x:v>待评审</x:v>
      </x:c>
    </x:row>
    <x:row r="459">
      <x:c r="A459" s="94" t="str">
        <x:v>T0455</x:v>
      </x:c>
      <x:c r="B459" s="95" t="str">
        <x:v>数据与互操作基础设施</x:v>
      </x:c>
      <x:c r="C459" s="95" t="str">
        <x:v>互操作、中间件、编排与调度</x:v>
      </x:c>
      <x:c r="D459" s="95" t="str">
        <x:v>研究储备</x:v>
      </x:c>
      <x:c r="E459" s="100" t="n">
        <x:v>6</x:v>
      </x:c>
      <x:c r="F459" s="95" t="str">
        <x:v>两线共用</x:v>
      </x:c>
      <x:c r="G459" s="95" t="str">
        <x:v>F 数据、协议与复现</x:v>
      </x:c>
      <x:c r="H459" s="95" t="str">
        <x:v>设备数字孪生</x:v>
      </x:c>
      <x:c r="I459" s="95" t="str">
        <x:v>连接前后端、仪器、分析服务和优化器，并保证幂等与可恢复。</x:v>
      </x:c>
      <x:c r="J459" s="95" t="str">
        <x:v>建立统一ID、原始数据不可变、协议/代码版本、W3C PROV/RO-Crate复现包。</x:v>
      </x:c>
      <x:c r="K459" s="95" t="str">
        <x:v>可直接支撑当前EIS-only闭环。</x:v>
      </x:c>
      <x:c r="L459" s="95" t="str">
        <x:v>M3 研究储备</x:v>
      </x:c>
      <x:c r="M459" s="95" t="str">
        <x:v>条件具备后</x:v>
      </x:c>
      <x:c r="N459" s="95" t="str">
        <x:v>P1</x:v>
      </x:c>
      <x:c r="O459" s="95" t="str">
        <x:v>https://www.isa.org/standards-and-publications/isa-standards/isa-88-standards</x:v>
      </x:c>
      <x:c r="P459" s="96" t="str">
        <x:v>待评审</x:v>
      </x:c>
    </x:row>
    <x:row r="460">
      <x:c r="A460" s="94" t="str">
        <x:v>T0456</x:v>
      </x:c>
      <x:c r="B460" s="95" t="str">
        <x:v>数据与互操作基础设施</x:v>
      </x:c>
      <x:c r="C460" s="95" t="str">
        <x:v>互操作、中间件、编排与调度</x:v>
      </x:c>
      <x:c r="D460" s="95" t="str">
        <x:v>研究储备</x:v>
      </x:c>
      <x:c r="E460" s="100" t="n">
        <x:v>5</x:v>
      </x:c>
      <x:c r="F460" s="95" t="str">
        <x:v>两线共用</x:v>
      </x:c>
      <x:c r="G460" s="95" t="str">
        <x:v>F 数据、协议与复现</x:v>
      </x:c>
      <x:c r="H460" s="95" t="str">
        <x:v>能力发现</x:v>
      </x:c>
      <x:c r="I460" s="95" t="str">
        <x:v>连接前后端、仪器、分析服务和优化器，并保证幂等与可恢复。</x:v>
      </x:c>
      <x:c r="J460" s="95" t="str">
        <x:v>建立统一ID、原始数据不可变、协议/代码版本、W3C PROV/RO-Crate复现包。</x:v>
      </x:c>
      <x:c r="K460" s="95" t="str">
        <x:v>可直接支撑当前EIS-only闭环。</x:v>
      </x:c>
      <x:c r="L460" s="95" t="str">
        <x:v>M3 研究储备</x:v>
      </x:c>
      <x:c r="M460" s="95" t="str">
        <x:v>条件具备后</x:v>
      </x:c>
      <x:c r="N460" s="95" t="str">
        <x:v>P1</x:v>
      </x:c>
      <x:c r="O460" s="95" t="str">
        <x:v>https://reference.opcfoundation.org/specs/OPC-10030/4/</x:v>
      </x:c>
      <x:c r="P460" s="96" t="str">
        <x:v>待评审</x:v>
      </x:c>
    </x:row>
    <x:row r="461">
      <x:c r="A461" s="94" t="str">
        <x:v>T0457</x:v>
      </x:c>
      <x:c r="B461" s="95" t="str">
        <x:v>数据与互操作基础设施</x:v>
      </x:c>
      <x:c r="C461" s="95" t="str">
        <x:v>互操作、中间件、编排与调度</x:v>
      </x:c>
      <x:c r="D461" s="95" t="str">
        <x:v>研究储备</x:v>
      </x:c>
      <x:c r="E461" s="100" t="n">
        <x:v>5</x:v>
      </x:c>
      <x:c r="F461" s="95" t="str">
        <x:v>两线共用</x:v>
      </x:c>
      <x:c r="G461" s="95" t="str">
        <x:v>F 数据、协议与复现</x:v>
      </x:c>
      <x:c r="H461" s="95" t="str">
        <x:v>服务注册</x:v>
      </x:c>
      <x:c r="I461" s="95" t="str">
        <x:v>连接前后端、仪器、分析服务和优化器，并保证幂等与可恢复。</x:v>
      </x:c>
      <x:c r="J461" s="95" t="str">
        <x:v>建立统一ID、原始数据不可变、协议/代码版本、W3C PROV/RO-Crate复现包。</x:v>
      </x:c>
      <x:c r="K461" s="95" t="str">
        <x:v>可直接支撑当前EIS-only闭环。</x:v>
      </x:c>
      <x:c r="L461" s="95" t="str">
        <x:v>M3 研究储备</x:v>
      </x:c>
      <x:c r="M461" s="95" t="str">
        <x:v>条件具备后</x:v>
      </x:c>
      <x:c r="N461" s="95" t="str">
        <x:v>P1</x:v>
      </x:c>
      <x:c r="O461" s="95" t="str">
        <x:v>https://www.science.org/doi/10.1126/scirobotics.aat5559</x:v>
      </x:c>
      <x:c r="P461" s="96" t="str">
        <x:v>待评审</x:v>
      </x:c>
    </x:row>
    <x:row r="462">
      <x:c r="A462" s="94" t="str">
        <x:v>T0458</x:v>
      </x:c>
      <x:c r="B462" s="95" t="str">
        <x:v>数据与互操作基础设施</x:v>
      </x:c>
      <x:c r="C462" s="95" t="str">
        <x:v>互操作、中间件、编排与调度</x:v>
      </x:c>
      <x:c r="D462" s="95" t="str">
        <x:v>研究储备</x:v>
      </x:c>
      <x:c r="E462" s="100" t="n">
        <x:v>6</x:v>
      </x:c>
      <x:c r="F462" s="95" t="str">
        <x:v>两线共用</x:v>
      </x:c>
      <x:c r="G462" s="95" t="str">
        <x:v>F 数据、协议与复现</x:v>
      </x:c>
      <x:c r="H462" s="95" t="str">
        <x:v>语义API</x:v>
      </x:c>
      <x:c r="I462" s="95" t="str">
        <x:v>连接前后端、仪器、分析服务和优化器，并保证幂等与可恢复。</x:v>
      </x:c>
      <x:c r="J462" s="95" t="str">
        <x:v>建立统一ID、原始数据不可变、协议/代码版本、W3C PROV/RO-Crate复现包。</x:v>
      </x:c>
      <x:c r="K462" s="95" t="str">
        <x:v>可直接支撑当前EIS-only闭环。</x:v>
      </x:c>
      <x:c r="L462" s="95" t="str">
        <x:v>M3 研究储备</x:v>
      </x:c>
      <x:c r="M462" s="95" t="str">
        <x:v>条件具备后</x:v>
      </x:c>
      <x:c r="N462" s="95" t="str">
        <x:v>P1</x:v>
      </x:c>
      <x:c r="O462" s="95" t="str">
        <x:v>https://sila-standard.com/standards/</x:v>
      </x:c>
      <x:c r="P462" s="96" t="str">
        <x:v>待评审</x:v>
      </x:c>
    </x:row>
    <x:row r="463">
      <x:c r="A463" s="94" t="str">
        <x:v>T0459</x:v>
      </x:c>
      <x:c r="B463" s="95" t="str">
        <x:v>数据与互操作基础设施</x:v>
      </x:c>
      <x:c r="C463" s="95" t="str">
        <x:v>互操作、中间件、编排与调度</x:v>
      </x:c>
      <x:c r="D463" s="95" t="str">
        <x:v>研究储备</x:v>
      </x:c>
      <x:c r="E463" s="100" t="n">
        <x:v>5</x:v>
      </x:c>
      <x:c r="F463" s="95" t="str">
        <x:v>两线共用</x:v>
      </x:c>
      <x:c r="G463" s="95" t="str">
        <x:v>F 数据、协议与复现</x:v>
      </x:c>
      <x:c r="H463" s="95" t="str">
        <x:v>命令查询分离</x:v>
      </x:c>
      <x:c r="I463" s="95" t="str">
        <x:v>连接前后端、仪器、分析服务和优化器，并保证幂等与可恢复。</x:v>
      </x:c>
      <x:c r="J463" s="95" t="str">
        <x:v>建立统一ID、原始数据不可变、协议/代码版本、W3C PROV/RO-Crate复现包。</x:v>
      </x:c>
      <x:c r="K463" s="95" t="str">
        <x:v>可直接支撑当前EIS-only闭环。</x:v>
      </x:c>
      <x:c r="L463" s="95" t="str">
        <x:v>M3 研究储备</x:v>
      </x:c>
      <x:c r="M463" s="95" t="str">
        <x:v>条件具备后</x:v>
      </x:c>
      <x:c r="N463" s="95" t="str">
        <x:v>P1</x:v>
      </x:c>
      <x:c r="O463" s="95" t="str">
        <x:v>https://www.isa.org/standards-and-publications/isa-standards/isa-88-standards</x:v>
      </x:c>
      <x:c r="P463" s="96" t="str">
        <x:v>待评审</x:v>
      </x:c>
    </x:row>
    <x:row r="464">
      <x:c r="A464" s="94" t="str">
        <x:v>T0460</x:v>
      </x:c>
      <x:c r="B464" s="95" t="str">
        <x:v>数据与互操作基础设施</x:v>
      </x:c>
      <x:c r="C464" s="95" t="str">
        <x:v>互操作、中间件、编排与调度</x:v>
      </x:c>
      <x:c r="D464" s="95" t="str">
        <x:v>关键支撑</x:v>
      </x:c>
      <x:c r="E464" s="100" t="n">
        <x:v>8</x:v>
      </x:c>
      <x:c r="F464" s="95" t="str">
        <x:v>两线共用</x:v>
      </x:c>
      <x:c r="G464" s="95" t="str">
        <x:v>F 数据、协议与复现</x:v>
      </x:c>
      <x:c r="H464" s="95" t="str">
        <x:v>幂等命令</x:v>
      </x:c>
      <x:c r="I464" s="95" t="str">
        <x:v>连接前后端、仪器、分析服务和优化器，并保证幂等与可恢复。</x:v>
      </x:c>
      <x:c r="J464" s="95" t="str">
        <x:v>建立统一ID、原始数据不可变、协议/代码版本、W3C PROV/RO-Crate复现包。</x:v>
      </x:c>
      <x:c r="K464" s="95" t="str">
        <x:v>可直接支撑当前EIS-only闭环。</x:v>
      </x:c>
      <x:c r="L464" s="95" t="str">
        <x:v>M2 扩展与复现（5–12月）</x:v>
      </x:c>
      <x:c r="M464" s="95" t="str">
        <x:v>按瓶颈接入</x:v>
      </x:c>
      <x:c r="N464" s="95" t="str">
        <x:v>P1</x:v>
      </x:c>
      <x:c r="O464" s="95" t="str">
        <x:v>https://reference.opcfoundation.org/specs/OPC-10030/4/</x:v>
      </x:c>
      <x:c r="P464" s="96" t="str">
        <x:v>待评审</x:v>
      </x:c>
    </x:row>
    <x:row r="465">
      <x:c r="A465" s="94" t="str">
        <x:v>T0461</x:v>
      </x:c>
      <x:c r="B465" s="95" t="str">
        <x:v>数据与互操作基础设施</x:v>
      </x:c>
      <x:c r="C465" s="95" t="str">
        <x:v>互操作、中间件、编排与调度</x:v>
      </x:c>
      <x:c r="D465" s="95" t="str">
        <x:v>研究储备</x:v>
      </x:c>
      <x:c r="E465" s="100" t="n">
        <x:v>5</x:v>
      </x:c>
      <x:c r="F465" s="95" t="str">
        <x:v>两线共用</x:v>
      </x:c>
      <x:c r="G465" s="95" t="str">
        <x:v>F 数据、协议与复现</x:v>
      </x:c>
      <x:c r="H465" s="95" t="str">
        <x:v>消息投递语义</x:v>
      </x:c>
      <x:c r="I465" s="95" t="str">
        <x:v>连接前后端、仪器、分析服务和优化器，并保证幂等与可恢复。</x:v>
      </x:c>
      <x:c r="J465" s="95" t="str">
        <x:v>建立统一ID、原始数据不可变、协议/代码版本、W3C PROV/RO-Crate复现包。</x:v>
      </x:c>
      <x:c r="K465" s="95" t="str">
        <x:v>可直接支撑当前EIS-only闭环。</x:v>
      </x:c>
      <x:c r="L465" s="95" t="str">
        <x:v>M3 研究储备</x:v>
      </x:c>
      <x:c r="M465" s="95" t="str">
        <x:v>条件具备后</x:v>
      </x:c>
      <x:c r="N465" s="95" t="str">
        <x:v>P1</x:v>
      </x:c>
      <x:c r="O465" s="95" t="str">
        <x:v>https://www.science.org/doi/10.1126/scirobotics.aat5559</x:v>
      </x:c>
      <x:c r="P465" s="96" t="str">
        <x:v>待评审</x:v>
      </x:c>
    </x:row>
    <x:row r="466">
      <x:c r="A466" s="94" t="str">
        <x:v>T0462</x:v>
      </x:c>
      <x:c r="B466" s="95" t="str">
        <x:v>数据与互操作基础设施</x:v>
      </x:c>
      <x:c r="C466" s="95" t="str">
        <x:v>互操作、中间件、编排与调度</x:v>
      </x:c>
      <x:c r="D466" s="95" t="str">
        <x:v>研究储备</x:v>
      </x:c>
      <x:c r="E466" s="100" t="n">
        <x:v>5</x:v>
      </x:c>
      <x:c r="F466" s="95" t="str">
        <x:v>两线共用</x:v>
      </x:c>
      <x:c r="G466" s="95" t="str">
        <x:v>F 数据、协议与复现</x:v>
      </x:c>
      <x:c r="H466" s="95" t="str">
        <x:v>重试与退避</x:v>
      </x:c>
      <x:c r="I466" s="95" t="str">
        <x:v>连接前后端、仪器、分析服务和优化器，并保证幂等与可恢复。</x:v>
      </x:c>
      <x:c r="J466" s="95" t="str">
        <x:v>建立统一ID、原始数据不可变、协议/代码版本、W3C PROV/RO-Crate复现包。</x:v>
      </x:c>
      <x:c r="K466" s="95" t="str">
        <x:v>可直接支撑当前EIS-only闭环。</x:v>
      </x:c>
      <x:c r="L466" s="95" t="str">
        <x:v>M3 研究储备</x:v>
      </x:c>
      <x:c r="M466" s="95" t="str">
        <x:v>条件具备后</x:v>
      </x:c>
      <x:c r="N466" s="95" t="str">
        <x:v>P1</x:v>
      </x:c>
      <x:c r="O466" s="95" t="str">
        <x:v>https://sila-standard.com/standards/</x:v>
      </x:c>
      <x:c r="P466" s="96" t="str">
        <x:v>待评审</x:v>
      </x:c>
    </x:row>
    <x:row r="467">
      <x:c r="A467" s="94" t="str">
        <x:v>T0463</x:v>
      </x:c>
      <x:c r="B467" s="95" t="str">
        <x:v>数据与互操作基础设施</x:v>
      </x:c>
      <x:c r="C467" s="95" t="str">
        <x:v>互操作、中间件、编排与调度</x:v>
      </x:c>
      <x:c r="D467" s="95" t="str">
        <x:v>研究储备</x:v>
      </x:c>
      <x:c r="E467" s="100" t="n">
        <x:v>5</x:v>
      </x:c>
      <x:c r="F467" s="95" t="str">
        <x:v>两线共用</x:v>
      </x:c>
      <x:c r="G467" s="95" t="str">
        <x:v>F 数据、协议与复现</x:v>
      </x:c>
      <x:c r="H467" s="95" t="str">
        <x:v>分布式事务</x:v>
      </x:c>
      <x:c r="I467" s="95" t="str">
        <x:v>连接前后端、仪器、分析服务和优化器，并保证幂等与可恢复。</x:v>
      </x:c>
      <x:c r="J467" s="95" t="str">
        <x:v>建立统一ID、原始数据不可变、协议/代码版本、W3C PROV/RO-Crate复现包。</x:v>
      </x:c>
      <x:c r="K467" s="95" t="str">
        <x:v>可直接支撑当前EIS-only闭环。</x:v>
      </x:c>
      <x:c r="L467" s="95" t="str">
        <x:v>M3 研究储备</x:v>
      </x:c>
      <x:c r="M467" s="95" t="str">
        <x:v>条件具备后</x:v>
      </x:c>
      <x:c r="N467" s="95" t="str">
        <x:v>P1</x:v>
      </x:c>
      <x:c r="O467" s="95" t="str">
        <x:v>https://www.isa.org/standards-and-publications/isa-standards/isa-88-standards</x:v>
      </x:c>
      <x:c r="P467" s="96" t="str">
        <x:v>待评审</x:v>
      </x:c>
    </x:row>
    <x:row r="468">
      <x:c r="A468" s="94" t="str">
        <x:v>T0464</x:v>
      </x:c>
      <x:c r="B468" s="95" t="str">
        <x:v>数据与互操作基础设施</x:v>
      </x:c>
      <x:c r="C468" s="95" t="str">
        <x:v>互操作、中间件、编排与调度</x:v>
      </x:c>
      <x:c r="D468" s="95" t="str">
        <x:v>研究储备</x:v>
      </x:c>
      <x:c r="E468" s="100" t="n">
        <x:v>5</x:v>
      </x:c>
      <x:c r="F468" s="95" t="str">
        <x:v>两线共用</x:v>
      </x:c>
      <x:c r="G468" s="95" t="str">
        <x:v>F 数据、协议与复现</x:v>
      </x:c>
      <x:c r="H468" s="95" t="str">
        <x:v>Saga补偿</x:v>
      </x:c>
      <x:c r="I468" s="95" t="str">
        <x:v>连接前后端、仪器、分析服务和优化器，并保证幂等与可恢复。</x:v>
      </x:c>
      <x:c r="J468" s="95" t="str">
        <x:v>建立统一ID、原始数据不可变、协议/代码版本、W3C PROV/RO-Crate复现包。</x:v>
      </x:c>
      <x:c r="K468" s="95" t="str">
        <x:v>可直接支撑当前EIS-only闭环。</x:v>
      </x:c>
      <x:c r="L468" s="95" t="str">
        <x:v>M3 研究储备</x:v>
      </x:c>
      <x:c r="M468" s="95" t="str">
        <x:v>条件具备后</x:v>
      </x:c>
      <x:c r="N468" s="95" t="str">
        <x:v>P1</x:v>
      </x:c>
      <x:c r="O468" s="95" t="str">
        <x:v>https://reference.opcfoundation.org/specs/OPC-10030/4/</x:v>
      </x:c>
      <x:c r="P468" s="96" t="str">
        <x:v>待评审</x:v>
      </x:c>
    </x:row>
    <x:row r="469">
      <x:c r="A469" s="94" t="str">
        <x:v>T0465</x:v>
      </x:c>
      <x:c r="B469" s="95" t="str">
        <x:v>数据与互操作基础设施</x:v>
      </x:c>
      <x:c r="C469" s="95" t="str">
        <x:v>互操作、中间件、编排与调度</x:v>
      </x:c>
      <x:c r="D469" s="95" t="str">
        <x:v>研究储备</x:v>
      </x:c>
      <x:c r="E469" s="100" t="n">
        <x:v>5</x:v>
      </x:c>
      <x:c r="F469" s="95" t="str">
        <x:v>两线共用</x:v>
      </x:c>
      <x:c r="G469" s="95" t="str">
        <x:v>F 数据、协议与复现</x:v>
      </x:c>
      <x:c r="H469" s="95" t="str">
        <x:v>分布式锁</x:v>
      </x:c>
      <x:c r="I469" s="95" t="str">
        <x:v>连接前后端、仪器、分析服务和优化器，并保证幂等与可恢复。</x:v>
      </x:c>
      <x:c r="J469" s="95" t="str">
        <x:v>建立统一ID、原始数据不可变、协议/代码版本、W3C PROV/RO-Crate复现包。</x:v>
      </x:c>
      <x:c r="K469" s="95" t="str">
        <x:v>可直接支撑当前EIS-only闭环。</x:v>
      </x:c>
      <x:c r="L469" s="95" t="str">
        <x:v>M3 研究储备</x:v>
      </x:c>
      <x:c r="M469" s="95" t="str">
        <x:v>条件具备后</x:v>
      </x:c>
      <x:c r="N469" s="95" t="str">
        <x:v>P1</x:v>
      </x:c>
      <x:c r="O469" s="95" t="str">
        <x:v>https://www.science.org/doi/10.1126/scirobotics.aat5559</x:v>
      </x:c>
      <x:c r="P469" s="96" t="str">
        <x:v>待评审</x:v>
      </x:c>
    </x:row>
    <x:row r="470">
      <x:c r="A470" s="94" t="str">
        <x:v>T0466</x:v>
      </x:c>
      <x:c r="B470" s="95" t="str">
        <x:v>数据与互操作基础设施</x:v>
      </x:c>
      <x:c r="C470" s="95" t="str">
        <x:v>互操作、中间件、编排与调度</x:v>
      </x:c>
      <x:c r="D470" s="95" t="str">
        <x:v>研究储备</x:v>
      </x:c>
      <x:c r="E470" s="100" t="n">
        <x:v>6</x:v>
      </x:c>
      <x:c r="F470" s="95" t="str">
        <x:v>两线共用</x:v>
      </x:c>
      <x:c r="G470" s="95" t="str">
        <x:v>F 数据、协议与复现</x:v>
      </x:c>
      <x:c r="H470" s="95" t="str">
        <x:v>约束调度</x:v>
      </x:c>
      <x:c r="I470" s="95" t="str">
        <x:v>连接前后端、仪器、分析服务和优化器，并保证幂等与可恢复。</x:v>
      </x:c>
      <x:c r="J470" s="95" t="str">
        <x:v>建立统一ID、原始数据不可变、协议/代码版本、W3C PROV/RO-Crate复现包。</x:v>
      </x:c>
      <x:c r="K470" s="95" t="str">
        <x:v>可直接支撑当前EIS-only闭环。</x:v>
      </x:c>
      <x:c r="L470" s="95" t="str">
        <x:v>M3 研究储备</x:v>
      </x:c>
      <x:c r="M470" s="95" t="str">
        <x:v>条件具备后</x:v>
      </x:c>
      <x:c r="N470" s="95" t="str">
        <x:v>P1</x:v>
      </x:c>
      <x:c r="O470" s="95" t="str">
        <x:v>https://sila-standard.com/standards/</x:v>
      </x:c>
      <x:c r="P470" s="96" t="str">
        <x:v>待评审</x:v>
      </x:c>
    </x:row>
    <x:row r="471">
      <x:c r="A471" s="94" t="str">
        <x:v>T0467</x:v>
      </x:c>
      <x:c r="B471" s="95" t="str">
        <x:v>数据与互操作基础设施</x:v>
      </x:c>
      <x:c r="C471" s="95" t="str">
        <x:v>互操作、中间件、编排与调度</x:v>
      </x:c>
      <x:c r="D471" s="95" t="str">
        <x:v>研究储备</x:v>
      </x:c>
      <x:c r="E471" s="100" t="n">
        <x:v>5</x:v>
      </x:c>
      <x:c r="F471" s="95" t="str">
        <x:v>两线共用</x:v>
      </x:c>
      <x:c r="G471" s="95" t="str">
        <x:v>F 数据、协议与复现</x:v>
      </x:c>
      <x:c r="H471" s="95" t="str">
        <x:v>作业队列</x:v>
      </x:c>
      <x:c r="I471" s="95" t="str">
        <x:v>连接前后端、仪器、分析服务和优化器，并保证幂等与可恢复。</x:v>
      </x:c>
      <x:c r="J471" s="95" t="str">
        <x:v>建立统一ID、原始数据不可变、协议/代码版本、W3C PROV/RO-Crate复现包。</x:v>
      </x:c>
      <x:c r="K471" s="95" t="str">
        <x:v>可直接支撑当前EIS-only闭环。</x:v>
      </x:c>
      <x:c r="L471" s="95" t="str">
        <x:v>M3 研究储备</x:v>
      </x:c>
      <x:c r="M471" s="95" t="str">
        <x:v>条件具备后</x:v>
      </x:c>
      <x:c r="N471" s="95" t="str">
        <x:v>P1</x:v>
      </x:c>
      <x:c r="O471" s="95" t="str">
        <x:v>https://www.isa.org/standards-and-publications/isa-standards/isa-88-standards</x:v>
      </x:c>
      <x:c r="P471" s="96" t="str">
        <x:v>待评审</x:v>
      </x:c>
    </x:row>
    <x:row r="472">
      <x:c r="A472" s="94" t="str">
        <x:v>T0468</x:v>
      </x:c>
      <x:c r="B472" s="95" t="str">
        <x:v>数据与互操作基础设施</x:v>
      </x:c>
      <x:c r="C472" s="95" t="str">
        <x:v>互操作、中间件、编排与调度</x:v>
      </x:c>
      <x:c r="D472" s="95" t="str">
        <x:v>研究储备</x:v>
      </x:c>
      <x:c r="E472" s="100" t="n">
        <x:v>5</x:v>
      </x:c>
      <x:c r="F472" s="95" t="str">
        <x:v>两线共用</x:v>
      </x:c>
      <x:c r="G472" s="95" t="str">
        <x:v>F 数据、协议与复现</x:v>
      </x:c>
      <x:c r="H472" s="95" t="str">
        <x:v>资源日历</x:v>
      </x:c>
      <x:c r="I472" s="95" t="str">
        <x:v>连接前后端、仪器、分析服务和优化器，并保证幂等与可恢复。</x:v>
      </x:c>
      <x:c r="J472" s="95" t="str">
        <x:v>建立统一ID、原始数据不可变、协议/代码版本、W3C PROV/RO-Crate复现包。</x:v>
      </x:c>
      <x:c r="K472" s="95" t="str">
        <x:v>可直接支撑当前EIS-only闭环。</x:v>
      </x:c>
      <x:c r="L472" s="95" t="str">
        <x:v>M3 研究储备</x:v>
      </x:c>
      <x:c r="M472" s="95" t="str">
        <x:v>条件具备后</x:v>
      </x:c>
      <x:c r="N472" s="95" t="str">
        <x:v>P1</x:v>
      </x:c>
      <x:c r="O472" s="95" t="str">
        <x:v>https://reference.opcfoundation.org/specs/OPC-10030/4/</x:v>
      </x:c>
      <x:c r="P472" s="96" t="str">
        <x:v>待评审</x:v>
      </x:c>
    </x:row>
    <x:row r="473">
      <x:c r="A473" s="94" t="str">
        <x:v>T0469</x:v>
      </x:c>
      <x:c r="B473" s="95" t="str">
        <x:v>数据与互操作基础设施</x:v>
      </x:c>
      <x:c r="C473" s="95" t="str">
        <x:v>互操作、中间件、编排与调度</x:v>
      </x:c>
      <x:c r="D473" s="95" t="str">
        <x:v>研究储备</x:v>
      </x:c>
      <x:c r="E473" s="100" t="n">
        <x:v>5</x:v>
      </x:c>
      <x:c r="F473" s="95" t="str">
        <x:v>两线共用</x:v>
      </x:c>
      <x:c r="G473" s="95" t="str">
        <x:v>F 数据、协议与复现</x:v>
      </x:c>
      <x:c r="H473" s="95" t="str">
        <x:v>维护窗口</x:v>
      </x:c>
      <x:c r="I473" s="95" t="str">
        <x:v>连接前后端、仪器、分析服务和优化器，并保证幂等与可恢复。</x:v>
      </x:c>
      <x:c r="J473" s="95" t="str">
        <x:v>建立统一ID、原始数据不可变、协议/代码版本、W3C PROV/RO-Crate复现包。</x:v>
      </x:c>
      <x:c r="K473" s="95" t="str">
        <x:v>可直接支撑当前EIS-only闭环。</x:v>
      </x:c>
      <x:c r="L473" s="95" t="str">
        <x:v>M3 研究储备</x:v>
      </x:c>
      <x:c r="M473" s="95" t="str">
        <x:v>条件具备后</x:v>
      </x:c>
      <x:c r="N473" s="95" t="str">
        <x:v>P2</x:v>
      </x:c>
      <x:c r="O473" s="95" t="str">
        <x:v>https://www.science.org/doi/10.1126/scirobotics.aat5559</x:v>
      </x:c>
      <x:c r="P473" s="96" t="str">
        <x:v>待评审</x:v>
      </x:c>
    </x:row>
    <x:row r="474">
      <x:c r="A474" s="94" t="str">
        <x:v>T0470</x:v>
      </x:c>
      <x:c r="B474" s="95" t="str">
        <x:v>数据与互操作基础设施</x:v>
      </x:c>
      <x:c r="C474" s="95" t="str">
        <x:v>互操作、中间件、编排与调度</x:v>
      </x:c>
      <x:c r="D474" s="95" t="str">
        <x:v>研究储备</x:v>
      </x:c>
      <x:c r="E474" s="100" t="n">
        <x:v>5</x:v>
      </x:c>
      <x:c r="F474" s="95" t="str">
        <x:v>两线共用</x:v>
      </x:c>
      <x:c r="G474" s="95" t="str">
        <x:v>F 数据、协议与复现</x:v>
      </x:c>
      <x:c r="H474" s="95" t="str">
        <x:v>动态重调度</x:v>
      </x:c>
      <x:c r="I474" s="95" t="str">
        <x:v>连接前后端、仪器、分析服务和优化器，并保证幂等与可恢复。</x:v>
      </x:c>
      <x:c r="J474" s="95" t="str">
        <x:v>建立统一ID、原始数据不可变、协议/代码版本、W3C PROV/RO-Crate复现包。</x:v>
      </x:c>
      <x:c r="K474" s="95" t="str">
        <x:v>可直接支撑当前EIS-only闭环。</x:v>
      </x:c>
      <x:c r="L474" s="95" t="str">
        <x:v>M3 研究储备</x:v>
      </x:c>
      <x:c r="M474" s="95" t="str">
        <x:v>条件具备后</x:v>
      </x:c>
      <x:c r="N474" s="95" t="str">
        <x:v>P2</x:v>
      </x:c>
      <x:c r="O474" s="95" t="str">
        <x:v>https://sila-standard.com/standards/</x:v>
      </x:c>
      <x:c r="P474" s="96" t="str">
        <x:v>待评审</x:v>
      </x:c>
    </x:row>
    <x:row r="475">
      <x:c r="A475" s="94" t="str">
        <x:v>T0471</x:v>
      </x:c>
      <x:c r="B475" s="95" t="str">
        <x:v>数据与互操作基础设施</x:v>
      </x:c>
      <x:c r="C475" s="95" t="str">
        <x:v>互操作、中间件、编排与调度</x:v>
      </x:c>
      <x:c r="D475" s="95" t="str">
        <x:v>研究储备</x:v>
      </x:c>
      <x:c r="E475" s="100" t="n">
        <x:v>5</x:v>
      </x:c>
      <x:c r="F475" s="95" t="str">
        <x:v>两线共用</x:v>
      </x:c>
      <x:c r="G475" s="95" t="str">
        <x:v>F 数据、协议与复现</x:v>
      </x:c>
      <x:c r="H475" s="95" t="str">
        <x:v>优先级调度</x:v>
      </x:c>
      <x:c r="I475" s="95" t="str">
        <x:v>连接前后端、仪器、分析服务和优化器，并保证幂等与可恢复。</x:v>
      </x:c>
      <x:c r="J475" s="95" t="str">
        <x:v>建立统一ID、原始数据不可变、协议/代码版本、W3C PROV/RO-Crate复现包。</x:v>
      </x:c>
      <x:c r="K475" s="95" t="str">
        <x:v>可直接支撑当前EIS-only闭环。</x:v>
      </x:c>
      <x:c r="L475" s="95" t="str">
        <x:v>M3 研究储备</x:v>
      </x:c>
      <x:c r="M475" s="95" t="str">
        <x:v>条件具备后</x:v>
      </x:c>
      <x:c r="N475" s="95" t="str">
        <x:v>P2</x:v>
      </x:c>
      <x:c r="O475" s="95" t="str">
        <x:v>https://www.isa.org/standards-and-publications/isa-standards/isa-88-standards</x:v>
      </x:c>
      <x:c r="P475" s="96" t="str">
        <x:v>待评审</x:v>
      </x:c>
    </x:row>
    <x:row r="476">
      <x:c r="A476" s="94" t="str">
        <x:v>T0472</x:v>
      </x:c>
      <x:c r="B476" s="95" t="str">
        <x:v>数据与互操作基础设施</x:v>
      </x:c>
      <x:c r="C476" s="95" t="str">
        <x:v>互操作、中间件、编排与调度</x:v>
      </x:c>
      <x:c r="D476" s="95" t="str">
        <x:v>研究储备</x:v>
      </x:c>
      <x:c r="E476" s="100" t="n">
        <x:v>5</x:v>
      </x:c>
      <x:c r="F476" s="95" t="str">
        <x:v>两线共用</x:v>
      </x:c>
      <x:c r="G476" s="95" t="str">
        <x:v>F 数据、协议与复现</x:v>
      </x:c>
      <x:c r="H476" s="95" t="str">
        <x:v>批处理调度</x:v>
      </x:c>
      <x:c r="I476" s="95" t="str">
        <x:v>连接前后端、仪器、分析服务和优化器，并保证幂等与可恢复。</x:v>
      </x:c>
      <x:c r="J476" s="95" t="str">
        <x:v>建立统一ID、原始数据不可变、协议/代码版本、W3C PROV/RO-Crate复现包。</x:v>
      </x:c>
      <x:c r="K476" s="95" t="str">
        <x:v>可直接支撑当前EIS-only闭环。</x:v>
      </x:c>
      <x:c r="L476" s="95" t="str">
        <x:v>M3 研究储备</x:v>
      </x:c>
      <x:c r="M476" s="95" t="str">
        <x:v>条件具备后</x:v>
      </x:c>
      <x:c r="N476" s="95" t="str">
        <x:v>P2</x:v>
      </x:c>
      <x:c r="O476" s="95" t="str">
        <x:v>https://reference.opcfoundation.org/specs/OPC-10030/4/</x:v>
      </x:c>
      <x:c r="P476" s="96" t="str">
        <x:v>待评审</x:v>
      </x:c>
    </x:row>
    <x:row r="477">
      <x:c r="A477" s="94" t="str">
        <x:v>T0473</x:v>
      </x:c>
      <x:c r="B477" s="95" t="str">
        <x:v>数据与互操作基础设施</x:v>
      </x:c>
      <x:c r="C477" s="95" t="str">
        <x:v>互操作、中间件、编排与调度</x:v>
      </x:c>
      <x:c r="D477" s="95" t="str">
        <x:v>研究储备</x:v>
      </x:c>
      <x:c r="E477" s="100" t="n">
        <x:v>5</x:v>
      </x:c>
      <x:c r="F477" s="95" t="str">
        <x:v>两线共用</x:v>
      </x:c>
      <x:c r="G477" s="95" t="str">
        <x:v>F 数据、协议与复现</x:v>
      </x:c>
      <x:c r="H477" s="95" t="str">
        <x:v>实时调度</x:v>
      </x:c>
      <x:c r="I477" s="95" t="str">
        <x:v>连接前后端、仪器、分析服务和优化器，并保证幂等与可恢复。</x:v>
      </x:c>
      <x:c r="J477" s="95" t="str">
        <x:v>建立统一ID、原始数据不可变、协议/代码版本、W3C PROV/RO-Crate复现包。</x:v>
      </x:c>
      <x:c r="K477" s="95" t="str">
        <x:v>可直接支撑当前EIS-only闭环。</x:v>
      </x:c>
      <x:c r="L477" s="95" t="str">
        <x:v>M3 研究储备</x:v>
      </x:c>
      <x:c r="M477" s="95" t="str">
        <x:v>条件具备后</x:v>
      </x:c>
      <x:c r="N477" s="95" t="str">
        <x:v>P2</x:v>
      </x:c>
      <x:c r="O477" s="95" t="str">
        <x:v>https://www.science.org/doi/10.1126/scirobotics.aat5559</x:v>
      </x:c>
      <x:c r="P477" s="96" t="str">
        <x:v>待评审</x:v>
      </x:c>
    </x:row>
    <x:row r="478">
      <x:c r="A478" s="94" t="str">
        <x:v>T0474</x:v>
      </x:c>
      <x:c r="B478" s="95" t="str">
        <x:v>数据与互操作基础设施</x:v>
      </x:c>
      <x:c r="C478" s="95" t="str">
        <x:v>互操作、中间件、编排与调度</x:v>
      </x:c>
      <x:c r="D478" s="95" t="str">
        <x:v>研究储备</x:v>
      </x:c>
      <x:c r="E478" s="100" t="n">
        <x:v>5</x:v>
      </x:c>
      <x:c r="F478" s="95" t="str">
        <x:v>两线共用</x:v>
      </x:c>
      <x:c r="G478" s="95" t="str">
        <x:v>F 数据、协议与复现</x:v>
      </x:c>
      <x:c r="H478" s="95" t="str">
        <x:v>编排与编舞</x:v>
      </x:c>
      <x:c r="I478" s="95" t="str">
        <x:v>连接前后端、仪器、分析服务和优化器，并保证幂等与可恢复。</x:v>
      </x:c>
      <x:c r="J478" s="95" t="str">
        <x:v>建立统一ID、原始数据不可变、协议/代码版本、W3C PROV/RO-Crate复现包。</x:v>
      </x:c>
      <x:c r="K478" s="95" t="str">
        <x:v>可直接支撑当前EIS-only闭环。</x:v>
      </x:c>
      <x:c r="L478" s="95" t="str">
        <x:v>M3 研究储备</x:v>
      </x:c>
      <x:c r="M478" s="95" t="str">
        <x:v>条件具备后</x:v>
      </x:c>
      <x:c r="N478" s="95" t="str">
        <x:v>P2</x:v>
      </x:c>
      <x:c r="O478" s="95" t="str">
        <x:v>https://sila-standard.com/standards/</x:v>
      </x:c>
      <x:c r="P478" s="96" t="str">
        <x:v>待评审</x:v>
      </x:c>
    </x:row>
    <x:row r="479">
      <x:c r="A479" s="94" t="str">
        <x:v>T0475</x:v>
      </x:c>
      <x:c r="B479" s="95" t="str">
        <x:v>数据与互操作基础设施</x:v>
      </x:c>
      <x:c r="C479" s="95" t="str">
        <x:v>互操作、中间件、编排与调度</x:v>
      </x:c>
      <x:c r="D479" s="95" t="str">
        <x:v>研究储备</x:v>
      </x:c>
      <x:c r="E479" s="100" t="n">
        <x:v>6</x:v>
      </x:c>
      <x:c r="F479" s="95" t="str">
        <x:v>两线共用</x:v>
      </x:c>
      <x:c r="G479" s="95" t="str">
        <x:v>F 数据、协议与复现</x:v>
      </x:c>
      <x:c r="H479" s="95" t="str">
        <x:v>工作流引擎</x:v>
      </x:c>
      <x:c r="I479" s="95" t="str">
        <x:v>连接前后端、仪器、分析服务和优化器，并保证幂等与可恢复。</x:v>
      </x:c>
      <x:c r="J479" s="95" t="str">
        <x:v>建立统一ID、原始数据不可变、协议/代码版本、W3C PROV/RO-Crate复现包。</x:v>
      </x:c>
      <x:c r="K479" s="95" t="str">
        <x:v>可直接支撑当前EIS-only闭环。</x:v>
      </x:c>
      <x:c r="L479" s="95" t="str">
        <x:v>M3 研究储备</x:v>
      </x:c>
      <x:c r="M479" s="95" t="str">
        <x:v>条件具备后</x:v>
      </x:c>
      <x:c r="N479" s="95" t="str">
        <x:v>P2</x:v>
      </x:c>
      <x:c r="O479" s="95" t="str">
        <x:v>https://www.isa.org/standards-and-publications/isa-standards/isa-88-standards</x:v>
      </x:c>
      <x:c r="P479" s="96" t="str">
        <x:v>待评审</x:v>
      </x:c>
    </x:row>
    <x:row r="480">
      <x:c r="A480" s="94" t="str">
        <x:v>T0476</x:v>
      </x:c>
      <x:c r="B480" s="95" t="str">
        <x:v>数据与互操作基础设施</x:v>
      </x:c>
      <x:c r="C480" s="95" t="str">
        <x:v>互操作、中间件、编排与调度</x:v>
      </x:c>
      <x:c r="D480" s="95" t="str">
        <x:v>研究储备</x:v>
      </x:c>
      <x:c r="E480" s="100" t="n">
        <x:v>6</x:v>
      </x:c>
      <x:c r="F480" s="95" t="str">
        <x:v>两线共用</x:v>
      </x:c>
      <x:c r="G480" s="95" t="str">
        <x:v>F 数据、协议与复现</x:v>
      </x:c>
      <x:c r="H480" s="95" t="str">
        <x:v>分布式追踪</x:v>
      </x:c>
      <x:c r="I480" s="95" t="str">
        <x:v>连接前后端、仪器、分析服务和优化器，并保证幂等与可恢复。</x:v>
      </x:c>
      <x:c r="J480" s="95" t="str">
        <x:v>建立统一ID、原始数据不可变、协议/代码版本、W3C PROV/RO-Crate复现包。</x:v>
      </x:c>
      <x:c r="K480" s="95" t="str">
        <x:v>可直接支撑当前EIS-only闭环。</x:v>
      </x:c>
      <x:c r="L480" s="95" t="str">
        <x:v>M3 研究储备</x:v>
      </x:c>
      <x:c r="M480" s="95" t="str">
        <x:v>条件具备后</x:v>
      </x:c>
      <x:c r="N480" s="95" t="str">
        <x:v>P2</x:v>
      </x:c>
      <x:c r="O480" s="95" t="str">
        <x:v>https://reference.opcfoundation.org/specs/OPC-10030/4/</x:v>
      </x:c>
      <x:c r="P480" s="96" t="str">
        <x:v>待评审</x:v>
      </x:c>
    </x:row>
    <x:row r="481">
      <x:c r="A481" s="94" t="str">
        <x:v>T0477</x:v>
      </x:c>
      <x:c r="B481" s="95" t="str">
        <x:v>数据与互操作基础设施</x:v>
      </x:c>
      <x:c r="C481" s="95" t="str">
        <x:v>互操作、中间件、编排与调度</x:v>
      </x:c>
      <x:c r="D481" s="95" t="str">
        <x:v>研究储备</x:v>
      </x:c>
      <x:c r="E481" s="100" t="n">
        <x:v>6</x:v>
      </x:c>
      <x:c r="F481" s="95" t="str">
        <x:v>两线共用</x:v>
      </x:c>
      <x:c r="G481" s="95" t="str">
        <x:v>F 数据、协议与复现</x:v>
      </x:c>
      <x:c r="H481" s="95" t="str">
        <x:v>日志/指标/告警</x:v>
      </x:c>
      <x:c r="I481" s="95" t="str">
        <x:v>连接前后端、仪器、分析服务和优化器，并保证幂等与可恢复。</x:v>
      </x:c>
      <x:c r="J481" s="95" t="str">
        <x:v>建立统一ID、原始数据不可变、协议/代码版本、W3C PROV/RO-Crate复现包。</x:v>
      </x:c>
      <x:c r="K481" s="95" t="str">
        <x:v>可直接支撑当前EIS-only闭环。</x:v>
      </x:c>
      <x:c r="L481" s="95" t="str">
        <x:v>M3 研究储备</x:v>
      </x:c>
      <x:c r="M481" s="95" t="str">
        <x:v>条件具备后</x:v>
      </x:c>
      <x:c r="N481" s="95" t="str">
        <x:v>P2</x:v>
      </x:c>
      <x:c r="O481" s="95" t="str">
        <x:v>https://www.science.org/doi/10.1126/scirobotics.aat5559</x:v>
      </x:c>
      <x:c r="P481" s="96" t="str">
        <x:v>待评审</x:v>
      </x:c>
    </x:row>
    <x:row r="482">
      <x:c r="A482" s="94" t="str">
        <x:v>T0478</x:v>
      </x:c>
      <x:c r="B482" s="95" t="str">
        <x:v>数据与互操作基础设施</x:v>
      </x:c>
      <x:c r="C482" s="95" t="str">
        <x:v>互操作、中间件、编排与调度</x:v>
      </x:c>
      <x:c r="D482" s="95" t="str">
        <x:v>研究储备</x:v>
      </x:c>
      <x:c r="E482" s="100" t="n">
        <x:v>5</x:v>
      </x:c>
      <x:c r="F482" s="95" t="str">
        <x:v>两线共用</x:v>
      </x:c>
      <x:c r="G482" s="95" t="str">
        <x:v>F 数据、协议与复现</x:v>
      </x:c>
      <x:c r="H482" s="95" t="str">
        <x:v>配置与密钥管理</x:v>
      </x:c>
      <x:c r="I482" s="95" t="str">
        <x:v>连接前后端、仪器、分析服务和优化器，并保证幂等与可恢复。</x:v>
      </x:c>
      <x:c r="J482" s="95" t="str">
        <x:v>建立统一ID、原始数据不可变、协议/代码版本、W3C PROV/RO-Crate复现包。</x:v>
      </x:c>
      <x:c r="K482" s="95" t="str">
        <x:v>可直接支撑当前EIS-only闭环。</x:v>
      </x:c>
      <x:c r="L482" s="95" t="str">
        <x:v>M3 研究储备</x:v>
      </x:c>
      <x:c r="M482" s="95" t="str">
        <x:v>条件具备后</x:v>
      </x:c>
      <x:c r="N482" s="95" t="str">
        <x:v>P2</x:v>
      </x:c>
      <x:c r="O482" s="95" t="str">
        <x:v>https://sila-standard.com/standards/</x:v>
      </x:c>
      <x:c r="P482" s="96" t="str">
        <x:v>待评审</x:v>
      </x:c>
    </x:row>
    <x:row r="483">
      <x:c r="A483" s="94" t="str">
        <x:v>T0479</x:v>
      </x:c>
      <x:c r="B483" s="95" t="str">
        <x:v>数据与互操作基础设施</x:v>
      </x:c>
      <x:c r="C483" s="95" t="str">
        <x:v>互操作、中间件、编排与调度</x:v>
      </x:c>
      <x:c r="D483" s="95" t="str">
        <x:v>研究储备</x:v>
      </x:c>
      <x:c r="E483" s="100" t="n">
        <x:v>5</x:v>
      </x:c>
      <x:c r="F483" s="95" t="str">
        <x:v>两线共用</x:v>
      </x:c>
      <x:c r="G483" s="95" t="str">
        <x:v>F 数据、协议与复现</x:v>
      </x:c>
      <x:c r="H483" s="95" t="str">
        <x:v>容器化边缘部署</x:v>
      </x:c>
      <x:c r="I483" s="95" t="str">
        <x:v>连接前后端、仪器、分析服务和优化器，并保证幂等与可恢复。</x:v>
      </x:c>
      <x:c r="J483" s="95" t="str">
        <x:v>建立统一ID、原始数据不可变、协议/代码版本、W3C PROV/RO-Crate复现包。</x:v>
      </x:c>
      <x:c r="K483" s="95" t="str">
        <x:v>可直接支撑当前EIS-only闭环。</x:v>
      </x:c>
      <x:c r="L483" s="95" t="str">
        <x:v>M3 研究储备</x:v>
      </x:c>
      <x:c r="M483" s="95" t="str">
        <x:v>条件具备后</x:v>
      </x:c>
      <x:c r="N483" s="95" t="str">
        <x:v>P2</x:v>
      </x:c>
      <x:c r="O483" s="95" t="str">
        <x:v>https://www.isa.org/standards-and-publications/isa-standards/isa-88-standards</x:v>
      </x:c>
      <x:c r="P483" s="96" t="str">
        <x:v>待评审</x:v>
      </x:c>
    </x:row>
    <x:row r="484">
      <x:c r="A484" s="94" t="str">
        <x:v>T0480</x:v>
      </x:c>
      <x:c r="B484" s="95" t="str">
        <x:v>数据与互操作基础设施</x:v>
      </x:c>
      <x:c r="C484" s="95" t="str">
        <x:v>互操作、中间件、编排与调度</x:v>
      </x:c>
      <x:c r="D484" s="95" t="str">
        <x:v>研究储备</x:v>
      </x:c>
      <x:c r="E484" s="100" t="n">
        <x:v>5</x:v>
      </x:c>
      <x:c r="F484" s="95" t="str">
        <x:v>两线共用</x:v>
      </x:c>
      <x:c r="G484" s="95" t="str">
        <x:v>F 数据、协议与复现</x:v>
      </x:c>
      <x:c r="H484" s="95" t="str">
        <x:v>基础设施即代码</x:v>
      </x:c>
      <x:c r="I484" s="95" t="str">
        <x:v>连接前后端、仪器、分析服务和优化器，并保证幂等与可恢复。</x:v>
      </x:c>
      <x:c r="J484" s="95" t="str">
        <x:v>建立统一ID、原始数据不可变、协议/代码版本、W3C PROV/RO-Crate复现包。</x:v>
      </x:c>
      <x:c r="K484" s="95" t="str">
        <x:v>可直接支撑当前EIS-only闭环。</x:v>
      </x:c>
      <x:c r="L484" s="95" t="str">
        <x:v>M3 研究储备</x:v>
      </x:c>
      <x:c r="M484" s="95" t="str">
        <x:v>条件具备后</x:v>
      </x:c>
      <x:c r="N484" s="95" t="str">
        <x:v>P2</x:v>
      </x:c>
      <x:c r="O484" s="95" t="str">
        <x:v>https://reference.opcfoundation.org/specs/OPC-10030/4/</x:v>
      </x:c>
      <x:c r="P484" s="96" t="str">
        <x:v>待评审</x:v>
      </x:c>
    </x:row>
    <x:row r="485">
      <x:c r="A485" s="94" t="str">
        <x:v>T0481</x:v>
      </x:c>
      <x:c r="B485" s="95" t="str">
        <x:v>实验设计与闭环优化</x:v>
      </x:c>
      <x:c r="C485" s="95" t="str">
        <x:v>试验设计与统计</x:v>
      </x:c>
      <x:c r="D485" s="95" t="str">
        <x:v>核心必需</x:v>
      </x:c>
      <x:c r="E485" s="100" t="n">
        <x:v>11</x:v>
      </x:c>
      <x:c r="F485" s="95" t="str">
        <x:v>闭环优化</x:v>
      </x:c>
      <x:c r="G485" s="95" t="str">
        <x:v>D 闭环优化与高效实验</x:v>
      </x:c>
      <x:c r="H485" s="95" t="str">
        <x:v>实验目标定义</x:v>
      </x:c>
      <x:c r="I485" s="95" t="str">
        <x:v>在小样本、批次效应和昂贵实验下分离配方效应、顺序效应与噪声。</x:v>
      </x:c>
      <x:c r="J485" s="95" t="str">
        <x:v>用于混料/工艺设计空间、可行性模型、成本感知约束BO和自适应重复。</x:v>
      </x:c>
      <x:c r="K485" s="95" t="str">
        <x:v>可直接支撑当前EIS-only闭环。</x:v>
      </x:c>
      <x:c r="L485" s="95" t="str">
        <x:v>M1 前瞻验证（2–5月）</x:v>
      </x:c>
      <x:c r="M485" s="95" t="str">
        <x:v>第二批接入</x:v>
      </x:c>
      <x:c r="N485" s="95" t="str">
        <x:v>P0</x:v>
      </x:c>
      <x:c r="O485" s="95" t="str">
        <x:v>https://pubs.acs.org/doi/10.1021/acs.chemrev.4c00055</x:v>
      </x:c>
      <x:c r="P485" s="96" t="str">
        <x:v>待评审</x:v>
      </x:c>
    </x:row>
    <x:row r="486">
      <x:c r="A486" s="94" t="str">
        <x:v>T0482</x:v>
      </x:c>
      <x:c r="B486" s="95" t="str">
        <x:v>实验设计与闭环优化</x:v>
      </x:c>
      <x:c r="C486" s="95" t="str">
        <x:v>试验设计与统计</x:v>
      </x:c>
      <x:c r="D486" s="95" t="str">
        <x:v>核心必需</x:v>
      </x:c>
      <x:c r="E486" s="100" t="n">
        <x:v>11</x:v>
      </x:c>
      <x:c r="F486" s="95" t="str">
        <x:v>闭环优化</x:v>
      </x:c>
      <x:c r="G486" s="95" t="str">
        <x:v>D 闭环优化与高效实验</x:v>
      </x:c>
      <x:c r="H486" s="95" t="str">
        <x:v>响应变量定义</x:v>
      </x:c>
      <x:c r="I486" s="95" t="str">
        <x:v>在小样本、批次效应和昂贵实验下分离配方效应、顺序效应与噪声。</x:v>
      </x:c>
      <x:c r="J486" s="95" t="str">
        <x:v>用于混料/工艺设计空间、可行性模型、成本感知约束BO和自适应重复。</x:v>
      </x:c>
      <x:c r="K486" s="95" t="str">
        <x:v>可直接支撑当前EIS-only闭环。</x:v>
      </x:c>
      <x:c r="L486" s="95" t="str">
        <x:v>M1 前瞻验证（2–5月）</x:v>
      </x:c>
      <x:c r="M486" s="95" t="str">
        <x:v>第二批接入</x:v>
      </x:c>
      <x:c r="N486" s="95" t="str">
        <x:v>P0</x:v>
      </x:c>
      <x:c r="O486" s="95" t="str">
        <x:v>https://www.science.org/doi/10.1126/sciadv.abg4930</x:v>
      </x:c>
      <x:c r="P486" s="96" t="str">
        <x:v>待评审</x:v>
      </x:c>
    </x:row>
    <x:row r="487">
      <x:c r="A487" s="94" t="str">
        <x:v>T0483</x:v>
      </x:c>
      <x:c r="B487" s="95" t="str">
        <x:v>实验设计与闭环优化</x:v>
      </x:c>
      <x:c r="C487" s="95" t="str">
        <x:v>试验设计与统计</x:v>
      </x:c>
      <x:c r="D487" s="95" t="str">
        <x:v>核心必需</x:v>
      </x:c>
      <x:c r="E487" s="100" t="n">
        <x:v>11</x:v>
      </x:c>
      <x:c r="F487" s="95" t="str">
        <x:v>闭环优化</x:v>
      </x:c>
      <x:c r="G487" s="95" t="str">
        <x:v>D 闭环优化与高效实验</x:v>
      </x:c>
      <x:c r="H487" s="95" t="str">
        <x:v>因素与水平</x:v>
      </x:c>
      <x:c r="I487" s="95" t="str">
        <x:v>在小样本、批次效应和昂贵实验下分离配方效应、顺序效应与噪声。</x:v>
      </x:c>
      <x:c r="J487" s="95" t="str">
        <x:v>用于混料/工艺设计空间、可行性模型、成本感知约束BO和自适应重复。</x:v>
      </x:c>
      <x:c r="K487" s="95" t="str">
        <x:v>可直接支撑当前EIS-only闭环。</x:v>
      </x:c>
      <x:c r="L487" s="95" t="str">
        <x:v>M1 前瞻验证（2–5月）</x:v>
      </x:c>
      <x:c r="M487" s="95" t="str">
        <x:v>第二批接入</x:v>
      </x:c>
      <x:c r="N487" s="95" t="str">
        <x:v>P0</x:v>
      </x:c>
      <x:c r="O487" s="95" t="str">
        <x:v>https://proceedings.neurips.cc/paper_files/paper/2020/file/f5b1b89d98b7286673128a5fb112cb9a-Paper.pdf</x:v>
      </x:c>
      <x:c r="P487" s="96" t="str">
        <x:v>待评审</x:v>
      </x:c>
    </x:row>
    <x:row r="488">
      <x:c r="A488" s="94" t="str">
        <x:v>T0484</x:v>
      </x:c>
      <x:c r="B488" s="95" t="str">
        <x:v>实验设计与闭环优化</x:v>
      </x:c>
      <x:c r="C488" s="95" t="str">
        <x:v>试验设计与统计</x:v>
      </x:c>
      <x:c r="D488" s="95" t="str">
        <x:v>核心必需</x:v>
      </x:c>
      <x:c r="E488" s="100" t="n">
        <x:v>12</x:v>
      </x:c>
      <x:c r="F488" s="95" t="str">
        <x:v>闭环优化</x:v>
      </x:c>
      <x:c r="G488" s="95" t="str">
        <x:v>D 闭环优化与高效实验</x:v>
      </x:c>
      <x:c r="H488" s="95" t="str">
        <x:v>干扰因素</x:v>
      </x:c>
      <x:c r="I488" s="95" t="str">
        <x:v>在小样本、批次效应和昂贵实验下分离配方效应、顺序效应与噪声。</x:v>
      </x:c>
      <x:c r="J488" s="95" t="str">
        <x:v>用于混料/工艺设计空间、可行性模型、成本感知约束BO和自适应重复。</x:v>
      </x:c>
      <x:c r="K488" s="95" t="str">
        <x:v>可直接支撑当前EIS-only闭环。</x:v>
      </x:c>
      <x:c r="L488" s="95" t="str">
        <x:v>M0 主流程接入（0–2月）</x:v>
      </x:c>
      <x:c r="M488" s="95" t="str">
        <x:v>首批接入</x:v>
      </x:c>
      <x:c r="N488" s="95" t="str">
        <x:v>P0</x:v>
      </x:c>
      <x:c r="O488" s="95" t="str">
        <x:v>https://www.itl.nist.gov/div898/handbook/</x:v>
      </x:c>
      <x:c r="P488" s="96" t="str">
        <x:v>待评审</x:v>
      </x:c>
    </x:row>
    <x:row r="489">
      <x:c r="A489" s="94" t="str">
        <x:v>T0485</x:v>
      </x:c>
      <x:c r="B489" s="95" t="str">
        <x:v>实验设计与闭环优化</x:v>
      </x:c>
      <x:c r="C489" s="95" t="str">
        <x:v>试验设计与统计</x:v>
      </x:c>
      <x:c r="D489" s="95" t="str">
        <x:v>核心必需</x:v>
      </x:c>
      <x:c r="E489" s="100" t="n">
        <x:v>12</x:v>
      </x:c>
      <x:c r="F489" s="95" t="str">
        <x:v>闭环优化</x:v>
      </x:c>
      <x:c r="G489" s="95" t="str">
        <x:v>D 闭环优化与高效实验</x:v>
      </x:c>
      <x:c r="H489" s="95" t="str">
        <x:v>区组设计</x:v>
      </x:c>
      <x:c r="I489" s="95" t="str">
        <x:v>在小样本、批次效应和昂贵实验下分离配方效应、顺序效应与噪声。</x:v>
      </x:c>
      <x:c r="J489" s="95" t="str">
        <x:v>用于混料/工艺设计空间、可行性模型、成本感知约束BO和自适应重复。</x:v>
      </x:c>
      <x:c r="K489" s="95" t="str">
        <x:v>可直接支撑当前EIS-only闭环。</x:v>
      </x:c>
      <x:c r="L489" s="95" t="str">
        <x:v>M0 主流程接入（0–2月）</x:v>
      </x:c>
      <x:c r="M489" s="95" t="str">
        <x:v>首批接入</x:v>
      </x:c>
      <x:c r="N489" s="95" t="str">
        <x:v>P0</x:v>
      </x:c>
      <x:c r="O489" s="95" t="str">
        <x:v>https://pubs.acs.org/doi/10.1021/acs.chemrev.4c00055</x:v>
      </x:c>
      <x:c r="P489" s="96" t="str">
        <x:v>待评审</x:v>
      </x:c>
    </x:row>
    <x:row r="490">
      <x:c r="A490" s="94" t="str">
        <x:v>T0486</x:v>
      </x:c>
      <x:c r="B490" s="95" t="str">
        <x:v>实验设计与闭环优化</x:v>
      </x:c>
      <x:c r="C490" s="95" t="str">
        <x:v>试验设计与统计</x:v>
      </x:c>
      <x:c r="D490" s="95" t="str">
        <x:v>核心必需</x:v>
      </x:c>
      <x:c r="E490" s="100" t="n">
        <x:v>12</x:v>
      </x:c>
      <x:c r="F490" s="95" t="str">
        <x:v>闭环优化</x:v>
      </x:c>
      <x:c r="G490" s="95" t="str">
        <x:v>D 闭环优化与高效实验</x:v>
      </x:c>
      <x:c r="H490" s="95" t="str">
        <x:v>随机化</x:v>
      </x:c>
      <x:c r="I490" s="95" t="str">
        <x:v>在小样本、批次效应和昂贵实验下分离配方效应、顺序效应与噪声。</x:v>
      </x:c>
      <x:c r="J490" s="95" t="str">
        <x:v>用于混料/工艺设计空间、可行性模型、成本感知约束BO和自适应重复。</x:v>
      </x:c>
      <x:c r="K490" s="95" t="str">
        <x:v>可直接支撑当前EIS-only闭环。</x:v>
      </x:c>
      <x:c r="L490" s="95" t="str">
        <x:v>M0 主流程接入（0–2月）</x:v>
      </x:c>
      <x:c r="M490" s="95" t="str">
        <x:v>首批接入</x:v>
      </x:c>
      <x:c r="N490" s="95" t="str">
        <x:v>P0</x:v>
      </x:c>
      <x:c r="O490" s="95" t="str">
        <x:v>https://www.science.org/doi/10.1126/sciadv.abg4930</x:v>
      </x:c>
      <x:c r="P490" s="96" t="str">
        <x:v>待评审</x:v>
      </x:c>
    </x:row>
    <x:row r="491">
      <x:c r="A491" s="94" t="str">
        <x:v>T0487</x:v>
      </x:c>
      <x:c r="B491" s="95" t="str">
        <x:v>实验设计与闭环优化</x:v>
      </x:c>
      <x:c r="C491" s="95" t="str">
        <x:v>试验设计与统计</x:v>
      </x:c>
      <x:c r="D491" s="95" t="str">
        <x:v>核心必需</x:v>
      </x:c>
      <x:c r="E491" s="100" t="n">
        <x:v>12</x:v>
      </x:c>
      <x:c r="F491" s="95" t="str">
        <x:v>闭环优化</x:v>
      </x:c>
      <x:c r="G491" s="95" t="str">
        <x:v>D 闭环优化与高效实验</x:v>
      </x:c>
      <x:c r="H491" s="95" t="str">
        <x:v>重复</x:v>
      </x:c>
      <x:c r="I491" s="95" t="str">
        <x:v>在小样本、批次效应和昂贵实验下分离配方效应、顺序效应与噪声。</x:v>
      </x:c>
      <x:c r="J491" s="95" t="str">
        <x:v>用于混料/工艺设计空间、可行性模型、成本感知约束BO和自适应重复。</x:v>
      </x:c>
      <x:c r="K491" s="95" t="str">
        <x:v>可直接支撑当前EIS-only闭环。</x:v>
      </x:c>
      <x:c r="L491" s="95" t="str">
        <x:v>M0 主流程接入（0–2月）</x:v>
      </x:c>
      <x:c r="M491" s="95" t="str">
        <x:v>首批接入</x:v>
      </x:c>
      <x:c r="N491" s="95" t="str">
        <x:v>P0</x:v>
      </x:c>
      <x:c r="O491" s="95" t="str">
        <x:v>https://proceedings.neurips.cc/paper_files/paper/2020/file/f5b1b89d98b7286673128a5fb112cb9a-Paper.pdf</x:v>
      </x:c>
      <x:c r="P491" s="96" t="str">
        <x:v>待评审</x:v>
      </x:c>
    </x:row>
    <x:row r="492">
      <x:c r="A492" s="94" t="str">
        <x:v>T0488</x:v>
      </x:c>
      <x:c r="B492" s="95" t="str">
        <x:v>实验设计与闭环优化</x:v>
      </x:c>
      <x:c r="C492" s="95" t="str">
        <x:v>试验设计与统计</x:v>
      </x:c>
      <x:c r="D492" s="95" t="str">
        <x:v>核心必需</x:v>
      </x:c>
      <x:c r="E492" s="100" t="n">
        <x:v>12</x:v>
      </x:c>
      <x:c r="F492" s="95" t="str">
        <x:v>闭环优化</x:v>
      </x:c>
      <x:c r="G492" s="95" t="str">
        <x:v>D 闭环优化与高效实验</x:v>
      </x:c>
      <x:c r="H492" s="95" t="str">
        <x:v>对照组</x:v>
      </x:c>
      <x:c r="I492" s="95" t="str">
        <x:v>在小样本、批次效应和昂贵实验下分离配方效应、顺序效应与噪声。</x:v>
      </x:c>
      <x:c r="J492" s="95" t="str">
        <x:v>用于混料/工艺设计空间、可行性模型、成本感知约束BO和自适应重复。</x:v>
      </x:c>
      <x:c r="K492" s="95" t="str">
        <x:v>可直接支撑当前EIS-only闭环。</x:v>
      </x:c>
      <x:c r="L492" s="95" t="str">
        <x:v>M0 主流程接入（0–2月）</x:v>
      </x:c>
      <x:c r="M492" s="95" t="str">
        <x:v>首批接入</x:v>
      </x:c>
      <x:c r="N492" s="95" t="str">
        <x:v>P0</x:v>
      </x:c>
      <x:c r="O492" s="95" t="str">
        <x:v>https://www.itl.nist.gov/div898/handbook/</x:v>
      </x:c>
      <x:c r="P492" s="96" t="str">
        <x:v>待评审</x:v>
      </x:c>
    </x:row>
    <x:row r="493">
      <x:c r="A493" s="94" t="str">
        <x:v>T0489</x:v>
      </x:c>
      <x:c r="B493" s="95" t="str">
        <x:v>实验设计与闭环优化</x:v>
      </x:c>
      <x:c r="C493" s="95" t="str">
        <x:v>试验设计与统计</x:v>
      </x:c>
      <x:c r="D493" s="95" t="str">
        <x:v>核心必需</x:v>
      </x:c>
      <x:c r="E493" s="100" t="n">
        <x:v>11</x:v>
      </x:c>
      <x:c r="F493" s="95" t="str">
        <x:v>闭环优化</x:v>
      </x:c>
      <x:c r="G493" s="95" t="str">
        <x:v>D 闭环优化与高效实验</x:v>
      </x:c>
      <x:c r="H493" s="95" t="str">
        <x:v>空白样</x:v>
      </x:c>
      <x:c r="I493" s="95" t="str">
        <x:v>在小样本、批次效应和昂贵实验下分离配方效应、顺序效应与噪声。</x:v>
      </x:c>
      <x:c r="J493" s="95" t="str">
        <x:v>用于混料/工艺设计空间、可行性模型、成本感知约束BO和自适应重复。</x:v>
      </x:c>
      <x:c r="K493" s="95" t="str">
        <x:v>可直接支撑当前EIS-only闭环。</x:v>
      </x:c>
      <x:c r="L493" s="95" t="str">
        <x:v>M1 前瞻验证（2–5月）</x:v>
      </x:c>
      <x:c r="M493" s="95" t="str">
        <x:v>第二批接入</x:v>
      </x:c>
      <x:c r="N493" s="95" t="str">
        <x:v>P0</x:v>
      </x:c>
      <x:c r="O493" s="95" t="str">
        <x:v>https://pubs.acs.org/doi/10.1021/acs.chemrev.4c00055</x:v>
      </x:c>
      <x:c r="P493" s="96" t="str">
        <x:v>待评审</x:v>
      </x:c>
    </x:row>
    <x:row r="494">
      <x:c r="A494" s="94" t="str">
        <x:v>T0490</x:v>
      </x:c>
      <x:c r="B494" s="95" t="str">
        <x:v>实验设计与闭环优化</x:v>
      </x:c>
      <x:c r="C494" s="95" t="str">
        <x:v>试验设计与统计</x:v>
      </x:c>
      <x:c r="D494" s="95" t="str">
        <x:v>核心必需</x:v>
      </x:c>
      <x:c r="E494" s="100" t="n">
        <x:v>11</x:v>
      </x:c>
      <x:c r="F494" s="95" t="str">
        <x:v>闭环优化</x:v>
      </x:c>
      <x:c r="G494" s="95" t="str">
        <x:v>D 闭环优化与高效实验</x:v>
      </x:c>
      <x:c r="H494" s="95" t="str">
        <x:v>标准样</x:v>
      </x:c>
      <x:c r="I494" s="95" t="str">
        <x:v>在小样本、批次效应和昂贵实验下分离配方效应、顺序效应与噪声。</x:v>
      </x:c>
      <x:c r="J494" s="95" t="str">
        <x:v>用于混料/工艺设计空间、可行性模型、成本感知约束BO和自适应重复。</x:v>
      </x:c>
      <x:c r="K494" s="95" t="str">
        <x:v>可直接支撑当前EIS-only闭环。</x:v>
      </x:c>
      <x:c r="L494" s="95" t="str">
        <x:v>M1 前瞻验证（2–5月）</x:v>
      </x:c>
      <x:c r="M494" s="95" t="str">
        <x:v>第二批接入</x:v>
      </x:c>
      <x:c r="N494" s="95" t="str">
        <x:v>P0</x:v>
      </x:c>
      <x:c r="O494" s="95" t="str">
        <x:v>https://www.science.org/doi/10.1126/sciadv.abg4930</x:v>
      </x:c>
      <x:c r="P494" s="96" t="str">
        <x:v>待评审</x:v>
      </x:c>
    </x:row>
    <x:row r="495">
      <x:c r="A495" s="94" t="str">
        <x:v>T0491</x:v>
      </x:c>
      <x:c r="B495" s="95" t="str">
        <x:v>实验设计与闭环优化</x:v>
      </x:c>
      <x:c r="C495" s="95" t="str">
        <x:v>试验设计与统计</x:v>
      </x:c>
      <x:c r="D495" s="95" t="str">
        <x:v>核心必需</x:v>
      </x:c>
      <x:c r="E495" s="100" t="n">
        <x:v>11</x:v>
      </x:c>
      <x:c r="F495" s="95" t="str">
        <x:v>闭环优化</x:v>
      </x:c>
      <x:c r="G495" s="95" t="str">
        <x:v>D 闭环优化与高效实验</x:v>
      </x:c>
      <x:c r="H495" s="95" t="str">
        <x:v>全因子设计</x:v>
      </x:c>
      <x:c r="I495" s="95" t="str">
        <x:v>在小样本、批次效应和昂贵实验下分离配方效应、顺序效应与噪声。</x:v>
      </x:c>
      <x:c r="J495" s="95" t="str">
        <x:v>用于混料/工艺设计空间、可行性模型、成本感知约束BO和自适应重复。</x:v>
      </x:c>
      <x:c r="K495" s="95" t="str">
        <x:v>可直接支撑当前EIS-only闭环。</x:v>
      </x:c>
      <x:c r="L495" s="95" t="str">
        <x:v>M1 前瞻验证（2–5月）</x:v>
      </x:c>
      <x:c r="M495" s="95" t="str">
        <x:v>第二批接入</x:v>
      </x:c>
      <x:c r="N495" s="95" t="str">
        <x:v>P1</x:v>
      </x:c>
      <x:c r="O495" s="95" t="str">
        <x:v>https://proceedings.neurips.cc/paper_files/paper/2020/file/f5b1b89d98b7286673128a5fb112cb9a-Paper.pdf</x:v>
      </x:c>
      <x:c r="P495" s="96" t="str">
        <x:v>待评审</x:v>
      </x:c>
    </x:row>
    <x:row r="496">
      <x:c r="A496" s="94" t="str">
        <x:v>T0492</x:v>
      </x:c>
      <x:c r="B496" s="95" t="str">
        <x:v>实验设计与闭环优化</x:v>
      </x:c>
      <x:c r="C496" s="95" t="str">
        <x:v>试验设计与统计</x:v>
      </x:c>
      <x:c r="D496" s="95" t="str">
        <x:v>核心必需</x:v>
      </x:c>
      <x:c r="E496" s="100" t="n">
        <x:v>11</x:v>
      </x:c>
      <x:c r="F496" s="95" t="str">
        <x:v>闭环优化</x:v>
      </x:c>
      <x:c r="G496" s="95" t="str">
        <x:v>D 闭环优化与高效实验</x:v>
      </x:c>
      <x:c r="H496" s="95" t="str">
        <x:v>分数因子设计</x:v>
      </x:c>
      <x:c r="I496" s="95" t="str">
        <x:v>在小样本、批次效应和昂贵实验下分离配方效应、顺序效应与噪声。</x:v>
      </x:c>
      <x:c r="J496" s="95" t="str">
        <x:v>用于混料/工艺设计空间、可行性模型、成本感知约束BO和自适应重复。</x:v>
      </x:c>
      <x:c r="K496" s="95" t="str">
        <x:v>可直接支撑当前EIS-only闭环。</x:v>
      </x:c>
      <x:c r="L496" s="95" t="str">
        <x:v>M1 前瞻验证（2–5月）</x:v>
      </x:c>
      <x:c r="M496" s="95" t="str">
        <x:v>第二批接入</x:v>
      </x:c>
      <x:c r="N496" s="95" t="str">
        <x:v>P1</x:v>
      </x:c>
      <x:c r="O496" s="95" t="str">
        <x:v>https://www.itl.nist.gov/div898/handbook/</x:v>
      </x:c>
      <x:c r="P496" s="96" t="str">
        <x:v>待评审</x:v>
      </x:c>
    </x:row>
    <x:row r="497">
      <x:c r="A497" s="94" t="str">
        <x:v>T0493</x:v>
      </x:c>
      <x:c r="B497" s="95" t="str">
        <x:v>实验设计与闭环优化</x:v>
      </x:c>
      <x:c r="C497" s="95" t="str">
        <x:v>试验设计与统计</x:v>
      </x:c>
      <x:c r="D497" s="95" t="str">
        <x:v>核心必需</x:v>
      </x:c>
      <x:c r="E497" s="100" t="n">
        <x:v>11</x:v>
      </x:c>
      <x:c r="F497" s="95" t="str">
        <x:v>闭环优化</x:v>
      </x:c>
      <x:c r="G497" s="95" t="str">
        <x:v>D 闭环优化与高效实验</x:v>
      </x:c>
      <x:c r="H497" s="95" t="str">
        <x:v>Plackett-Burman筛选</x:v>
      </x:c>
      <x:c r="I497" s="95" t="str">
        <x:v>在小样本、批次效应和昂贵实验下分离配方效应、顺序效应与噪声。</x:v>
      </x:c>
      <x:c r="J497" s="95" t="str">
        <x:v>用于混料/工艺设计空间、可行性模型、成本感知约束BO和自适应重复。</x:v>
      </x:c>
      <x:c r="K497" s="95" t="str">
        <x:v>可直接支撑当前EIS-only闭环。</x:v>
      </x:c>
      <x:c r="L497" s="95" t="str">
        <x:v>M1 前瞻验证（2–5月）</x:v>
      </x:c>
      <x:c r="M497" s="95" t="str">
        <x:v>第二批接入</x:v>
      </x:c>
      <x:c r="N497" s="95" t="str">
        <x:v>P1</x:v>
      </x:c>
      <x:c r="O497" s="95" t="str">
        <x:v>https://pubs.acs.org/doi/10.1021/acs.chemrev.4c00055</x:v>
      </x:c>
      <x:c r="P497" s="96" t="str">
        <x:v>待评审</x:v>
      </x:c>
    </x:row>
    <x:row r="498">
      <x:c r="A498" s="94" t="str">
        <x:v>T0494</x:v>
      </x:c>
      <x:c r="B498" s="95" t="str">
        <x:v>实验设计与闭环优化</x:v>
      </x:c>
      <x:c r="C498" s="95" t="str">
        <x:v>试验设计与统计</x:v>
      </x:c>
      <x:c r="D498" s="95" t="str">
        <x:v>核心必需</x:v>
      </x:c>
      <x:c r="E498" s="100" t="n">
        <x:v>11</x:v>
      </x:c>
      <x:c r="F498" s="95" t="str">
        <x:v>闭环优化</x:v>
      </x:c>
      <x:c r="G498" s="95" t="str">
        <x:v>D 闭环优化与高效实验</x:v>
      </x:c>
      <x:c r="H498" s="95" t="str">
        <x:v>确定性筛选设计</x:v>
      </x:c>
      <x:c r="I498" s="95" t="str">
        <x:v>在小样本、批次效应和昂贵实验下分离配方效应、顺序效应与噪声。</x:v>
      </x:c>
      <x:c r="J498" s="95" t="str">
        <x:v>用于混料/工艺设计空间、可行性模型、成本感知约束BO和自适应重复。</x:v>
      </x:c>
      <x:c r="K498" s="95" t="str">
        <x:v>可直接支撑当前EIS-only闭环。</x:v>
      </x:c>
      <x:c r="L498" s="95" t="str">
        <x:v>M1 前瞻验证（2–5月）</x:v>
      </x:c>
      <x:c r="M498" s="95" t="str">
        <x:v>第二批接入</x:v>
      </x:c>
      <x:c r="N498" s="95" t="str">
        <x:v>P1</x:v>
      </x:c>
      <x:c r="O498" s="95" t="str">
        <x:v>https://www.science.org/doi/10.1126/sciadv.abg4930</x:v>
      </x:c>
      <x:c r="P498" s="96" t="str">
        <x:v>待评审</x:v>
      </x:c>
    </x:row>
    <x:row r="499">
      <x:c r="A499" s="94" t="str">
        <x:v>T0495</x:v>
      </x:c>
      <x:c r="B499" s="95" t="str">
        <x:v>实验设计与闭环优化</x:v>
      </x:c>
      <x:c r="C499" s="95" t="str">
        <x:v>试验设计与统计</x:v>
      </x:c>
      <x:c r="D499" s="95" t="str">
        <x:v>核心必需</x:v>
      </x:c>
      <x:c r="E499" s="100" t="n">
        <x:v>11</x:v>
      </x:c>
      <x:c r="F499" s="95" t="str">
        <x:v>闭环优化</x:v>
      </x:c>
      <x:c r="G499" s="95" t="str">
        <x:v>D 闭环优化与高效实验</x:v>
      </x:c>
      <x:c r="H499" s="95" t="str">
        <x:v>拉丁超立方</x:v>
      </x:c>
      <x:c r="I499" s="95" t="str">
        <x:v>在小样本、批次效应和昂贵实验下分离配方效应、顺序效应与噪声。</x:v>
      </x:c>
      <x:c r="J499" s="95" t="str">
        <x:v>用于混料/工艺设计空间、可行性模型、成本感知约束BO和自适应重复。</x:v>
      </x:c>
      <x:c r="K499" s="95" t="str">
        <x:v>可直接支撑当前EIS-only闭环。</x:v>
      </x:c>
      <x:c r="L499" s="95" t="str">
        <x:v>M1 前瞻验证（2–5月）</x:v>
      </x:c>
      <x:c r="M499" s="95" t="str">
        <x:v>第二批接入</x:v>
      </x:c>
      <x:c r="N499" s="95" t="str">
        <x:v>P1</x:v>
      </x:c>
      <x:c r="O499" s="95" t="str">
        <x:v>https://proceedings.neurips.cc/paper_files/paper/2020/file/f5b1b89d98b7286673128a5fb112cb9a-Paper.pdf</x:v>
      </x:c>
      <x:c r="P499" s="96" t="str">
        <x:v>待评审</x:v>
      </x:c>
    </x:row>
    <x:row r="500">
      <x:c r="A500" s="94" t="str">
        <x:v>T0496</x:v>
      </x:c>
      <x:c r="B500" s="95" t="str">
        <x:v>实验设计与闭环优化</x:v>
      </x:c>
      <x:c r="C500" s="95" t="str">
        <x:v>试验设计与统计</x:v>
      </x:c>
      <x:c r="D500" s="95" t="str">
        <x:v>核心必需</x:v>
      </x:c>
      <x:c r="E500" s="100" t="n">
        <x:v>11</x:v>
      </x:c>
      <x:c r="F500" s="95" t="str">
        <x:v>闭环优化</x:v>
      </x:c>
      <x:c r="G500" s="95" t="str">
        <x:v>D 闭环优化与高效实验</x:v>
      </x:c>
      <x:c r="H500" s="95" t="str">
        <x:v>Sobol序列</x:v>
      </x:c>
      <x:c r="I500" s="95" t="str">
        <x:v>在小样本、批次效应和昂贵实验下分离配方效应、顺序效应与噪声。</x:v>
      </x:c>
      <x:c r="J500" s="95" t="str">
        <x:v>用于混料/工艺设计空间、可行性模型、成本感知约束BO和自适应重复。</x:v>
      </x:c>
      <x:c r="K500" s="95" t="str">
        <x:v>可直接支撑当前EIS-only闭环。</x:v>
      </x:c>
      <x:c r="L500" s="95" t="str">
        <x:v>M1 前瞻验证（2–5月）</x:v>
      </x:c>
      <x:c r="M500" s="95" t="str">
        <x:v>第二批接入</x:v>
      </x:c>
      <x:c r="N500" s="95" t="str">
        <x:v>P1</x:v>
      </x:c>
      <x:c r="O500" s="95" t="str">
        <x:v>https://www.itl.nist.gov/div898/handbook/</x:v>
      </x:c>
      <x:c r="P500" s="96" t="str">
        <x:v>待评审</x:v>
      </x:c>
    </x:row>
    <x:row r="501">
      <x:c r="A501" s="94" t="str">
        <x:v>T0497</x:v>
      </x:c>
      <x:c r="B501" s="95" t="str">
        <x:v>实验设计与闭环优化</x:v>
      </x:c>
      <x:c r="C501" s="95" t="str">
        <x:v>试验设计与统计</x:v>
      </x:c>
      <x:c r="D501" s="95" t="str">
        <x:v>核心必需</x:v>
      </x:c>
      <x:c r="E501" s="100" t="n">
        <x:v>11</x:v>
      </x:c>
      <x:c r="F501" s="95" t="str">
        <x:v>闭环优化</x:v>
      </x:c>
      <x:c r="G501" s="95" t="str">
        <x:v>D 闭环优化与高效实验</x:v>
      </x:c>
      <x:c r="H501" s="95" t="str">
        <x:v>空间填充设计</x:v>
      </x:c>
      <x:c r="I501" s="95" t="str">
        <x:v>在小样本、批次效应和昂贵实验下分离配方效应、顺序效应与噪声。</x:v>
      </x:c>
      <x:c r="J501" s="95" t="str">
        <x:v>用于混料/工艺设计空间、可行性模型、成本感知约束BO和自适应重复。</x:v>
      </x:c>
      <x:c r="K501" s="95" t="str">
        <x:v>可直接支撑当前EIS-only闭环。</x:v>
      </x:c>
      <x:c r="L501" s="95" t="str">
        <x:v>M1 前瞻验证（2–5月）</x:v>
      </x:c>
      <x:c r="M501" s="95" t="str">
        <x:v>第二批接入</x:v>
      </x:c>
      <x:c r="N501" s="95" t="str">
        <x:v>P1</x:v>
      </x:c>
      <x:c r="O501" s="95" t="str">
        <x:v>https://pubs.acs.org/doi/10.1021/acs.chemrev.4c00055</x:v>
      </x:c>
      <x:c r="P501" s="96" t="str">
        <x:v>待评审</x:v>
      </x:c>
    </x:row>
    <x:row r="502">
      <x:c r="A502" s="94" t="str">
        <x:v>T0498</x:v>
      </x:c>
      <x:c r="B502" s="95" t="str">
        <x:v>实验设计与闭环优化</x:v>
      </x:c>
      <x:c r="C502" s="95" t="str">
        <x:v>试验设计与统计</x:v>
      </x:c>
      <x:c r="D502" s="95" t="str">
        <x:v>核心必需</x:v>
      </x:c>
      <x:c r="E502" s="100" t="n">
        <x:v>11</x:v>
      </x:c>
      <x:c r="F502" s="95" t="str">
        <x:v>闭环优化</x:v>
      </x:c>
      <x:c r="G502" s="95" t="str">
        <x:v>D 闭环优化与高效实验</x:v>
      </x:c>
      <x:c r="H502" s="95" t="str">
        <x:v>中心复合设计</x:v>
      </x:c>
      <x:c r="I502" s="95" t="str">
        <x:v>在小样本、批次效应和昂贵实验下分离配方效应、顺序效应与噪声。</x:v>
      </x:c>
      <x:c r="J502" s="95" t="str">
        <x:v>用于混料/工艺设计空间、可行性模型、成本感知约束BO和自适应重复。</x:v>
      </x:c>
      <x:c r="K502" s="95" t="str">
        <x:v>可直接支撑当前EIS-only闭环。</x:v>
      </x:c>
      <x:c r="L502" s="95" t="str">
        <x:v>M1 前瞻验证（2–5月）</x:v>
      </x:c>
      <x:c r="M502" s="95" t="str">
        <x:v>第二批接入</x:v>
      </x:c>
      <x:c r="N502" s="95" t="str">
        <x:v>P1</x:v>
      </x:c>
      <x:c r="O502" s="95" t="str">
        <x:v>https://www.science.org/doi/10.1126/sciadv.abg4930</x:v>
      </x:c>
      <x:c r="P502" s="96" t="str">
        <x:v>待评审</x:v>
      </x:c>
    </x:row>
    <x:row r="503">
      <x:c r="A503" s="94" t="str">
        <x:v>T0499</x:v>
      </x:c>
      <x:c r="B503" s="95" t="str">
        <x:v>实验设计与闭环优化</x:v>
      </x:c>
      <x:c r="C503" s="95" t="str">
        <x:v>试验设计与统计</x:v>
      </x:c>
      <x:c r="D503" s="95" t="str">
        <x:v>核心必需</x:v>
      </x:c>
      <x:c r="E503" s="100" t="n">
        <x:v>11</x:v>
      </x:c>
      <x:c r="F503" s="95" t="str">
        <x:v>闭环优化</x:v>
      </x:c>
      <x:c r="G503" s="95" t="str">
        <x:v>D 闭环优化与高效实验</x:v>
      </x:c>
      <x:c r="H503" s="95" t="str">
        <x:v>Box-Behnken设计</x:v>
      </x:c>
      <x:c r="I503" s="95" t="str">
        <x:v>在小样本、批次效应和昂贵实验下分离配方效应、顺序效应与噪声。</x:v>
      </x:c>
      <x:c r="J503" s="95" t="str">
        <x:v>用于混料/工艺设计空间、可行性模型、成本感知约束BO和自适应重复。</x:v>
      </x:c>
      <x:c r="K503" s="95" t="str">
        <x:v>可直接支撑当前EIS-only闭环。</x:v>
      </x:c>
      <x:c r="L503" s="95" t="str">
        <x:v>M1 前瞻验证（2–5月）</x:v>
      </x:c>
      <x:c r="M503" s="95" t="str">
        <x:v>第二批接入</x:v>
      </x:c>
      <x:c r="N503" s="95" t="str">
        <x:v>P1</x:v>
      </x:c>
      <x:c r="O503" s="95" t="str">
        <x:v>https://proceedings.neurips.cc/paper_files/paper/2020/file/f5b1b89d98b7286673128a5fb112cb9a-Paper.pdf</x:v>
      </x:c>
      <x:c r="P503" s="96" t="str">
        <x:v>待评审</x:v>
      </x:c>
    </x:row>
    <x:row r="504">
      <x:c r="A504" s="94" t="str">
        <x:v>T0500</x:v>
      </x:c>
      <x:c r="B504" s="95" t="str">
        <x:v>实验设计与闭环优化</x:v>
      </x:c>
      <x:c r="C504" s="95" t="str">
        <x:v>试验设计与统计</x:v>
      </x:c>
      <x:c r="D504" s="95" t="str">
        <x:v>核心必需</x:v>
      </x:c>
      <x:c r="E504" s="100" t="n">
        <x:v>11</x:v>
      </x:c>
      <x:c r="F504" s="95" t="str">
        <x:v>闭环优化</x:v>
      </x:c>
      <x:c r="G504" s="95" t="str">
        <x:v>D 闭环优化与高效实验</x:v>
      </x:c>
      <x:c r="H504" s="95" t="str">
        <x:v>响应面法</x:v>
      </x:c>
      <x:c r="I504" s="95" t="str">
        <x:v>在小样本、批次效应和昂贵实验下分离配方效应、顺序效应与噪声。</x:v>
      </x:c>
      <x:c r="J504" s="95" t="str">
        <x:v>用于混料/工艺设计空间、可行性模型、成本感知约束BO和自适应重复。</x:v>
      </x:c>
      <x:c r="K504" s="95" t="str">
        <x:v>可直接支撑当前EIS-only闭环。</x:v>
      </x:c>
      <x:c r="L504" s="95" t="str">
        <x:v>M1 前瞻验证（2–5月）</x:v>
      </x:c>
      <x:c r="M504" s="95" t="str">
        <x:v>第二批接入</x:v>
      </x:c>
      <x:c r="N504" s="95" t="str">
        <x:v>P1</x:v>
      </x:c>
      <x:c r="O504" s="95" t="str">
        <x:v>https://www.itl.nist.gov/div898/handbook/</x:v>
      </x:c>
      <x:c r="P504" s="96" t="str">
        <x:v>待评审</x:v>
      </x:c>
    </x:row>
    <x:row r="505">
      <x:c r="A505" s="94" t="str">
        <x:v>T0501</x:v>
      </x:c>
      <x:c r="B505" s="95" t="str">
        <x:v>实验设计与闭环优化</x:v>
      </x:c>
      <x:c r="C505" s="95" t="str">
        <x:v>试验设计与统计</x:v>
      </x:c>
      <x:c r="D505" s="95" t="str">
        <x:v>核心必需</x:v>
      </x:c>
      <x:c r="E505" s="100" t="n">
        <x:v>11</x:v>
      </x:c>
      <x:c r="F505" s="95" t="str">
        <x:v>闭环优化</x:v>
      </x:c>
      <x:c r="G505" s="95" t="str">
        <x:v>D 闭环优化与高效实验</x:v>
      </x:c>
      <x:c r="H505" s="95" t="str">
        <x:v>最速上升/下降</x:v>
      </x:c>
      <x:c r="I505" s="95" t="str">
        <x:v>在小样本、批次效应和昂贵实验下分离配方效应、顺序效应与噪声。</x:v>
      </x:c>
      <x:c r="J505" s="95" t="str">
        <x:v>用于混料/工艺设计空间、可行性模型、成本感知约束BO和自适应重复。</x:v>
      </x:c>
      <x:c r="K505" s="95" t="str">
        <x:v>可直接支撑当前EIS-only闭环。</x:v>
      </x:c>
      <x:c r="L505" s="95" t="str">
        <x:v>M1 前瞻验证（2–5月）</x:v>
      </x:c>
      <x:c r="M505" s="95" t="str">
        <x:v>第二批接入</x:v>
      </x:c>
      <x:c r="N505" s="95" t="str">
        <x:v>P1</x:v>
      </x:c>
      <x:c r="O505" s="95" t="str">
        <x:v>https://pubs.acs.org/doi/10.1021/acs.chemrev.4c00055</x:v>
      </x:c>
      <x:c r="P505" s="96" t="str">
        <x:v>待评审</x:v>
      </x:c>
    </x:row>
    <x:row r="506">
      <x:c r="A506" s="94" t="str">
        <x:v>T0502</x:v>
      </x:c>
      <x:c r="B506" s="95" t="str">
        <x:v>实验设计与闭环优化</x:v>
      </x:c>
      <x:c r="C506" s="95" t="str">
        <x:v>试验设计与统计</x:v>
      </x:c>
      <x:c r="D506" s="95" t="str">
        <x:v>核心必需</x:v>
      </x:c>
      <x:c r="E506" s="100" t="n">
        <x:v>11</x:v>
      </x:c>
      <x:c r="F506" s="95" t="str">
        <x:v>闭环优化</x:v>
      </x:c>
      <x:c r="G506" s="95" t="str">
        <x:v>D 闭环优化与高效实验</x:v>
      </x:c>
      <x:c r="H506" s="95" t="str">
        <x:v>D最优设计</x:v>
      </x:c>
      <x:c r="I506" s="95" t="str">
        <x:v>在小样本、批次效应和昂贵实验下分离配方效应、顺序效应与噪声。</x:v>
      </x:c>
      <x:c r="J506" s="95" t="str">
        <x:v>用于混料/工艺设计空间、可行性模型、成本感知约束BO和自适应重复。</x:v>
      </x:c>
      <x:c r="K506" s="95" t="str">
        <x:v>可直接支撑当前EIS-only闭环。</x:v>
      </x:c>
      <x:c r="L506" s="95" t="str">
        <x:v>M1 前瞻验证（2–5月）</x:v>
      </x:c>
      <x:c r="M506" s="95" t="str">
        <x:v>第二批接入</x:v>
      </x:c>
      <x:c r="N506" s="95" t="str">
        <x:v>P1</x:v>
      </x:c>
      <x:c r="O506" s="95" t="str">
        <x:v>https://www.science.org/doi/10.1126/sciadv.abg4930</x:v>
      </x:c>
      <x:c r="P506" s="96" t="str">
        <x:v>待评审</x:v>
      </x:c>
    </x:row>
    <x:row r="507">
      <x:c r="A507" s="94" t="str">
        <x:v>T0503</x:v>
      </x:c>
      <x:c r="B507" s="95" t="str">
        <x:v>实验设计与闭环优化</x:v>
      </x:c>
      <x:c r="C507" s="95" t="str">
        <x:v>试验设计与统计</x:v>
      </x:c>
      <x:c r="D507" s="95" t="str">
        <x:v>核心必需</x:v>
      </x:c>
      <x:c r="E507" s="100" t="n">
        <x:v>11</x:v>
      </x:c>
      <x:c r="F507" s="95" t="str">
        <x:v>闭环优化</x:v>
      </x:c>
      <x:c r="G507" s="95" t="str">
        <x:v>D 闭环优化与高效实验</x:v>
      </x:c>
      <x:c r="H507" s="95" t="str">
        <x:v>A最优设计</x:v>
      </x:c>
      <x:c r="I507" s="95" t="str">
        <x:v>在小样本、批次效应和昂贵实验下分离配方效应、顺序效应与噪声。</x:v>
      </x:c>
      <x:c r="J507" s="95" t="str">
        <x:v>用于混料/工艺设计空间、可行性模型、成本感知约束BO和自适应重复。</x:v>
      </x:c>
      <x:c r="K507" s="95" t="str">
        <x:v>可直接支撑当前EIS-only闭环。</x:v>
      </x:c>
      <x:c r="L507" s="95" t="str">
        <x:v>M1 前瞻验证（2–5月）</x:v>
      </x:c>
      <x:c r="M507" s="95" t="str">
        <x:v>第二批接入</x:v>
      </x:c>
      <x:c r="N507" s="95" t="str">
        <x:v>P1</x:v>
      </x:c>
      <x:c r="O507" s="95" t="str">
        <x:v>https://proceedings.neurips.cc/paper_files/paper/2020/file/f5b1b89d98b7286673128a5fb112cb9a-Paper.pdf</x:v>
      </x:c>
      <x:c r="P507" s="96" t="str">
        <x:v>待评审</x:v>
      </x:c>
    </x:row>
    <x:row r="508">
      <x:c r="A508" s="94" t="str">
        <x:v>T0504</x:v>
      </x:c>
      <x:c r="B508" s="95" t="str">
        <x:v>实验设计与闭环优化</x:v>
      </x:c>
      <x:c r="C508" s="95" t="str">
        <x:v>试验设计与统计</x:v>
      </x:c>
      <x:c r="D508" s="95" t="str">
        <x:v>核心必需</x:v>
      </x:c>
      <x:c r="E508" s="100" t="n">
        <x:v>11</x:v>
      </x:c>
      <x:c r="F508" s="95" t="str">
        <x:v>闭环优化</x:v>
      </x:c>
      <x:c r="G508" s="95" t="str">
        <x:v>D 闭环优化与高效实验</x:v>
      </x:c>
      <x:c r="H508" s="95" t="str">
        <x:v>E最优设计</x:v>
      </x:c>
      <x:c r="I508" s="95" t="str">
        <x:v>在小样本、批次效应和昂贵实验下分离配方效应、顺序效应与噪声。</x:v>
      </x:c>
      <x:c r="J508" s="95" t="str">
        <x:v>用于混料/工艺设计空间、可行性模型、成本感知约束BO和自适应重复。</x:v>
      </x:c>
      <x:c r="K508" s="95" t="str">
        <x:v>可直接支撑当前EIS-only闭环。</x:v>
      </x:c>
      <x:c r="L508" s="95" t="str">
        <x:v>M1 前瞻验证（2–5月）</x:v>
      </x:c>
      <x:c r="M508" s="95" t="str">
        <x:v>第二批接入</x:v>
      </x:c>
      <x:c r="N508" s="95" t="str">
        <x:v>P1</x:v>
      </x:c>
      <x:c r="O508" s="95" t="str">
        <x:v>https://www.itl.nist.gov/div898/handbook/</x:v>
      </x:c>
      <x:c r="P508" s="96" t="str">
        <x:v>待评审</x:v>
      </x:c>
    </x:row>
    <x:row r="509">
      <x:c r="A509" s="94" t="str">
        <x:v>T0505</x:v>
      </x:c>
      <x:c r="B509" s="95" t="str">
        <x:v>实验设计与闭环优化</x:v>
      </x:c>
      <x:c r="C509" s="95" t="str">
        <x:v>试验设计与统计</x:v>
      </x:c>
      <x:c r="D509" s="95" t="str">
        <x:v>核心必需</x:v>
      </x:c>
      <x:c r="E509" s="100" t="n">
        <x:v>11</x:v>
      </x:c>
      <x:c r="F509" s="95" t="str">
        <x:v>闭环优化</x:v>
      </x:c>
      <x:c r="G509" s="95" t="str">
        <x:v>D 闭环优化与高效实验</x:v>
      </x:c>
      <x:c r="H509" s="95" t="str">
        <x:v>G最优设计</x:v>
      </x:c>
      <x:c r="I509" s="95" t="str">
        <x:v>在小样本、批次效应和昂贵实验下分离配方效应、顺序效应与噪声。</x:v>
      </x:c>
      <x:c r="J509" s="95" t="str">
        <x:v>用于混料/工艺设计空间、可行性模型、成本感知约束BO和自适应重复。</x:v>
      </x:c>
      <x:c r="K509" s="95" t="str">
        <x:v>可直接支撑当前EIS-only闭环。</x:v>
      </x:c>
      <x:c r="L509" s="95" t="str">
        <x:v>M1 前瞻验证（2–5月）</x:v>
      </x:c>
      <x:c r="M509" s="95" t="str">
        <x:v>第二批接入</x:v>
      </x:c>
      <x:c r="N509" s="95" t="str">
        <x:v>P1</x:v>
      </x:c>
      <x:c r="O509" s="95" t="str">
        <x:v>https://pubs.acs.org/doi/10.1021/acs.chemrev.4c00055</x:v>
      </x:c>
      <x:c r="P509" s="96" t="str">
        <x:v>待评审</x:v>
      </x:c>
    </x:row>
    <x:row r="510">
      <x:c r="A510" s="94" t="str">
        <x:v>T0506</x:v>
      </x:c>
      <x:c r="B510" s="95" t="str">
        <x:v>实验设计与闭环优化</x:v>
      </x:c>
      <x:c r="C510" s="95" t="str">
        <x:v>试验设计与统计</x:v>
      </x:c>
      <x:c r="D510" s="95" t="str">
        <x:v>核心必需</x:v>
      </x:c>
      <x:c r="E510" s="100" t="n">
        <x:v>12</x:v>
      </x:c>
      <x:c r="F510" s="95" t="str">
        <x:v>闭环优化</x:v>
      </x:c>
      <x:c r="G510" s="95" t="str">
        <x:v>D 闭环优化与高效实验</x:v>
      </x:c>
      <x:c r="H510" s="95" t="str">
        <x:v>混料设计</x:v>
      </x:c>
      <x:c r="I510" s="95" t="str">
        <x:v>在小样本、批次效应和昂贵实验下分离配方效应、顺序效应与噪声。</x:v>
      </x:c>
      <x:c r="J510" s="95" t="str">
        <x:v>用于混料/工艺设计空间、可行性模型、成本感知约束BO和自适应重复。</x:v>
      </x:c>
      <x:c r="K510" s="95" t="str">
        <x:v>可直接支撑当前EIS-only闭环。</x:v>
      </x:c>
      <x:c r="L510" s="95" t="str">
        <x:v>M0 主流程接入（0–2月）</x:v>
      </x:c>
      <x:c r="M510" s="95" t="str">
        <x:v>首批接入</x:v>
      </x:c>
      <x:c r="N510" s="95" t="str">
        <x:v>P1</x:v>
      </x:c>
      <x:c r="O510" s="95" t="str">
        <x:v>https://www.science.org/doi/10.1126/sciadv.abg4930</x:v>
      </x:c>
      <x:c r="P510" s="96" t="str">
        <x:v>待评审</x:v>
      </x:c>
    </x:row>
    <x:row r="511">
      <x:c r="A511" s="94" t="str">
        <x:v>T0507</x:v>
      </x:c>
      <x:c r="B511" s="95" t="str">
        <x:v>实验设计与闭环优化</x:v>
      </x:c>
      <x:c r="C511" s="95" t="str">
        <x:v>试验设计与统计</x:v>
      </x:c>
      <x:c r="D511" s="95" t="str">
        <x:v>核心必需</x:v>
      </x:c>
      <x:c r="E511" s="100" t="n">
        <x:v>11</x:v>
      </x:c>
      <x:c r="F511" s="95" t="str">
        <x:v>闭环优化</x:v>
      </x:c>
      <x:c r="G511" s="95" t="str">
        <x:v>D 闭环优化与高效实验</x:v>
      </x:c>
      <x:c r="H511" s="95" t="str">
        <x:v>裂区设计</x:v>
      </x:c>
      <x:c r="I511" s="95" t="str">
        <x:v>在小样本、批次效应和昂贵实验下分离配方效应、顺序效应与噪声。</x:v>
      </x:c>
      <x:c r="J511" s="95" t="str">
        <x:v>用于混料/工艺设计空间、可行性模型、成本感知约束BO和自适应重复。</x:v>
      </x:c>
      <x:c r="K511" s="95" t="str">
        <x:v>可直接支撑当前EIS-only闭环。</x:v>
      </x:c>
      <x:c r="L511" s="95" t="str">
        <x:v>M1 前瞻验证（2–5月）</x:v>
      </x:c>
      <x:c r="M511" s="95" t="str">
        <x:v>第二批接入</x:v>
      </x:c>
      <x:c r="N511" s="95" t="str">
        <x:v>P1</x:v>
      </x:c>
      <x:c r="O511" s="95" t="str">
        <x:v>https://proceedings.neurips.cc/paper_files/paper/2020/file/f5b1b89d98b7286673128a5fb112cb9a-Paper.pdf</x:v>
      </x:c>
      <x:c r="P511" s="96" t="str">
        <x:v>待评审</x:v>
      </x:c>
    </x:row>
    <x:row r="512">
      <x:c r="A512" s="94" t="str">
        <x:v>T0508</x:v>
      </x:c>
      <x:c r="B512" s="95" t="str">
        <x:v>实验设计与闭环优化</x:v>
      </x:c>
      <x:c r="C512" s="95" t="str">
        <x:v>试验设计与统计</x:v>
      </x:c>
      <x:c r="D512" s="95" t="str">
        <x:v>核心必需</x:v>
      </x:c>
      <x:c r="E512" s="100" t="n">
        <x:v>11</x:v>
      </x:c>
      <x:c r="F512" s="95" t="str">
        <x:v>闭环优化</x:v>
      </x:c>
      <x:c r="G512" s="95" t="str">
        <x:v>D 闭环优化与高效实验</x:v>
      </x:c>
      <x:c r="H512" s="95" t="str">
        <x:v>嵌套设计</x:v>
      </x:c>
      <x:c r="I512" s="95" t="str">
        <x:v>在小样本、批次效应和昂贵实验下分离配方效应、顺序效应与噪声。</x:v>
      </x:c>
      <x:c r="J512" s="95" t="str">
        <x:v>用于混料/工艺设计空间、可行性模型、成本感知约束BO和自适应重复。</x:v>
      </x:c>
      <x:c r="K512" s="95" t="str">
        <x:v>可直接支撑当前EIS-only闭环。</x:v>
      </x:c>
      <x:c r="L512" s="95" t="str">
        <x:v>M1 前瞻验证（2–5月）</x:v>
      </x:c>
      <x:c r="M512" s="95" t="str">
        <x:v>第二批接入</x:v>
      </x:c>
      <x:c r="N512" s="95" t="str">
        <x:v>P1</x:v>
      </x:c>
      <x:c r="O512" s="95" t="str">
        <x:v>https://www.itl.nist.gov/div898/handbook/</x:v>
      </x:c>
      <x:c r="P512" s="96" t="str">
        <x:v>待评审</x:v>
      </x:c>
    </x:row>
    <x:row r="513">
      <x:c r="A513" s="94" t="str">
        <x:v>T0509</x:v>
      </x:c>
      <x:c r="B513" s="95" t="str">
        <x:v>实验设计与闭环优化</x:v>
      </x:c>
      <x:c r="C513" s="95" t="str">
        <x:v>试验设计与统计</x:v>
      </x:c>
      <x:c r="D513" s="95" t="str">
        <x:v>核心必需</x:v>
      </x:c>
      <x:c r="E513" s="100" t="n">
        <x:v>12</x:v>
      </x:c>
      <x:c r="F513" s="95" t="str">
        <x:v>闭环优化</x:v>
      </x:c>
      <x:c r="G513" s="95" t="str">
        <x:v>D 闭环优化与高效实验</x:v>
      </x:c>
      <x:c r="H513" s="95" t="str">
        <x:v>重复测量设计</x:v>
      </x:c>
      <x:c r="I513" s="95" t="str">
        <x:v>在小样本、批次效应和昂贵实验下分离配方效应、顺序效应与噪声。</x:v>
      </x:c>
      <x:c r="J513" s="95" t="str">
        <x:v>用于混料/工艺设计空间、可行性模型、成本感知约束BO和自适应重复。</x:v>
      </x:c>
      <x:c r="K513" s="95" t="str">
        <x:v>可直接支撑当前EIS-only闭环。</x:v>
      </x:c>
      <x:c r="L513" s="95" t="str">
        <x:v>M0 主流程接入（0–2月）</x:v>
      </x:c>
      <x:c r="M513" s="95" t="str">
        <x:v>首批接入</x:v>
      </x:c>
      <x:c r="N513" s="95" t="str">
        <x:v>P2</x:v>
      </x:c>
      <x:c r="O513" s="95" t="str">
        <x:v>https://pubs.acs.org/doi/10.1021/acs.chemrev.4c00055</x:v>
      </x:c>
      <x:c r="P513" s="96" t="str">
        <x:v>待评审</x:v>
      </x:c>
    </x:row>
    <x:row r="514">
      <x:c r="A514" s="94" t="str">
        <x:v>T0510</x:v>
      </x:c>
      <x:c r="B514" s="95" t="str">
        <x:v>实验设计与闭环优化</x:v>
      </x:c>
      <x:c r="C514" s="95" t="str">
        <x:v>试验设计与统计</x:v>
      </x:c>
      <x:c r="D514" s="95" t="str">
        <x:v>核心必需</x:v>
      </x:c>
      <x:c r="E514" s="100" t="n">
        <x:v>12</x:v>
      </x:c>
      <x:c r="F514" s="95" t="str">
        <x:v>闭环优化</x:v>
      </x:c>
      <x:c r="G514" s="95" t="str">
        <x:v>D 闭环优化与高效实验</x:v>
      </x:c>
      <x:c r="H514" s="95" t="str">
        <x:v>序贯试验设计</x:v>
      </x:c>
      <x:c r="I514" s="95" t="str">
        <x:v>在小样本、批次效应和昂贵实验下分离配方效应、顺序效应与噪声。</x:v>
      </x:c>
      <x:c r="J514" s="95" t="str">
        <x:v>用于混料/工艺设计空间、可行性模型、成本感知约束BO和自适应重复。</x:v>
      </x:c>
      <x:c r="K514" s="95" t="str">
        <x:v>可直接支撑当前EIS-only闭环。</x:v>
      </x:c>
      <x:c r="L514" s="95" t="str">
        <x:v>M0 主流程接入（0–2月）</x:v>
      </x:c>
      <x:c r="M514" s="95" t="str">
        <x:v>首批接入</x:v>
      </x:c>
      <x:c r="N514" s="95" t="str">
        <x:v>P2</x:v>
      </x:c>
      <x:c r="O514" s="95" t="str">
        <x:v>https://www.science.org/doi/10.1126/sciadv.abg4930</x:v>
      </x:c>
      <x:c r="P514" s="96" t="str">
        <x:v>待评审</x:v>
      </x:c>
    </x:row>
    <x:row r="515">
      <x:c r="A515" s="94" t="str">
        <x:v>T0511</x:v>
      </x:c>
      <x:c r="B515" s="95" t="str">
        <x:v>实验设计与闭环优化</x:v>
      </x:c>
      <x:c r="C515" s="95" t="str">
        <x:v>试验设计与统计</x:v>
      </x:c>
      <x:c r="D515" s="95" t="str">
        <x:v>核心必需</x:v>
      </x:c>
      <x:c r="E515" s="100" t="n">
        <x:v>11</x:v>
      </x:c>
      <x:c r="F515" s="95" t="str">
        <x:v>闭环优化</x:v>
      </x:c>
      <x:c r="G515" s="95" t="str">
        <x:v>D 闭环优化与高效实验</x:v>
      </x:c>
      <x:c r="H515" s="95" t="str">
        <x:v>自适应试验设计</x:v>
      </x:c>
      <x:c r="I515" s="95" t="str">
        <x:v>在小样本、批次效应和昂贵实验下分离配方效应、顺序效应与噪声。</x:v>
      </x:c>
      <x:c r="J515" s="95" t="str">
        <x:v>用于混料/工艺设计空间、可行性模型、成本感知约束BO和自适应重复。</x:v>
      </x:c>
      <x:c r="K515" s="95" t="str">
        <x:v>可直接支撑当前EIS-only闭环。</x:v>
      </x:c>
      <x:c r="L515" s="95" t="str">
        <x:v>M1 前瞻验证（2–5月）</x:v>
      </x:c>
      <x:c r="M515" s="95" t="str">
        <x:v>第二批接入</x:v>
      </x:c>
      <x:c r="N515" s="95" t="str">
        <x:v>P2</x:v>
      </x:c>
      <x:c r="O515" s="95" t="str">
        <x:v>https://proceedings.neurips.cc/paper_files/paper/2020/file/f5b1b89d98b7286673128a5fb112cb9a-Paper.pdf</x:v>
      </x:c>
      <x:c r="P515" s="96" t="str">
        <x:v>待评审</x:v>
      </x:c>
    </x:row>
    <x:row r="516">
      <x:c r="A516" s="94" t="str">
        <x:v>T0512</x:v>
      </x:c>
      <x:c r="B516" s="95" t="str">
        <x:v>实验设计与闭环优化</x:v>
      </x:c>
      <x:c r="C516" s="95" t="str">
        <x:v>试验设计与统计</x:v>
      </x:c>
      <x:c r="D516" s="95" t="str">
        <x:v>核心必需</x:v>
      </x:c>
      <x:c r="E516" s="100" t="n">
        <x:v>11</x:v>
      </x:c>
      <x:c r="F516" s="95" t="str">
        <x:v>闭环优化</x:v>
      </x:c>
      <x:c r="G516" s="95" t="str">
        <x:v>D 闭环优化与高效实验</x:v>
      </x:c>
      <x:c r="H516" s="95" t="str">
        <x:v>功效分析</x:v>
      </x:c>
      <x:c r="I516" s="95" t="str">
        <x:v>在小样本、批次效应和昂贵实验下分离配方效应、顺序效应与噪声。</x:v>
      </x:c>
      <x:c r="J516" s="95" t="str">
        <x:v>用于混料/工艺设计空间、可行性模型、成本感知约束BO和自适应重复。</x:v>
      </x:c>
      <x:c r="K516" s="95" t="str">
        <x:v>可直接支撑当前EIS-only闭环。</x:v>
      </x:c>
      <x:c r="L516" s="95" t="str">
        <x:v>M1 前瞻验证（2–5月）</x:v>
      </x:c>
      <x:c r="M516" s="95" t="str">
        <x:v>第二批接入</x:v>
      </x:c>
      <x:c r="N516" s="95" t="str">
        <x:v>P2</x:v>
      </x:c>
      <x:c r="O516" s="95" t="str">
        <x:v>https://www.itl.nist.gov/div898/handbook/</x:v>
      </x:c>
      <x:c r="P516" s="96" t="str">
        <x:v>待评审</x:v>
      </x:c>
    </x:row>
    <x:row r="517">
      <x:c r="A517" s="94" t="str">
        <x:v>T0513</x:v>
      </x:c>
      <x:c r="B517" s="95" t="str">
        <x:v>实验设计与闭环优化</x:v>
      </x:c>
      <x:c r="C517" s="95" t="str">
        <x:v>试验设计与统计</x:v>
      </x:c>
      <x:c r="D517" s="95" t="str">
        <x:v>核心必需</x:v>
      </x:c>
      <x:c r="E517" s="100" t="n">
        <x:v>11</x:v>
      </x:c>
      <x:c r="F517" s="95" t="str">
        <x:v>闭环优化</x:v>
      </x:c>
      <x:c r="G517" s="95" t="str">
        <x:v>D 闭环优化与高效实验</x:v>
      </x:c>
      <x:c r="H517" s="95" t="str">
        <x:v>样本量设计</x:v>
      </x:c>
      <x:c r="I517" s="95" t="str">
        <x:v>在小样本、批次效应和昂贵实验下分离配方效应、顺序效应与噪声。</x:v>
      </x:c>
      <x:c r="J517" s="95" t="str">
        <x:v>用于混料/工艺设计空间、可行性模型、成本感知约束BO和自适应重复。</x:v>
      </x:c>
      <x:c r="K517" s="95" t="str">
        <x:v>可直接支撑当前EIS-only闭环。</x:v>
      </x:c>
      <x:c r="L517" s="95" t="str">
        <x:v>M1 前瞻验证（2–5月）</x:v>
      </x:c>
      <x:c r="M517" s="95" t="str">
        <x:v>第二批接入</x:v>
      </x:c>
      <x:c r="N517" s="95" t="str">
        <x:v>P2</x:v>
      </x:c>
      <x:c r="O517" s="95" t="str">
        <x:v>https://pubs.acs.org/doi/10.1021/acs.chemrev.4c00055</x:v>
      </x:c>
      <x:c r="P517" s="96" t="str">
        <x:v>待评审</x:v>
      </x:c>
    </x:row>
    <x:row r="518">
      <x:c r="A518" s="94" t="str">
        <x:v>T0514</x:v>
      </x:c>
      <x:c r="B518" s="95" t="str">
        <x:v>实验设计与闭环优化</x:v>
      </x:c>
      <x:c r="C518" s="95" t="str">
        <x:v>试验设计与统计</x:v>
      </x:c>
      <x:c r="D518" s="95" t="str">
        <x:v>核心必需</x:v>
      </x:c>
      <x:c r="E518" s="100" t="n">
        <x:v>11</x:v>
      </x:c>
      <x:c r="F518" s="95" t="str">
        <x:v>闭环优化</x:v>
      </x:c>
      <x:c r="G518" s="95" t="str">
        <x:v>D 闭环优化与高效实验</x:v>
      </x:c>
      <x:c r="H518" s="95" t="str">
        <x:v>方差分析</x:v>
      </x:c>
      <x:c r="I518" s="95" t="str">
        <x:v>在小样本、批次效应和昂贵实验下分离配方效应、顺序效应与噪声。</x:v>
      </x:c>
      <x:c r="J518" s="95" t="str">
        <x:v>用于混料/工艺设计空间、可行性模型、成本感知约束BO和自适应重复。</x:v>
      </x:c>
      <x:c r="K518" s="95" t="str">
        <x:v>可直接支撑当前EIS-only闭环。</x:v>
      </x:c>
      <x:c r="L518" s="95" t="str">
        <x:v>M1 前瞻验证（2–5月）</x:v>
      </x:c>
      <x:c r="M518" s="95" t="str">
        <x:v>第二批接入</x:v>
      </x:c>
      <x:c r="N518" s="95" t="str">
        <x:v>P2</x:v>
      </x:c>
      <x:c r="O518" s="95" t="str">
        <x:v>https://www.science.org/doi/10.1126/sciadv.abg4930</x:v>
      </x:c>
      <x:c r="P518" s="96" t="str">
        <x:v>待评审</x:v>
      </x:c>
    </x:row>
    <x:row r="519">
      <x:c r="A519" s="94" t="str">
        <x:v>T0515</x:v>
      </x:c>
      <x:c r="B519" s="95" t="str">
        <x:v>实验设计与闭环优化</x:v>
      </x:c>
      <x:c r="C519" s="95" t="str">
        <x:v>试验设计与统计</x:v>
      </x:c>
      <x:c r="D519" s="95" t="str">
        <x:v>核心必需</x:v>
      </x:c>
      <x:c r="E519" s="100" t="n">
        <x:v>11</x:v>
      </x:c>
      <x:c r="F519" s="95" t="str">
        <x:v>闭环优化</x:v>
      </x:c>
      <x:c r="G519" s="95" t="str">
        <x:v>D 闭环优化与高效实验</x:v>
      </x:c>
      <x:c r="H519" s="95" t="str">
        <x:v>交互效应</x:v>
      </x:c>
      <x:c r="I519" s="95" t="str">
        <x:v>在小样本、批次效应和昂贵实验下分离配方效应、顺序效应与噪声。</x:v>
      </x:c>
      <x:c r="J519" s="95" t="str">
        <x:v>用于混料/工艺设计空间、可行性模型、成本感知约束BO和自适应重复。</x:v>
      </x:c>
      <x:c r="K519" s="95" t="str">
        <x:v>可直接支撑当前EIS-only闭环。</x:v>
      </x:c>
      <x:c r="L519" s="95" t="str">
        <x:v>M1 前瞻验证（2–5月）</x:v>
      </x:c>
      <x:c r="M519" s="95" t="str">
        <x:v>第二批接入</x:v>
      </x:c>
      <x:c r="N519" s="95" t="str">
        <x:v>P2</x:v>
      </x:c>
      <x:c r="O519" s="95" t="str">
        <x:v>https://proceedings.neurips.cc/paper_files/paper/2020/file/f5b1b89d98b7286673128a5fb112cb9a-Paper.pdf</x:v>
      </x:c>
      <x:c r="P519" s="96" t="str">
        <x:v>待评审</x:v>
      </x:c>
    </x:row>
    <x:row r="520">
      <x:c r="A520" s="94" t="str">
        <x:v>T0516</x:v>
      </x:c>
      <x:c r="B520" s="95" t="str">
        <x:v>实验设计与闭环优化</x:v>
      </x:c>
      <x:c r="C520" s="95" t="str">
        <x:v>试验设计与统计</x:v>
      </x:c>
      <x:c r="D520" s="95" t="str">
        <x:v>核心必需</x:v>
      </x:c>
      <x:c r="E520" s="100" t="n">
        <x:v>11</x:v>
      </x:c>
      <x:c r="F520" s="95" t="str">
        <x:v>闭环优化</x:v>
      </x:c>
      <x:c r="G520" s="95" t="str">
        <x:v>D 闭环优化与高效实验</x:v>
      </x:c>
      <x:c r="H520" s="95" t="str">
        <x:v>混杂与别名</x:v>
      </x:c>
      <x:c r="I520" s="95" t="str">
        <x:v>在小样本、批次效应和昂贵实验下分离配方效应、顺序效应与噪声。</x:v>
      </x:c>
      <x:c r="J520" s="95" t="str">
        <x:v>用于混料/工艺设计空间、可行性模型、成本感知约束BO和自适应重复。</x:v>
      </x:c>
      <x:c r="K520" s="95" t="str">
        <x:v>可直接支撑当前EIS-only闭环。</x:v>
      </x:c>
      <x:c r="L520" s="95" t="str">
        <x:v>M1 前瞻验证（2–5月）</x:v>
      </x:c>
      <x:c r="M520" s="95" t="str">
        <x:v>第二批接入</x:v>
      </x:c>
      <x:c r="N520" s="95" t="str">
        <x:v>P2</x:v>
      </x:c>
      <x:c r="O520" s="95" t="str">
        <x:v>https://www.itl.nist.gov/div898/handbook/</x:v>
      </x:c>
      <x:c r="P520" s="96" t="str">
        <x:v>待评审</x:v>
      </x:c>
    </x:row>
    <x:row r="521">
      <x:c r="A521" s="94" t="str">
        <x:v>T0517</x:v>
      </x:c>
      <x:c r="B521" s="95" t="str">
        <x:v>实验设计与闭环优化</x:v>
      </x:c>
      <x:c r="C521" s="95" t="str">
        <x:v>试验设计与统计</x:v>
      </x:c>
      <x:c r="D521" s="95" t="str">
        <x:v>核心必需</x:v>
      </x:c>
      <x:c r="E521" s="100" t="n">
        <x:v>11</x:v>
      </x:c>
      <x:c r="F521" s="95" t="str">
        <x:v>闭环优化</x:v>
      </x:c>
      <x:c r="G521" s="95" t="str">
        <x:v>D 闭环优化与高效实验</x:v>
      </x:c>
      <x:c r="H521" s="95" t="str">
        <x:v>变量变换</x:v>
      </x:c>
      <x:c r="I521" s="95" t="str">
        <x:v>在小样本、批次效应和昂贵实验下分离配方效应、顺序效应与噪声。</x:v>
      </x:c>
      <x:c r="J521" s="95" t="str">
        <x:v>用于混料/工艺设计空间、可行性模型、成本感知约束BO和自适应重复。</x:v>
      </x:c>
      <x:c r="K521" s="95" t="str">
        <x:v>可直接支撑当前EIS-only闭环。</x:v>
      </x:c>
      <x:c r="L521" s="95" t="str">
        <x:v>M1 前瞻验证（2–5月）</x:v>
      </x:c>
      <x:c r="M521" s="95" t="str">
        <x:v>第二批接入</x:v>
      </x:c>
      <x:c r="N521" s="95" t="str">
        <x:v>P2</x:v>
      </x:c>
      <x:c r="O521" s="95" t="str">
        <x:v>https://pubs.acs.org/doi/10.1021/acs.chemrev.4c00055</x:v>
      </x:c>
      <x:c r="P521" s="96" t="str">
        <x:v>待评审</x:v>
      </x:c>
    </x:row>
    <x:row r="522">
      <x:c r="A522" s="94" t="str">
        <x:v>T0518</x:v>
      </x:c>
      <x:c r="B522" s="95" t="str">
        <x:v>实验设计与闭环优化</x:v>
      </x:c>
      <x:c r="C522" s="95" t="str">
        <x:v>试验设计与统计</x:v>
      </x:c>
      <x:c r="D522" s="95" t="str">
        <x:v>核心必需</x:v>
      </x:c>
      <x:c r="E522" s="100" t="n">
        <x:v>11</x:v>
      </x:c>
      <x:c r="F522" s="95" t="str">
        <x:v>闭环优化</x:v>
      </x:c>
      <x:c r="G522" s="95" t="str">
        <x:v>D 闭环优化与高效实验</x:v>
      </x:c>
      <x:c r="H522" s="95" t="str">
        <x:v>异方差处理</x:v>
      </x:c>
      <x:c r="I522" s="95" t="str">
        <x:v>在小样本、批次效应和昂贵实验下分离配方效应、顺序效应与噪声。</x:v>
      </x:c>
      <x:c r="J522" s="95" t="str">
        <x:v>用于混料/工艺设计空间、可行性模型、成本感知约束BO和自适应重复。</x:v>
      </x:c>
      <x:c r="K522" s="95" t="str">
        <x:v>可直接支撑当前EIS-only闭环。</x:v>
      </x:c>
      <x:c r="L522" s="95" t="str">
        <x:v>M1 前瞻验证（2–5月）</x:v>
      </x:c>
      <x:c r="M522" s="95" t="str">
        <x:v>第二批接入</x:v>
      </x:c>
      <x:c r="N522" s="95" t="str">
        <x:v>P2</x:v>
      </x:c>
      <x:c r="O522" s="95" t="str">
        <x:v>https://www.science.org/doi/10.1126/sciadv.abg4930</x:v>
      </x:c>
      <x:c r="P522" s="96" t="str">
        <x:v>待评审</x:v>
      </x:c>
    </x:row>
    <x:row r="523">
      <x:c r="A523" s="94" t="str">
        <x:v>T0519</x:v>
      </x:c>
      <x:c r="B523" s="95" t="str">
        <x:v>实验设计与闭环优化</x:v>
      </x:c>
      <x:c r="C523" s="95" t="str">
        <x:v>试验设计与统计</x:v>
      </x:c>
      <x:c r="D523" s="95" t="str">
        <x:v>核心必需</x:v>
      </x:c>
      <x:c r="E523" s="100" t="n">
        <x:v>11</x:v>
      </x:c>
      <x:c r="F523" s="95" t="str">
        <x:v>闭环优化</x:v>
      </x:c>
      <x:c r="G523" s="95" t="str">
        <x:v>D 闭环优化与高效实验</x:v>
      </x:c>
      <x:c r="H523" s="95" t="str">
        <x:v>稳健参数设计</x:v>
      </x:c>
      <x:c r="I523" s="95" t="str">
        <x:v>在小样本、批次效应和昂贵实验下分离配方效应、顺序效应与噪声。</x:v>
      </x:c>
      <x:c r="J523" s="95" t="str">
        <x:v>用于混料/工艺设计空间、可行性模型、成本感知约束BO和自适应重复。</x:v>
      </x:c>
      <x:c r="K523" s="95" t="str">
        <x:v>可直接支撑当前EIS-only闭环。</x:v>
      </x:c>
      <x:c r="L523" s="95" t="str">
        <x:v>M1 前瞻验证（2–5月）</x:v>
      </x:c>
      <x:c r="M523" s="95" t="str">
        <x:v>第二批接入</x:v>
      </x:c>
      <x:c r="N523" s="95" t="str">
        <x:v>P2</x:v>
      </x:c>
      <x:c r="O523" s="95" t="str">
        <x:v>https://proceedings.neurips.cc/paper_files/paper/2020/file/f5b1b89d98b7286673128a5fb112cb9a-Paper.pdf</x:v>
      </x:c>
      <x:c r="P523" s="96" t="str">
        <x:v>待评审</x:v>
      </x:c>
    </x:row>
    <x:row r="524">
      <x:c r="A524" s="94" t="str">
        <x:v>T0520</x:v>
      </x:c>
      <x:c r="B524" s="95" t="str">
        <x:v>实验设计与闭环优化</x:v>
      </x:c>
      <x:c r="C524" s="95" t="str">
        <x:v>试验设计与统计</x:v>
      </x:c>
      <x:c r="D524" s="95" t="str">
        <x:v>核心必需</x:v>
      </x:c>
      <x:c r="E524" s="100" t="n">
        <x:v>11</x:v>
      </x:c>
      <x:c r="F524" s="95" t="str">
        <x:v>闭环优化</x:v>
      </x:c>
      <x:c r="G524" s="95" t="str">
        <x:v>D 闭环优化与高效实验</x:v>
      </x:c>
      <x:c r="H524" s="95" t="str">
        <x:v>多重比较控制</x:v>
      </x:c>
      <x:c r="I524" s="95" t="str">
        <x:v>在小样本、批次效应和昂贵实验下分离配方效应、顺序效应与噪声。</x:v>
      </x:c>
      <x:c r="J524" s="95" t="str">
        <x:v>用于混料/工艺设计空间、可行性模型、成本感知约束BO和自适应重复。</x:v>
      </x:c>
      <x:c r="K524" s="95" t="str">
        <x:v>可直接支撑当前EIS-only闭环。</x:v>
      </x:c>
      <x:c r="L524" s="95" t="str">
        <x:v>M1 前瞻验证（2–5月）</x:v>
      </x:c>
      <x:c r="M524" s="95" t="str">
        <x:v>第二批接入</x:v>
      </x:c>
      <x:c r="N524" s="95" t="str">
        <x:v>P2</x:v>
      </x:c>
      <x:c r="O524" s="95" t="str">
        <x:v>https://www.itl.nist.gov/div898/handbook/</x:v>
      </x:c>
      <x:c r="P524" s="96" t="str">
        <x:v>待评审</x:v>
      </x:c>
    </x:row>
    <x:row r="525">
      <x:c r="A525" s="94" t="str">
        <x:v>T0521</x:v>
      </x:c>
      <x:c r="B525" s="95" t="str">
        <x:v>实验设计与闭环优化</x:v>
      </x:c>
      <x:c r="C525" s="95" t="str">
        <x:v>贝叶斯优化与主动学习</x:v>
      </x:c>
      <x:c r="D525" s="95" t="str">
        <x:v>核心必需</x:v>
      </x:c>
      <x:c r="E525" s="100" t="n">
        <x:v>11</x:v>
      </x:c>
      <x:c r="F525" s="95" t="str">
        <x:v>闭环优化</x:v>
      </x:c>
      <x:c r="G525" s="95" t="str">
        <x:v>D 闭环优化与高效实验</x:v>
      </x:c>
      <x:c r="H525" s="95" t="str">
        <x:v>概率代理模型</x:v>
      </x:c>
      <x:c r="I525" s="95" t="str">
        <x:v>用少量实验选择最有价值的下一配方或下一温度/重复测量。</x:v>
      </x:c>
      <x:c r="J525" s="95" t="str">
        <x:v>用于混料/工艺设计空间、可行性模型、成本感知约束BO和自适应重复。</x:v>
      </x:c>
      <x:c r="K525" s="95" t="str">
        <x:v>可直接支撑当前EIS-only闭环。</x:v>
      </x:c>
      <x:c r="L525" s="95" t="str">
        <x:v>M1 前瞻验证（2–5月）</x:v>
      </x:c>
      <x:c r="M525" s="95" t="str">
        <x:v>第二批接入</x:v>
      </x:c>
      <x:c r="N525" s="95" t="str">
        <x:v>P0</x:v>
      </x:c>
      <x:c r="O525" s="95" t="str">
        <x:v>https://www.science.org/doi/10.1126/sciadv.aaz8867</x:v>
      </x:c>
      <x:c r="P525" s="96" t="str">
        <x:v>待评审</x:v>
      </x:c>
    </x:row>
    <x:row r="526">
      <x:c r="A526" s="94" t="str">
        <x:v>T0522</x:v>
      </x:c>
      <x:c r="B526" s="95" t="str">
        <x:v>实验设计与闭环优化</x:v>
      </x:c>
      <x:c r="C526" s="95" t="str">
        <x:v>贝叶斯优化与主动学习</x:v>
      </x:c>
      <x:c r="D526" s="95" t="str">
        <x:v>核心必需</x:v>
      </x:c>
      <x:c r="E526" s="100" t="n">
        <x:v>12</x:v>
      </x:c>
      <x:c r="F526" s="95" t="str">
        <x:v>闭环优化</x:v>
      </x:c>
      <x:c r="G526" s="95" t="str">
        <x:v>D 闭环优化与高效实验</x:v>
      </x:c>
      <x:c r="H526" s="95" t="str">
        <x:v>高斯过程</x:v>
      </x:c>
      <x:c r="I526" s="95" t="str">
        <x:v>用少量实验选择最有价值的下一配方或下一温度/重复测量。</x:v>
      </x:c>
      <x:c r="J526" s="95" t="str">
        <x:v>用于混料/工艺设计空间、可行性模型、成本感知约束BO和自适应重复。</x:v>
      </x:c>
      <x:c r="K526" s="95" t="str">
        <x:v>可直接支撑当前EIS-only闭环。</x:v>
      </x:c>
      <x:c r="L526" s="95" t="str">
        <x:v>M0 主流程接入（0–2月）</x:v>
      </x:c>
      <x:c r="M526" s="95" t="str">
        <x:v>首批接入</x:v>
      </x:c>
      <x:c r="N526" s="95" t="str">
        <x:v>P0</x:v>
      </x:c>
      <x:c r="O526" s="95" t="str">
        <x:v>https://www.science.org/doi/10.1126/sciadv.aaz1708</x:v>
      </x:c>
      <x:c r="P526" s="96" t="str">
        <x:v>待评审</x:v>
      </x:c>
    </x:row>
    <x:row r="527">
      <x:c r="A527" s="94" t="str">
        <x:v>T0523</x:v>
      </x:c>
      <x:c r="B527" s="95" t="str">
        <x:v>实验设计与闭环优化</x:v>
      </x:c>
      <x:c r="C527" s="95" t="str">
        <x:v>贝叶斯优化与主动学习</x:v>
      </x:c>
      <x:c r="D527" s="95" t="str">
        <x:v>关键支撑</x:v>
      </x:c>
      <x:c r="E527" s="100" t="n">
        <x:v>8</x:v>
      </x:c>
      <x:c r="F527" s="95" t="str">
        <x:v>闭环优化</x:v>
      </x:c>
      <x:c r="G527" s="95" t="str">
        <x:v>D 闭环优化与高效实验</x:v>
      </x:c>
      <x:c r="H527" s="95" t="str">
        <x:v>核函数设计</x:v>
      </x:c>
      <x:c r="I527" s="95" t="str">
        <x:v>用少量实验选择最有价值的下一配方或下一温度/重复测量。</x:v>
      </x:c>
      <x:c r="J527" s="95" t="str">
        <x:v>用于混料/工艺设计空间、可行性模型、成本感知约束BO和自适应重复。</x:v>
      </x:c>
      <x:c r="K527" s="95" t="str">
        <x:v>可直接支撑当前EIS-only闭环。</x:v>
      </x:c>
      <x:c r="L527" s="95" t="str">
        <x:v>M2 扩展与复现（5–12月）</x:v>
      </x:c>
      <x:c r="M527" s="95" t="str">
        <x:v>按瓶颈接入</x:v>
      </x:c>
      <x:c r="N527" s="95" t="str">
        <x:v>P0</x:v>
      </x:c>
      <x:c r="O527" s="95" t="str">
        <x:v>https://www.science.org/doi/10.1126/sciadv.abg4930</x:v>
      </x:c>
      <x:c r="P527" s="96" t="str">
        <x:v>待评审</x:v>
      </x:c>
    </x:row>
    <x:row r="528">
      <x:c r="A528" s="94" t="str">
        <x:v>T0524</x:v>
      </x:c>
      <x:c r="B528" s="95" t="str">
        <x:v>实验设计与闭环优化</x:v>
      </x:c>
      <x:c r="C528" s="95" t="str">
        <x:v>贝叶斯优化与主动学习</x:v>
      </x:c>
      <x:c r="D528" s="95" t="str">
        <x:v>关键支撑</x:v>
      </x:c>
      <x:c r="E528" s="100" t="n">
        <x:v>8</x:v>
      </x:c>
      <x:c r="F528" s="95" t="str">
        <x:v>闭环优化</x:v>
      </x:c>
      <x:c r="G528" s="95" t="str">
        <x:v>D 闭环优化与高效实验</x:v>
      </x:c>
      <x:c r="H528" s="95" t="str">
        <x:v>均值函数先验</x:v>
      </x:c>
      <x:c r="I528" s="95" t="str">
        <x:v>用少量实验选择最有价值的下一配方或下一温度/重复测量。</x:v>
      </x:c>
      <x:c r="J528" s="95" t="str">
        <x:v>用于混料/工艺设计空间、可行性模型、成本感知约束BO和自适应重复。</x:v>
      </x:c>
      <x:c r="K528" s="95" t="str">
        <x:v>可直接支撑当前EIS-only闭环。</x:v>
      </x:c>
      <x:c r="L528" s="95" t="str">
        <x:v>M2 扩展与复现（5–12月）</x:v>
      </x:c>
      <x:c r="M528" s="95" t="str">
        <x:v>按瓶颈接入</x:v>
      </x:c>
      <x:c r="N528" s="95" t="str">
        <x:v>P0</x:v>
      </x:c>
      <x:c r="O528" s="95" t="str">
        <x:v>https://proceedings.neurips.cc/paper_files/paper/2020/file/f5b1b89d98b7286673128a5fb112cb9a-Paper.pdf</x:v>
      </x:c>
      <x:c r="P528" s="96" t="str">
        <x:v>待评审</x:v>
      </x:c>
    </x:row>
    <x:row r="529">
      <x:c r="A529" s="94" t="str">
        <x:v>T0525</x:v>
      </x:c>
      <x:c r="B529" s="95" t="str">
        <x:v>实验设计与闭环优化</x:v>
      </x:c>
      <x:c r="C529" s="95" t="str">
        <x:v>贝叶斯优化与主动学习</x:v>
      </x:c>
      <x:c r="D529" s="95" t="str">
        <x:v>核心必需</x:v>
      </x:c>
      <x:c r="E529" s="100" t="n">
        <x:v>12</x:v>
      </x:c>
      <x:c r="F529" s="95" t="str">
        <x:v>闭环优化</x:v>
      </x:c>
      <x:c r="G529" s="95" t="str">
        <x:v>D 闭环优化与高效实验</x:v>
      </x:c>
      <x:c r="H529" s="95" t="str">
        <x:v>噪声模型</x:v>
      </x:c>
      <x:c r="I529" s="95" t="str">
        <x:v>用少量实验选择最有价值的下一配方或下一温度/重复测量。</x:v>
      </x:c>
      <x:c r="J529" s="95" t="str">
        <x:v>用于混料/工艺设计空间、可行性模型、成本感知约束BO和自适应重复。</x:v>
      </x:c>
      <x:c r="K529" s="95" t="str">
        <x:v>可直接支撑当前EIS-only闭环。</x:v>
      </x:c>
      <x:c r="L529" s="95" t="str">
        <x:v>M0 主流程接入（0–2月）</x:v>
      </x:c>
      <x:c r="M529" s="95" t="str">
        <x:v>首批接入</x:v>
      </x:c>
      <x:c r="N529" s="95" t="str">
        <x:v>P0</x:v>
      </x:c>
      <x:c r="O529" s="95" t="str">
        <x:v>https://www.science.org/doi/10.1126/sciadv.aaz8867</x:v>
      </x:c>
      <x:c r="P529" s="96" t="str">
        <x:v>待评审</x:v>
      </x:c>
    </x:row>
    <x:row r="530">
      <x:c r="A530" s="94" t="str">
        <x:v>T0526</x:v>
      </x:c>
      <x:c r="B530" s="95" t="str">
        <x:v>实验设计与闭环优化</x:v>
      </x:c>
      <x:c r="C530" s="95" t="str">
        <x:v>贝叶斯优化与主动学习</x:v>
      </x:c>
      <x:c r="D530" s="95" t="str">
        <x:v>核心必需</x:v>
      </x:c>
      <x:c r="E530" s="100" t="n">
        <x:v>12</x:v>
      </x:c>
      <x:c r="F530" s="95" t="str">
        <x:v>闭环优化</x:v>
      </x:c>
      <x:c r="G530" s="95" t="str">
        <x:v>D 闭环优化与高效实验</x:v>
      </x:c>
      <x:c r="H530" s="95" t="str">
        <x:v>异方差高斯过程</x:v>
      </x:c>
      <x:c r="I530" s="95" t="str">
        <x:v>用少量实验选择最有价值的下一配方或下一温度/重复测量。</x:v>
      </x:c>
      <x:c r="J530" s="95" t="str">
        <x:v>用于混料/工艺设计空间、可行性模型、成本感知约束BO和自适应重复。</x:v>
      </x:c>
      <x:c r="K530" s="95" t="str">
        <x:v>可直接支撑当前EIS-only闭环。</x:v>
      </x:c>
      <x:c r="L530" s="95" t="str">
        <x:v>M0 主流程接入（0–2月）</x:v>
      </x:c>
      <x:c r="M530" s="95" t="str">
        <x:v>首批接入</x:v>
      </x:c>
      <x:c r="N530" s="95" t="str">
        <x:v>P0</x:v>
      </x:c>
      <x:c r="O530" s="95" t="str">
        <x:v>https://www.science.org/doi/10.1126/sciadv.aaz1708</x:v>
      </x:c>
      <x:c r="P530" s="96" t="str">
        <x:v>待评审</x:v>
      </x:c>
    </x:row>
    <x:row r="531">
      <x:c r="A531" s="94" t="str">
        <x:v>T0527</x:v>
      </x:c>
      <x:c r="B531" s="95" t="str">
        <x:v>实验设计与闭环优化</x:v>
      </x:c>
      <x:c r="C531" s="95" t="str">
        <x:v>贝叶斯优化与主动学习</x:v>
      </x:c>
      <x:c r="D531" s="95" t="str">
        <x:v>核心必需</x:v>
      </x:c>
      <x:c r="E531" s="100" t="n">
        <x:v>11</x:v>
      </x:c>
      <x:c r="F531" s="95" t="str">
        <x:v>闭环优化</x:v>
      </x:c>
      <x:c r="G531" s="95" t="str">
        <x:v>D 闭环优化与高效实验</x:v>
      </x:c>
      <x:c r="H531" s="95" t="str">
        <x:v>深层高斯过程</x:v>
      </x:c>
      <x:c r="I531" s="95" t="str">
        <x:v>用少量实验选择最有价值的下一配方或下一温度/重复测量。</x:v>
      </x:c>
      <x:c r="J531" s="95" t="str">
        <x:v>用于混料/工艺设计空间、可行性模型、成本感知约束BO和自适应重复。</x:v>
      </x:c>
      <x:c r="K531" s="95" t="str">
        <x:v>可直接支撑当前EIS-only闭环。</x:v>
      </x:c>
      <x:c r="L531" s="95" t="str">
        <x:v>M1 前瞻验证（2–5月）</x:v>
      </x:c>
      <x:c r="M531" s="95" t="str">
        <x:v>第二批接入</x:v>
      </x:c>
      <x:c r="N531" s="95" t="str">
        <x:v>P0</x:v>
      </x:c>
      <x:c r="O531" s="95" t="str">
        <x:v>https://www.science.org/doi/10.1126/sciadv.abg4930</x:v>
      </x:c>
      <x:c r="P531" s="96" t="str">
        <x:v>待评审</x:v>
      </x:c>
    </x:row>
    <x:row r="532">
      <x:c r="A532" s="94" t="str">
        <x:v>T0528</x:v>
      </x:c>
      <x:c r="B532" s="95" t="str">
        <x:v>实验设计与闭环优化</x:v>
      </x:c>
      <x:c r="C532" s="95" t="str">
        <x:v>贝叶斯优化与主动学习</x:v>
      </x:c>
      <x:c r="D532" s="95" t="str">
        <x:v>关键支撑</x:v>
      </x:c>
      <x:c r="E532" s="100" t="n">
        <x:v>8</x:v>
      </x:c>
      <x:c r="F532" s="95" t="str">
        <x:v>闭环优化</x:v>
      </x:c>
      <x:c r="G532" s="95" t="str">
        <x:v>D 闭环优化与高效实验</x:v>
      </x:c>
      <x:c r="H532" s="95" t="str">
        <x:v>随机森林代理</x:v>
      </x:c>
      <x:c r="I532" s="95" t="str">
        <x:v>用少量实验选择最有价值的下一配方或下一温度/重复测量。</x:v>
      </x:c>
      <x:c r="J532" s="95" t="str">
        <x:v>用于混料/工艺设计空间、可行性模型、成本感知约束BO和自适应重复。</x:v>
      </x:c>
      <x:c r="K532" s="95" t="str">
        <x:v>可直接支撑当前EIS-only闭环。</x:v>
      </x:c>
      <x:c r="L532" s="95" t="str">
        <x:v>M2 扩展与复现（5–12月）</x:v>
      </x:c>
      <x:c r="M532" s="95" t="str">
        <x:v>按瓶颈接入</x:v>
      </x:c>
      <x:c r="N532" s="95" t="str">
        <x:v>P0</x:v>
      </x:c>
      <x:c r="O532" s="95" t="str">
        <x:v>https://proceedings.neurips.cc/paper_files/paper/2020/file/f5b1b89d98b7286673128a5fb112cb9a-Paper.pdf</x:v>
      </x:c>
      <x:c r="P532" s="96" t="str">
        <x:v>待评审</x:v>
      </x:c>
    </x:row>
    <x:row r="533">
      <x:c r="A533" s="94" t="str">
        <x:v>T0529</x:v>
      </x:c>
      <x:c r="B533" s="95" t="str">
        <x:v>实验设计与闭环优化</x:v>
      </x:c>
      <x:c r="C533" s="95" t="str">
        <x:v>贝叶斯优化与主动学习</x:v>
      </x:c>
      <x:c r="D533" s="95" t="str">
        <x:v>关键支撑</x:v>
      </x:c>
      <x:c r="E533" s="100" t="n">
        <x:v>8</x:v>
      </x:c>
      <x:c r="F533" s="95" t="str">
        <x:v>闭环优化</x:v>
      </x:c>
      <x:c r="G533" s="95" t="str">
        <x:v>D 闭环优化与高效实验</x:v>
      </x:c>
      <x:c r="H533" s="95" t="str">
        <x:v>TPE代理</x:v>
      </x:c>
      <x:c r="I533" s="95" t="str">
        <x:v>用少量实验选择最有价值的下一配方或下一温度/重复测量。</x:v>
      </x:c>
      <x:c r="J533" s="95" t="str">
        <x:v>用于混料/工艺设计空间、可行性模型、成本感知约束BO和自适应重复。</x:v>
      </x:c>
      <x:c r="K533" s="95" t="str">
        <x:v>可直接支撑当前EIS-only闭环。</x:v>
      </x:c>
      <x:c r="L533" s="95" t="str">
        <x:v>M2 扩展与复现（5–12月）</x:v>
      </x:c>
      <x:c r="M533" s="95" t="str">
        <x:v>按瓶颈接入</x:v>
      </x:c>
      <x:c r="N533" s="95" t="str">
        <x:v>P0</x:v>
      </x:c>
      <x:c r="O533" s="95" t="str">
        <x:v>https://www.science.org/doi/10.1126/sciadv.aaz8867</x:v>
      </x:c>
      <x:c r="P533" s="96" t="str">
        <x:v>待评审</x:v>
      </x:c>
    </x:row>
    <x:row r="534">
      <x:c r="A534" s="94" t="str">
        <x:v>T0530</x:v>
      </x:c>
      <x:c r="B534" s="95" t="str">
        <x:v>实验设计与闭环优化</x:v>
      </x:c>
      <x:c r="C534" s="95" t="str">
        <x:v>贝叶斯优化与主动学习</x:v>
      </x:c>
      <x:c r="D534" s="95" t="str">
        <x:v>关键支撑</x:v>
      </x:c>
      <x:c r="E534" s="100" t="n">
        <x:v>8</x:v>
      </x:c>
      <x:c r="F534" s="95" t="str">
        <x:v>闭环优化</x:v>
      </x:c>
      <x:c r="G534" s="95" t="str">
        <x:v>D 闭环优化与高效实验</x:v>
      </x:c>
      <x:c r="H534" s="95" t="str">
        <x:v>神经网络代理</x:v>
      </x:c>
      <x:c r="I534" s="95" t="str">
        <x:v>用少量实验选择最有价值的下一配方或下一温度/重复测量。</x:v>
      </x:c>
      <x:c r="J534" s="95" t="str">
        <x:v>用于混料/工艺设计空间、可行性模型、成本感知约束BO和自适应重复。</x:v>
      </x:c>
      <x:c r="K534" s="95" t="str">
        <x:v>可直接支撑当前EIS-only闭环。</x:v>
      </x:c>
      <x:c r="L534" s="95" t="str">
        <x:v>M2 扩展与复现（5–12月）</x:v>
      </x:c>
      <x:c r="M534" s="95" t="str">
        <x:v>按瓶颈接入</x:v>
      </x:c>
      <x:c r="N534" s="95" t="str">
        <x:v>P0</x:v>
      </x:c>
      <x:c r="O534" s="95" t="str">
        <x:v>https://www.science.org/doi/10.1126/sciadv.aaz1708</x:v>
      </x:c>
      <x:c r="P534" s="96" t="str">
        <x:v>待评审</x:v>
      </x:c>
    </x:row>
    <x:row r="535">
      <x:c r="A535" s="94" t="str">
        <x:v>T0531</x:v>
      </x:c>
      <x:c r="B535" s="95" t="str">
        <x:v>实验设计与闭环优化</x:v>
      </x:c>
      <x:c r="C535" s="95" t="str">
        <x:v>贝叶斯优化与主动学习</x:v>
      </x:c>
      <x:c r="D535" s="95" t="str">
        <x:v>关键支撑</x:v>
      </x:c>
      <x:c r="E535" s="100" t="n">
        <x:v>8</x:v>
      </x:c>
      <x:c r="F535" s="95" t="str">
        <x:v>闭环优化</x:v>
      </x:c>
      <x:c r="G535" s="95" t="str">
        <x:v>D 闭环优化与高效实验</x:v>
      </x:c>
      <x:c r="H535" s="95" t="str">
        <x:v>期望改进EI</x:v>
      </x:c>
      <x:c r="I535" s="95" t="str">
        <x:v>用少量实验选择最有价值的下一配方或下一温度/重复测量。</x:v>
      </x:c>
      <x:c r="J535" s="95" t="str">
        <x:v>用于混料/工艺设计空间、可行性模型、成本感知约束BO和自适应重复。</x:v>
      </x:c>
      <x:c r="K535" s="95" t="str">
        <x:v>可直接支撑当前EIS-only闭环。</x:v>
      </x:c>
      <x:c r="L535" s="95" t="str">
        <x:v>M2 扩展与复现（5–12月）</x:v>
      </x:c>
      <x:c r="M535" s="95" t="str">
        <x:v>按瓶颈接入</x:v>
      </x:c>
      <x:c r="N535" s="95" t="str">
        <x:v>P1</x:v>
      </x:c>
      <x:c r="O535" s="95" t="str">
        <x:v>https://www.science.org/doi/10.1126/sciadv.abg4930</x:v>
      </x:c>
      <x:c r="P535" s="96" t="str">
        <x:v>待评审</x:v>
      </x:c>
    </x:row>
    <x:row r="536">
      <x:c r="A536" s="94" t="str">
        <x:v>T0532</x:v>
      </x:c>
      <x:c r="B536" s="95" t="str">
        <x:v>实验设计与闭环优化</x:v>
      </x:c>
      <x:c r="C536" s="95" t="str">
        <x:v>贝叶斯优化与主动学习</x:v>
      </x:c>
      <x:c r="D536" s="95" t="str">
        <x:v>关键支撑</x:v>
      </x:c>
      <x:c r="E536" s="100" t="n">
        <x:v>8</x:v>
      </x:c>
      <x:c r="F536" s="95" t="str">
        <x:v>闭环优化</x:v>
      </x:c>
      <x:c r="G536" s="95" t="str">
        <x:v>D 闭环优化与高效实验</x:v>
      </x:c>
      <x:c r="H536" s="95" t="str">
        <x:v>改进概率PI</x:v>
      </x:c>
      <x:c r="I536" s="95" t="str">
        <x:v>用少量实验选择最有价值的下一配方或下一温度/重复测量。</x:v>
      </x:c>
      <x:c r="J536" s="95" t="str">
        <x:v>用于混料/工艺设计空间、可行性模型、成本感知约束BO和自适应重复。</x:v>
      </x:c>
      <x:c r="K536" s="95" t="str">
        <x:v>可直接支撑当前EIS-only闭环。</x:v>
      </x:c>
      <x:c r="L536" s="95" t="str">
        <x:v>M2 扩展与复现（5–12月）</x:v>
      </x:c>
      <x:c r="M536" s="95" t="str">
        <x:v>按瓶颈接入</x:v>
      </x:c>
      <x:c r="N536" s="95" t="str">
        <x:v>P1</x:v>
      </x:c>
      <x:c r="O536" s="95" t="str">
        <x:v>https://proceedings.neurips.cc/paper_files/paper/2020/file/f5b1b89d98b7286673128a5fb112cb9a-Paper.pdf</x:v>
      </x:c>
      <x:c r="P536" s="96" t="str">
        <x:v>待评审</x:v>
      </x:c>
    </x:row>
    <x:row r="537">
      <x:c r="A537" s="94" t="str">
        <x:v>T0533</x:v>
      </x:c>
      <x:c r="B537" s="95" t="str">
        <x:v>实验设计与闭环优化</x:v>
      </x:c>
      <x:c r="C537" s="95" t="str">
        <x:v>贝叶斯优化与主动学习</x:v>
      </x:c>
      <x:c r="D537" s="95" t="str">
        <x:v>关键支撑</x:v>
      </x:c>
      <x:c r="E537" s="100" t="n">
        <x:v>8</x:v>
      </x:c>
      <x:c r="F537" s="95" t="str">
        <x:v>闭环优化</x:v>
      </x:c>
      <x:c r="G537" s="95" t="str">
        <x:v>D 闭环优化与高效实验</x:v>
      </x:c>
      <x:c r="H537" s="95" t="str">
        <x:v>置信上界UCB</x:v>
      </x:c>
      <x:c r="I537" s="95" t="str">
        <x:v>用少量实验选择最有价值的下一配方或下一温度/重复测量。</x:v>
      </x:c>
      <x:c r="J537" s="95" t="str">
        <x:v>用于混料/工艺设计空间、可行性模型、成本感知约束BO和自适应重复。</x:v>
      </x:c>
      <x:c r="K537" s="95" t="str">
        <x:v>可直接支撑当前EIS-only闭环。</x:v>
      </x:c>
      <x:c r="L537" s="95" t="str">
        <x:v>M2 扩展与复现（5–12月）</x:v>
      </x:c>
      <x:c r="M537" s="95" t="str">
        <x:v>按瓶颈接入</x:v>
      </x:c>
      <x:c r="N537" s="95" t="str">
        <x:v>P1</x:v>
      </x:c>
      <x:c r="O537" s="95" t="str">
        <x:v>https://www.science.org/doi/10.1126/sciadv.aaz8867</x:v>
      </x:c>
      <x:c r="P537" s="96" t="str">
        <x:v>待评审</x:v>
      </x:c>
    </x:row>
    <x:row r="538">
      <x:c r="A538" s="94" t="str">
        <x:v>T0534</x:v>
      </x:c>
      <x:c r="B538" s="95" t="str">
        <x:v>实验设计与闭环优化</x:v>
      </x:c>
      <x:c r="C538" s="95" t="str">
        <x:v>贝叶斯优化与主动学习</x:v>
      </x:c>
      <x:c r="D538" s="95" t="str">
        <x:v>核心必需</x:v>
      </x:c>
      <x:c r="E538" s="100" t="n">
        <x:v>12</x:v>
      </x:c>
      <x:c r="F538" s="95" t="str">
        <x:v>闭环优化</x:v>
      </x:c>
      <x:c r="G538" s="95" t="str">
        <x:v>D 闭环优化与高效实验</x:v>
      </x:c>
      <x:c r="H538" s="95" t="str">
        <x:v>知识梯度KG</x:v>
      </x:c>
      <x:c r="I538" s="95" t="str">
        <x:v>用少量实验选择最有价值的下一配方或下一温度/重复测量。</x:v>
      </x:c>
      <x:c r="J538" s="95" t="str">
        <x:v>用于混料/工艺设计空间、可行性模型、成本感知约束BO和自适应重复。</x:v>
      </x:c>
      <x:c r="K538" s="95" t="str">
        <x:v>可直接支撑当前EIS-only闭环。</x:v>
      </x:c>
      <x:c r="L538" s="95" t="str">
        <x:v>M0 主流程接入（0–2月）</x:v>
      </x:c>
      <x:c r="M538" s="95" t="str">
        <x:v>首批接入</x:v>
      </x:c>
      <x:c r="N538" s="95" t="str">
        <x:v>P1</x:v>
      </x:c>
      <x:c r="O538" s="95" t="str">
        <x:v>https://www.science.org/doi/10.1126/sciadv.aaz1708</x:v>
      </x:c>
      <x:c r="P538" s="96" t="str">
        <x:v>待评审</x:v>
      </x:c>
    </x:row>
    <x:row r="539">
      <x:c r="A539" s="94" t="str">
        <x:v>T0535</x:v>
      </x:c>
      <x:c r="B539" s="95" t="str">
        <x:v>实验设计与闭环优化</x:v>
      </x:c>
      <x:c r="C539" s="95" t="str">
        <x:v>贝叶斯优化与主动学习</x:v>
      </x:c>
      <x:c r="D539" s="95" t="str">
        <x:v>核心必需</x:v>
      </x:c>
      <x:c r="E539" s="100" t="n">
        <x:v>11</x:v>
      </x:c>
      <x:c r="F539" s="95" t="str">
        <x:v>闭环优化</x:v>
      </x:c>
      <x:c r="G539" s="95" t="str">
        <x:v>D 闭环优化与高效实验</x:v>
      </x:c>
      <x:c r="H539" s="95" t="str">
        <x:v>熵搜索</x:v>
      </x:c>
      <x:c r="I539" s="95" t="str">
        <x:v>用少量实验选择最有价值的下一配方或下一温度/重复测量。</x:v>
      </x:c>
      <x:c r="J539" s="95" t="str">
        <x:v>用于混料/工艺设计空间、可行性模型、成本感知约束BO和自适应重复。</x:v>
      </x:c>
      <x:c r="K539" s="95" t="str">
        <x:v>可直接支撑当前EIS-only闭环。</x:v>
      </x:c>
      <x:c r="L539" s="95" t="str">
        <x:v>M1 前瞻验证（2–5月）</x:v>
      </x:c>
      <x:c r="M539" s="95" t="str">
        <x:v>第二批接入</x:v>
      </x:c>
      <x:c r="N539" s="95" t="str">
        <x:v>P1</x:v>
      </x:c>
      <x:c r="O539" s="95" t="str">
        <x:v>https://www.science.org/doi/10.1126/sciadv.abg4930</x:v>
      </x:c>
      <x:c r="P539" s="96" t="str">
        <x:v>待评审</x:v>
      </x:c>
    </x:row>
    <x:row r="540">
      <x:c r="A540" s="94" t="str">
        <x:v>T0536</x:v>
      </x:c>
      <x:c r="B540" s="95" t="str">
        <x:v>实验设计与闭环优化</x:v>
      </x:c>
      <x:c r="C540" s="95" t="str">
        <x:v>贝叶斯优化与主动学习</x:v>
      </x:c>
      <x:c r="D540" s="95" t="str">
        <x:v>核心必需</x:v>
      </x:c>
      <x:c r="E540" s="100" t="n">
        <x:v>11</x:v>
      </x:c>
      <x:c r="F540" s="95" t="str">
        <x:v>闭环优化</x:v>
      </x:c>
      <x:c r="G540" s="95" t="str">
        <x:v>D 闭环优化与高效实验</x:v>
      </x:c>
      <x:c r="H540" s="95" t="str">
        <x:v>预测熵搜索</x:v>
      </x:c>
      <x:c r="I540" s="95" t="str">
        <x:v>用少量实验选择最有价值的下一配方或下一温度/重复测量。</x:v>
      </x:c>
      <x:c r="J540" s="95" t="str">
        <x:v>用于混料/工艺设计空间、可行性模型、成本感知约束BO和自适应重复。</x:v>
      </x:c>
      <x:c r="K540" s="95" t="str">
        <x:v>可直接支撑当前EIS-only闭环。</x:v>
      </x:c>
      <x:c r="L540" s="95" t="str">
        <x:v>M1 前瞻验证（2–5月）</x:v>
      </x:c>
      <x:c r="M540" s="95" t="str">
        <x:v>第二批接入</x:v>
      </x:c>
      <x:c r="N540" s="95" t="str">
        <x:v>P1</x:v>
      </x:c>
      <x:c r="O540" s="95" t="str">
        <x:v>https://proceedings.neurips.cc/paper_files/paper/2020/file/f5b1b89d98b7286673128a5fb112cb9a-Paper.pdf</x:v>
      </x:c>
      <x:c r="P540" s="96" t="str">
        <x:v>待评审</x:v>
      </x:c>
    </x:row>
    <x:row r="541">
      <x:c r="A541" s="94" t="str">
        <x:v>T0537</x:v>
      </x:c>
      <x:c r="B541" s="95" t="str">
        <x:v>实验设计与闭环优化</x:v>
      </x:c>
      <x:c r="C541" s="95" t="str">
        <x:v>贝叶斯优化与主动学习</x:v>
      </x:c>
      <x:c r="D541" s="95" t="str">
        <x:v>关键支撑</x:v>
      </x:c>
      <x:c r="E541" s="100" t="n">
        <x:v>8</x:v>
      </x:c>
      <x:c r="F541" s="95" t="str">
        <x:v>闭环优化</x:v>
      </x:c>
      <x:c r="G541" s="95" t="str">
        <x:v>D 闭环优化与高效实验</x:v>
      </x:c>
      <x:c r="H541" s="95" t="str">
        <x:v>汤普森采样</x:v>
      </x:c>
      <x:c r="I541" s="95" t="str">
        <x:v>用少量实验选择最有价值的下一配方或下一温度/重复测量。</x:v>
      </x:c>
      <x:c r="J541" s="95" t="str">
        <x:v>用于混料/工艺设计空间、可行性模型、成本感知约束BO和自适应重复。</x:v>
      </x:c>
      <x:c r="K541" s="95" t="str">
        <x:v>可直接支撑当前EIS-only闭环。</x:v>
      </x:c>
      <x:c r="L541" s="95" t="str">
        <x:v>M2 扩展与复现（5–12月）</x:v>
      </x:c>
      <x:c r="M541" s="95" t="str">
        <x:v>按瓶颈接入</x:v>
      </x:c>
      <x:c r="N541" s="95" t="str">
        <x:v>P1</x:v>
      </x:c>
      <x:c r="O541" s="95" t="str">
        <x:v>https://www.science.org/doi/10.1126/sciadv.aaz8867</x:v>
      </x:c>
      <x:c r="P541" s="96" t="str">
        <x:v>待评审</x:v>
      </x:c>
    </x:row>
    <x:row r="542">
      <x:c r="A542" s="94" t="str">
        <x:v>T0538</x:v>
      </x:c>
      <x:c r="B542" s="95" t="str">
        <x:v>实验设计与闭环优化</x:v>
      </x:c>
      <x:c r="C542" s="95" t="str">
        <x:v>贝叶斯优化与主动学习</x:v>
      </x:c>
      <x:c r="D542" s="95" t="str">
        <x:v>核心必需</x:v>
      </x:c>
      <x:c r="E542" s="100" t="n">
        <x:v>11</x:v>
      </x:c>
      <x:c r="F542" s="95" t="str">
        <x:v>闭环优化</x:v>
      </x:c>
      <x:c r="G542" s="95" t="str">
        <x:v>D 闭环优化与高效实验</x:v>
      </x:c>
      <x:c r="H542" s="95" t="str">
        <x:v>批量qEI</x:v>
      </x:c>
      <x:c r="I542" s="95" t="str">
        <x:v>用少量实验选择最有价值的下一配方或下一温度/重复测量。</x:v>
      </x:c>
      <x:c r="J542" s="95" t="str">
        <x:v>用于混料/工艺设计空间、可行性模型、成本感知约束BO和自适应重复。</x:v>
      </x:c>
      <x:c r="K542" s="95" t="str">
        <x:v>可直接支撑当前EIS-only闭环。</x:v>
      </x:c>
      <x:c r="L542" s="95" t="str">
        <x:v>M1 前瞻验证（2–5月）</x:v>
      </x:c>
      <x:c r="M542" s="95" t="str">
        <x:v>第二批接入</x:v>
      </x:c>
      <x:c r="N542" s="95" t="str">
        <x:v>P1</x:v>
      </x:c>
      <x:c r="O542" s="95" t="str">
        <x:v>https://www.science.org/doi/10.1126/sciadv.aaz1708</x:v>
      </x:c>
      <x:c r="P542" s="96" t="str">
        <x:v>待评审</x:v>
      </x:c>
    </x:row>
    <x:row r="543">
      <x:c r="A543" s="94" t="str">
        <x:v>T0539</x:v>
      </x:c>
      <x:c r="B543" s="95" t="str">
        <x:v>实验设计与闭环优化</x:v>
      </x:c>
      <x:c r="C543" s="95" t="str">
        <x:v>贝叶斯优化与主动学习</x:v>
      </x:c>
      <x:c r="D543" s="95" t="str">
        <x:v>关键支撑</x:v>
      </x:c>
      <x:c r="E543" s="100" t="n">
        <x:v>8</x:v>
      </x:c>
      <x:c r="F543" s="95" t="str">
        <x:v>闭环优化</x:v>
      </x:c>
      <x:c r="G543" s="95" t="str">
        <x:v>D 闭环优化与高效实验</x:v>
      </x:c>
      <x:c r="H543" s="95" t="str">
        <x:v>局部惩罚</x:v>
      </x:c>
      <x:c r="I543" s="95" t="str">
        <x:v>用少量实验选择最有价值的下一配方或下一温度/重复测量。</x:v>
      </x:c>
      <x:c r="J543" s="95" t="str">
        <x:v>用于混料/工艺设计空间、可行性模型、成本感知约束BO和自适应重复。</x:v>
      </x:c>
      <x:c r="K543" s="95" t="str">
        <x:v>可直接支撑当前EIS-only闭环。</x:v>
      </x:c>
      <x:c r="L543" s="95" t="str">
        <x:v>M2 扩展与复现（5–12月）</x:v>
      </x:c>
      <x:c r="M543" s="95" t="str">
        <x:v>按瓶颈接入</x:v>
      </x:c>
      <x:c r="N543" s="95" t="str">
        <x:v>P1</x:v>
      </x:c>
      <x:c r="O543" s="95" t="str">
        <x:v>https://www.science.org/doi/10.1126/sciadv.abg4930</x:v>
      </x:c>
      <x:c r="P543" s="96" t="str">
        <x:v>待评审</x:v>
      </x:c>
    </x:row>
    <x:row r="544">
      <x:c r="A544" s="94" t="str">
        <x:v>T0540</x:v>
      </x:c>
      <x:c r="B544" s="95" t="str">
        <x:v>实验设计与闭环优化</x:v>
      </x:c>
      <x:c r="C544" s="95" t="str">
        <x:v>贝叶斯优化与主动学习</x:v>
      </x:c>
      <x:c r="D544" s="95" t="str">
        <x:v>核心必需</x:v>
      </x:c>
      <x:c r="E544" s="100" t="n">
        <x:v>12</x:v>
      </x:c>
      <x:c r="F544" s="95" t="str">
        <x:v>闭环优化</x:v>
      </x:c>
      <x:c r="G544" s="95" t="str">
        <x:v>D 闭环优化与高效实验</x:v>
      </x:c>
      <x:c r="H544" s="95" t="str">
        <x:v>异步贝叶斯优化</x:v>
      </x:c>
      <x:c r="I544" s="95" t="str">
        <x:v>用少量实验选择最有价值的下一配方或下一温度/重复测量。</x:v>
      </x:c>
      <x:c r="J544" s="95" t="str">
        <x:v>用于混料/工艺设计空间、可行性模型、成本感知约束BO和自适应重复。</x:v>
      </x:c>
      <x:c r="K544" s="95" t="str">
        <x:v>可直接支撑当前EIS-only闭环。</x:v>
      </x:c>
      <x:c r="L544" s="95" t="str">
        <x:v>M0 主流程接入（0–2月）</x:v>
      </x:c>
      <x:c r="M544" s="95" t="str">
        <x:v>首批接入</x:v>
      </x:c>
      <x:c r="N544" s="95" t="str">
        <x:v>P1</x:v>
      </x:c>
      <x:c r="O544" s="95" t="str">
        <x:v>https://proceedings.neurips.cc/paper_files/paper/2020/file/f5b1b89d98b7286673128a5fb112cb9a-Paper.pdf</x:v>
      </x:c>
      <x:c r="P544" s="96" t="str">
        <x:v>待评审</x:v>
      </x:c>
    </x:row>
    <x:row r="545">
      <x:c r="A545" s="94" t="str">
        <x:v>T0541</x:v>
      </x:c>
      <x:c r="B545" s="95" t="str">
        <x:v>实验设计与闭环优化</x:v>
      </x:c>
      <x:c r="C545" s="95" t="str">
        <x:v>贝叶斯优化与主动学习</x:v>
      </x:c>
      <x:c r="D545" s="95" t="str">
        <x:v>核心必需</x:v>
      </x:c>
      <x:c r="E545" s="100" t="n">
        <x:v>11</x:v>
      </x:c>
      <x:c r="F545" s="95" t="str">
        <x:v>闭环优化</x:v>
      </x:c>
      <x:c r="G545" s="95" t="str">
        <x:v>D 闭环优化与高效实验</x:v>
      </x:c>
      <x:c r="H545" s="95" t="str">
        <x:v>信赖域BO</x:v>
      </x:c>
      <x:c r="I545" s="95" t="str">
        <x:v>用少量实验选择最有价值的下一配方或下一温度/重复测量。</x:v>
      </x:c>
      <x:c r="J545" s="95" t="str">
        <x:v>用于混料/工艺设计空间、可行性模型、成本感知约束BO和自适应重复。</x:v>
      </x:c>
      <x:c r="K545" s="95" t="str">
        <x:v>可直接支撑当前EIS-only闭环。</x:v>
      </x:c>
      <x:c r="L545" s="95" t="str">
        <x:v>M1 前瞻验证（2–5月）</x:v>
      </x:c>
      <x:c r="M545" s="95" t="str">
        <x:v>第二批接入</x:v>
      </x:c>
      <x:c r="N545" s="95" t="str">
        <x:v>P1</x:v>
      </x:c>
      <x:c r="O545" s="95" t="str">
        <x:v>https://www.science.org/doi/10.1126/sciadv.aaz8867</x:v>
      </x:c>
      <x:c r="P545" s="96" t="str">
        <x:v>待评审</x:v>
      </x:c>
    </x:row>
    <x:row r="546">
      <x:c r="A546" s="94" t="str">
        <x:v>T0542</x:v>
      </x:c>
      <x:c r="B546" s="95" t="str">
        <x:v>实验设计与闭环优化</x:v>
      </x:c>
      <x:c r="C546" s="95" t="str">
        <x:v>贝叶斯优化与主动学习</x:v>
      </x:c>
      <x:c r="D546" s="95" t="str">
        <x:v>关键支撑</x:v>
      </x:c>
      <x:c r="E546" s="100" t="n">
        <x:v>8</x:v>
      </x:c>
      <x:c r="F546" s="95" t="str">
        <x:v>闭环优化</x:v>
      </x:c>
      <x:c r="G546" s="95" t="str">
        <x:v>D 闭环优化与高效实验</x:v>
      </x:c>
      <x:c r="H546" s="95" t="str">
        <x:v>高维嵌入BO</x:v>
      </x:c>
      <x:c r="I546" s="95" t="str">
        <x:v>用少量实验选择最有价值的下一配方或下一温度/重复测量。</x:v>
      </x:c>
      <x:c r="J546" s="95" t="str">
        <x:v>用于混料/工艺设计空间、可行性模型、成本感知约束BO和自适应重复。</x:v>
      </x:c>
      <x:c r="K546" s="95" t="str">
        <x:v>可直接支撑当前EIS-only闭环。</x:v>
      </x:c>
      <x:c r="L546" s="95" t="str">
        <x:v>M2 扩展与复现（5–12月）</x:v>
      </x:c>
      <x:c r="M546" s="95" t="str">
        <x:v>按瓶颈接入</x:v>
      </x:c>
      <x:c r="N546" s="95" t="str">
        <x:v>P1</x:v>
      </x:c>
      <x:c r="O546" s="95" t="str">
        <x:v>https://www.science.org/doi/10.1126/sciadv.aaz1708</x:v>
      </x:c>
      <x:c r="P546" s="96" t="str">
        <x:v>待评审</x:v>
      </x:c>
    </x:row>
    <x:row r="547">
      <x:c r="A547" s="94" t="str">
        <x:v>T0543</x:v>
      </x:c>
      <x:c r="B547" s="95" t="str">
        <x:v>实验设计与闭环优化</x:v>
      </x:c>
      <x:c r="C547" s="95" t="str">
        <x:v>贝叶斯优化与主动学习</x:v>
      </x:c>
      <x:c r="D547" s="95" t="str">
        <x:v>关键支撑</x:v>
      </x:c>
      <x:c r="E547" s="100" t="n">
        <x:v>8</x:v>
      </x:c>
      <x:c r="F547" s="95" t="str">
        <x:v>闭环优化</x:v>
      </x:c>
      <x:c r="G547" s="95" t="str">
        <x:v>D 闭环优化与高效实验</x:v>
      </x:c>
      <x:c r="H547" s="95" t="str">
        <x:v>离散空间BO</x:v>
      </x:c>
      <x:c r="I547" s="95" t="str">
        <x:v>用少量实验选择最有价值的下一配方或下一温度/重复测量。</x:v>
      </x:c>
      <x:c r="J547" s="95" t="str">
        <x:v>用于混料/工艺设计空间、可行性模型、成本感知约束BO和自适应重复。</x:v>
      </x:c>
      <x:c r="K547" s="95" t="str">
        <x:v>可直接支撑当前EIS-only闭环。</x:v>
      </x:c>
      <x:c r="L547" s="95" t="str">
        <x:v>M2 扩展与复现（5–12月）</x:v>
      </x:c>
      <x:c r="M547" s="95" t="str">
        <x:v>按瓶颈接入</x:v>
      </x:c>
      <x:c r="N547" s="95" t="str">
        <x:v>P1</x:v>
      </x:c>
      <x:c r="O547" s="95" t="str">
        <x:v>https://www.science.org/doi/10.1126/sciadv.abg4930</x:v>
      </x:c>
      <x:c r="P547" s="96" t="str">
        <x:v>待评审</x:v>
      </x:c>
    </x:row>
    <x:row r="548">
      <x:c r="A548" s="94" t="str">
        <x:v>T0544</x:v>
      </x:c>
      <x:c r="B548" s="95" t="str">
        <x:v>实验设计与闭环优化</x:v>
      </x:c>
      <x:c r="C548" s="95" t="str">
        <x:v>贝叶斯优化与主动学习</x:v>
      </x:c>
      <x:c r="D548" s="95" t="str">
        <x:v>关键支撑</x:v>
      </x:c>
      <x:c r="E548" s="100" t="n">
        <x:v>8</x:v>
      </x:c>
      <x:c r="F548" s="95" t="str">
        <x:v>闭环优化</x:v>
      </x:c>
      <x:c r="G548" s="95" t="str">
        <x:v>D 闭环优化与高效实验</x:v>
      </x:c>
      <x:c r="H548" s="95" t="str">
        <x:v>类别变量BO</x:v>
      </x:c>
      <x:c r="I548" s="95" t="str">
        <x:v>用少量实验选择最有价值的下一配方或下一温度/重复测量。</x:v>
      </x:c>
      <x:c r="J548" s="95" t="str">
        <x:v>用于混料/工艺设计空间、可行性模型、成本感知约束BO和自适应重复。</x:v>
      </x:c>
      <x:c r="K548" s="95" t="str">
        <x:v>可直接支撑当前EIS-only闭环。</x:v>
      </x:c>
      <x:c r="L548" s="95" t="str">
        <x:v>M2 扩展与复现（5–12月）</x:v>
      </x:c>
      <x:c r="M548" s="95" t="str">
        <x:v>按瓶颈接入</x:v>
      </x:c>
      <x:c r="N548" s="95" t="str">
        <x:v>P1</x:v>
      </x:c>
      <x:c r="O548" s="95" t="str">
        <x:v>https://proceedings.neurips.cc/paper_files/paper/2020/file/f5b1b89d98b7286673128a5fb112cb9a-Paper.pdf</x:v>
      </x:c>
      <x:c r="P548" s="96" t="str">
        <x:v>待评审</x:v>
      </x:c>
    </x:row>
    <x:row r="549">
      <x:c r="A549" s="94" t="str">
        <x:v>T0545</x:v>
      </x:c>
      <x:c r="B549" s="95" t="str">
        <x:v>实验设计与闭环优化</x:v>
      </x:c>
      <x:c r="C549" s="95" t="str">
        <x:v>贝叶斯优化与主动学习</x:v>
      </x:c>
      <x:c r="D549" s="95" t="str">
        <x:v>核心必需</x:v>
      </x:c>
      <x:c r="E549" s="100" t="n">
        <x:v>12</x:v>
      </x:c>
      <x:c r="F549" s="95" t="str">
        <x:v>闭环优化</x:v>
      </x:c>
      <x:c r="G549" s="95" t="str">
        <x:v>D 闭环优化与高效实验</x:v>
      </x:c>
      <x:c r="H549" s="95" t="str">
        <x:v>混合变量BO</x:v>
      </x:c>
      <x:c r="I549" s="95" t="str">
        <x:v>用少量实验选择最有价值的下一配方或下一温度/重复测量。</x:v>
      </x:c>
      <x:c r="J549" s="95" t="str">
        <x:v>用于混料/工艺设计空间、可行性模型、成本感知约束BO和自适应重复。</x:v>
      </x:c>
      <x:c r="K549" s="95" t="str">
        <x:v>可直接支撑当前EIS-only闭环。</x:v>
      </x:c>
      <x:c r="L549" s="95" t="str">
        <x:v>M0 主流程接入（0–2月）</x:v>
      </x:c>
      <x:c r="M549" s="95" t="str">
        <x:v>首批接入</x:v>
      </x:c>
      <x:c r="N549" s="95" t="str">
        <x:v>P1</x:v>
      </x:c>
      <x:c r="O549" s="95" t="str">
        <x:v>https://www.science.org/doi/10.1126/sciadv.aaz8867</x:v>
      </x:c>
      <x:c r="P549" s="96" t="str">
        <x:v>待评审</x:v>
      </x:c>
    </x:row>
    <x:row r="550">
      <x:c r="A550" s="94" t="str">
        <x:v>T0546</x:v>
      </x:c>
      <x:c r="B550" s="95" t="str">
        <x:v>实验设计与闭环优化</x:v>
      </x:c>
      <x:c r="C550" s="95" t="str">
        <x:v>贝叶斯优化与主动学习</x:v>
      </x:c>
      <x:c r="D550" s="95" t="str">
        <x:v>关键支撑</x:v>
      </x:c>
      <x:c r="E550" s="100" t="n">
        <x:v>8</x:v>
      </x:c>
      <x:c r="F550" s="95" t="str">
        <x:v>闭环优化</x:v>
      </x:c>
      <x:c r="G550" s="95" t="str">
        <x:v>D 闭环优化与高效实验</x:v>
      </x:c>
      <x:c r="H550" s="95" t="str">
        <x:v>组合空间BO</x:v>
      </x:c>
      <x:c r="I550" s="95" t="str">
        <x:v>用少量实验选择最有价值的下一配方或下一温度/重复测量。</x:v>
      </x:c>
      <x:c r="J550" s="95" t="str">
        <x:v>用于混料/工艺设计空间、可行性模型、成本感知约束BO和自适应重复。</x:v>
      </x:c>
      <x:c r="K550" s="95" t="str">
        <x:v>可直接支撑当前EIS-only闭环。</x:v>
      </x:c>
      <x:c r="L550" s="95" t="str">
        <x:v>M2 扩展与复现（5–12月）</x:v>
      </x:c>
      <x:c r="M550" s="95" t="str">
        <x:v>按瓶颈接入</x:v>
      </x:c>
      <x:c r="N550" s="95" t="str">
        <x:v>P1</x:v>
      </x:c>
      <x:c r="O550" s="95" t="str">
        <x:v>https://www.science.org/doi/10.1126/sciadv.aaz1708</x:v>
      </x:c>
      <x:c r="P550" s="96" t="str">
        <x:v>待评审</x:v>
      </x:c>
    </x:row>
    <x:row r="551">
      <x:c r="A551" s="94" t="str">
        <x:v>T0547</x:v>
      </x:c>
      <x:c r="B551" s="95" t="str">
        <x:v>实验设计与闭环优化</x:v>
      </x:c>
      <x:c r="C551" s="95" t="str">
        <x:v>贝叶斯优化与主动学习</x:v>
      </x:c>
      <x:c r="D551" s="95" t="str">
        <x:v>关键支撑</x:v>
      </x:c>
      <x:c r="E551" s="100" t="n">
        <x:v>8</x:v>
      </x:c>
      <x:c r="F551" s="95" t="str">
        <x:v>闭环优化</x:v>
      </x:c>
      <x:c r="G551" s="95" t="str">
        <x:v>D 闭环优化与高效实验</x:v>
      </x:c>
      <x:c r="H551" s="95" t="str">
        <x:v>潜空间BO</x:v>
      </x:c>
      <x:c r="I551" s="95" t="str">
        <x:v>用少量实验选择最有价值的下一配方或下一温度/重复测量。</x:v>
      </x:c>
      <x:c r="J551" s="95" t="str">
        <x:v>用于混料/工艺设计空间、可行性模型、成本感知约束BO和自适应重复。</x:v>
      </x:c>
      <x:c r="K551" s="95" t="str">
        <x:v>可直接支撑当前EIS-only闭环。</x:v>
      </x:c>
      <x:c r="L551" s="95" t="str">
        <x:v>M2 扩展与复现（5–12月）</x:v>
      </x:c>
      <x:c r="M551" s="95" t="str">
        <x:v>按瓶颈接入</x:v>
      </x:c>
      <x:c r="N551" s="95" t="str">
        <x:v>P1</x:v>
      </x:c>
      <x:c r="O551" s="95" t="str">
        <x:v>https://www.science.org/doi/10.1126/sciadv.abg4930</x:v>
      </x:c>
      <x:c r="P551" s="96" t="str">
        <x:v>待评审</x:v>
      </x:c>
    </x:row>
    <x:row r="552">
      <x:c r="A552" s="94" t="str">
        <x:v>T0548</x:v>
      </x:c>
      <x:c r="B552" s="95" t="str">
        <x:v>实验设计与闭环优化</x:v>
      </x:c>
      <x:c r="C552" s="95" t="str">
        <x:v>贝叶斯优化与主动学习</x:v>
      </x:c>
      <x:c r="D552" s="95" t="str">
        <x:v>核心必需</x:v>
      </x:c>
      <x:c r="E552" s="100" t="n">
        <x:v>11</x:v>
      </x:c>
      <x:c r="F552" s="95" t="str">
        <x:v>闭环优化</x:v>
      </x:c>
      <x:c r="G552" s="95" t="str">
        <x:v>D 闭环优化与高效实验</x:v>
      </x:c>
      <x:c r="H552" s="95" t="str">
        <x:v>不确定性采样</x:v>
      </x:c>
      <x:c r="I552" s="95" t="str">
        <x:v>用少量实验选择最有价值的下一配方或下一温度/重复测量。</x:v>
      </x:c>
      <x:c r="J552" s="95" t="str">
        <x:v>用于混料/工艺设计空间、可行性模型、成本感知约束BO和自适应重复。</x:v>
      </x:c>
      <x:c r="K552" s="95" t="str">
        <x:v>可直接支撑当前EIS-only闭环。</x:v>
      </x:c>
      <x:c r="L552" s="95" t="str">
        <x:v>M1 前瞻验证（2–5月）</x:v>
      </x:c>
      <x:c r="M552" s="95" t="str">
        <x:v>第二批接入</x:v>
      </x:c>
      <x:c r="N552" s="95" t="str">
        <x:v>P1</x:v>
      </x:c>
      <x:c r="O552" s="95" t="str">
        <x:v>https://proceedings.neurips.cc/paper_files/paper/2020/file/f5b1b89d98b7286673128a5fb112cb9a-Paper.pdf</x:v>
      </x:c>
      <x:c r="P552" s="96" t="str">
        <x:v>待评审</x:v>
      </x:c>
    </x:row>
    <x:row r="553">
      <x:c r="A553" s="94" t="str">
        <x:v>T0549</x:v>
      </x:c>
      <x:c r="B553" s="95" t="str">
        <x:v>实验设计与闭环优化</x:v>
      </x:c>
      <x:c r="C553" s="95" t="str">
        <x:v>贝叶斯优化与主动学习</x:v>
      </x:c>
      <x:c r="D553" s="95" t="str">
        <x:v>关键支撑</x:v>
      </x:c>
      <x:c r="E553" s="100" t="n">
        <x:v>8</x:v>
      </x:c>
      <x:c r="F553" s="95" t="str">
        <x:v>闭环优化</x:v>
      </x:c>
      <x:c r="G553" s="95" t="str">
        <x:v>D 闭环优化与高效实验</x:v>
      </x:c>
      <x:c r="H553" s="95" t="str">
        <x:v>委员会查询</x:v>
      </x:c>
      <x:c r="I553" s="95" t="str">
        <x:v>用少量实验选择最有价值的下一配方或下一温度/重复测量。</x:v>
      </x:c>
      <x:c r="J553" s="95" t="str">
        <x:v>用于混料/工艺设计空间、可行性模型、成本感知约束BO和自适应重复。</x:v>
      </x:c>
      <x:c r="K553" s="95" t="str">
        <x:v>可直接支撑当前EIS-only闭环。</x:v>
      </x:c>
      <x:c r="L553" s="95" t="str">
        <x:v>M2 扩展与复现（5–12月）</x:v>
      </x:c>
      <x:c r="M553" s="95" t="str">
        <x:v>按瓶颈接入</x:v>
      </x:c>
      <x:c r="N553" s="95" t="str">
        <x:v>P2</x:v>
      </x:c>
      <x:c r="O553" s="95" t="str">
        <x:v>https://www.science.org/doi/10.1126/sciadv.aaz8867</x:v>
      </x:c>
      <x:c r="P553" s="96" t="str">
        <x:v>待评审</x:v>
      </x:c>
    </x:row>
    <x:row r="554">
      <x:c r="A554" s="94" t="str">
        <x:v>T0550</x:v>
      </x:c>
      <x:c r="B554" s="95" t="str">
        <x:v>实验设计与闭环优化</x:v>
      </x:c>
      <x:c r="C554" s="95" t="str">
        <x:v>贝叶斯优化与主动学习</x:v>
      </x:c>
      <x:c r="D554" s="95" t="str">
        <x:v>关键支撑</x:v>
      </x:c>
      <x:c r="E554" s="100" t="n">
        <x:v>8</x:v>
      </x:c>
      <x:c r="F554" s="95" t="str">
        <x:v>闭环优化</x:v>
      </x:c>
      <x:c r="G554" s="95" t="str">
        <x:v>D 闭环优化与高效实验</x:v>
      </x:c>
      <x:c r="H554" s="95" t="str">
        <x:v>期望模型变化</x:v>
      </x:c>
      <x:c r="I554" s="95" t="str">
        <x:v>用少量实验选择最有价值的下一配方或下一温度/重复测量。</x:v>
      </x:c>
      <x:c r="J554" s="95" t="str">
        <x:v>用于混料/工艺设计空间、可行性模型、成本感知约束BO和自适应重复。</x:v>
      </x:c>
      <x:c r="K554" s="95" t="str">
        <x:v>可直接支撑当前EIS-only闭环。</x:v>
      </x:c>
      <x:c r="L554" s="95" t="str">
        <x:v>M2 扩展与复现（5–12月）</x:v>
      </x:c>
      <x:c r="M554" s="95" t="str">
        <x:v>按瓶颈接入</x:v>
      </x:c>
      <x:c r="N554" s="95" t="str">
        <x:v>P2</x:v>
      </x:c>
      <x:c r="O554" s="95" t="str">
        <x:v>https://www.science.org/doi/10.1126/sciadv.aaz1708</x:v>
      </x:c>
      <x:c r="P554" s="96" t="str">
        <x:v>待评审</x:v>
      </x:c>
    </x:row>
    <x:row r="555">
      <x:c r="A555" s="94" t="str">
        <x:v>T0551</x:v>
      </x:c>
      <x:c r="B555" s="95" t="str">
        <x:v>实验设计与闭环优化</x:v>
      </x:c>
      <x:c r="C555" s="95" t="str">
        <x:v>贝叶斯优化与主动学习</x:v>
      </x:c>
      <x:c r="D555" s="95" t="str">
        <x:v>关键支撑</x:v>
      </x:c>
      <x:c r="E555" s="100" t="n">
        <x:v>8</x:v>
      </x:c>
      <x:c r="F555" s="95" t="str">
        <x:v>闭环优化</x:v>
      </x:c>
      <x:c r="G555" s="95" t="str">
        <x:v>D 闭环优化与高效实验</x:v>
      </x:c>
      <x:c r="H555" s="95" t="str">
        <x:v>多样性采样</x:v>
      </x:c>
      <x:c r="I555" s="95" t="str">
        <x:v>用少量实验选择最有价值的下一配方或下一温度/重复测量。</x:v>
      </x:c>
      <x:c r="J555" s="95" t="str">
        <x:v>用于混料/工艺设计空间、可行性模型、成本感知约束BO和自适应重复。</x:v>
      </x:c>
      <x:c r="K555" s="95" t="str">
        <x:v>可直接支撑当前EIS-only闭环。</x:v>
      </x:c>
      <x:c r="L555" s="95" t="str">
        <x:v>M2 扩展与复现（5–12月）</x:v>
      </x:c>
      <x:c r="M555" s="95" t="str">
        <x:v>按瓶颈接入</x:v>
      </x:c>
      <x:c r="N555" s="95" t="str">
        <x:v>P2</x:v>
      </x:c>
      <x:c r="O555" s="95" t="str">
        <x:v>https://www.science.org/doi/10.1126/sciadv.abg4930</x:v>
      </x:c>
      <x:c r="P555" s="96" t="str">
        <x:v>待评审</x:v>
      </x:c>
    </x:row>
    <x:row r="556">
      <x:c r="A556" s="94" t="str">
        <x:v>T0552</x:v>
      </x:c>
      <x:c r="B556" s="95" t="str">
        <x:v>实验设计与闭环优化</x:v>
      </x:c>
      <x:c r="C556" s="95" t="str">
        <x:v>贝叶斯优化与主动学习</x:v>
      </x:c>
      <x:c r="D556" s="95" t="str">
        <x:v>关键支撑</x:v>
      </x:c>
      <x:c r="E556" s="100" t="n">
        <x:v>9</x:v>
      </x:c>
      <x:c r="F556" s="95" t="str">
        <x:v>闭环优化</x:v>
      </x:c>
      <x:c r="G556" s="95" t="str">
        <x:v>D 闭环优化与高效实验</x:v>
      </x:c>
      <x:c r="H556" s="95" t="str">
        <x:v>池式主动学习</x:v>
      </x:c>
      <x:c r="I556" s="95" t="str">
        <x:v>用少量实验选择最有价值的下一配方或下一温度/重复测量。</x:v>
      </x:c>
      <x:c r="J556" s="95" t="str">
        <x:v>用于混料/工艺设计空间、可行性模型、成本感知约束BO和自适应重复。</x:v>
      </x:c>
      <x:c r="K556" s="95" t="str">
        <x:v>可直接支撑当前EIS-only闭环。</x:v>
      </x:c>
      <x:c r="L556" s="95" t="str">
        <x:v>M2 扩展与复现（5–12月）</x:v>
      </x:c>
      <x:c r="M556" s="95" t="str">
        <x:v>按瓶颈接入</x:v>
      </x:c>
      <x:c r="N556" s="95" t="str">
        <x:v>P2</x:v>
      </x:c>
      <x:c r="O556" s="95" t="str">
        <x:v>https://proceedings.neurips.cc/paper_files/paper/2020/file/f5b1b89d98b7286673128a5fb112cb9a-Paper.pdf</x:v>
      </x:c>
      <x:c r="P556" s="96" t="str">
        <x:v>待评审</x:v>
      </x:c>
    </x:row>
    <x:row r="557">
      <x:c r="A557" s="94" t="str">
        <x:v>T0553</x:v>
      </x:c>
      <x:c r="B557" s="95" t="str">
        <x:v>实验设计与闭环优化</x:v>
      </x:c>
      <x:c r="C557" s="95" t="str">
        <x:v>贝叶斯优化与主动学习</x:v>
      </x:c>
      <x:c r="D557" s="95" t="str">
        <x:v>关键支撑</x:v>
      </x:c>
      <x:c r="E557" s="100" t="n">
        <x:v>9</x:v>
      </x:c>
      <x:c r="F557" s="95" t="str">
        <x:v>闭环优化</x:v>
      </x:c>
      <x:c r="G557" s="95" t="str">
        <x:v>D 闭环优化与高效实验</x:v>
      </x:c>
      <x:c r="H557" s="95" t="str">
        <x:v>流式主动学习</x:v>
      </x:c>
      <x:c r="I557" s="95" t="str">
        <x:v>用少量实验选择最有价值的下一配方或下一温度/重复测量。</x:v>
      </x:c>
      <x:c r="J557" s="95" t="str">
        <x:v>用于混料/工艺设计空间、可行性模型、成本感知约束BO和自适应重复。</x:v>
      </x:c>
      <x:c r="K557" s="95" t="str">
        <x:v>可直接支撑当前EIS-only闭环。</x:v>
      </x:c>
      <x:c r="L557" s="95" t="str">
        <x:v>M2 扩展与复现（5–12月）</x:v>
      </x:c>
      <x:c r="M557" s="95" t="str">
        <x:v>按瓶颈接入</x:v>
      </x:c>
      <x:c r="N557" s="95" t="str">
        <x:v>P2</x:v>
      </x:c>
      <x:c r="O557" s="95" t="str">
        <x:v>https://www.science.org/doi/10.1126/sciadv.aaz8867</x:v>
      </x:c>
      <x:c r="P557" s="96" t="str">
        <x:v>待评审</x:v>
      </x:c>
    </x:row>
    <x:row r="558">
      <x:c r="A558" s="94" t="str">
        <x:v>T0554</x:v>
      </x:c>
      <x:c r="B558" s="95" t="str">
        <x:v>实验设计与闭环优化</x:v>
      </x:c>
      <x:c r="C558" s="95" t="str">
        <x:v>贝叶斯优化与主动学习</x:v>
      </x:c>
      <x:c r="D558" s="95" t="str">
        <x:v>核心必需</x:v>
      </x:c>
      <x:c r="E558" s="100" t="n">
        <x:v>12</x:v>
      </x:c>
      <x:c r="F558" s="95" t="str">
        <x:v>闭环优化</x:v>
      </x:c>
      <x:c r="G558" s="95" t="str">
        <x:v>D 闭环优化与高效实验</x:v>
      </x:c>
      <x:c r="H558" s="95" t="str">
        <x:v>冷启动先验</x:v>
      </x:c>
      <x:c r="I558" s="95" t="str">
        <x:v>用少量实验选择最有价值的下一配方或下一温度/重复测量。</x:v>
      </x:c>
      <x:c r="J558" s="95" t="str">
        <x:v>用于混料/工艺设计空间、可行性模型、成本感知约束BO和自适应重复。</x:v>
      </x:c>
      <x:c r="K558" s="95" t="str">
        <x:v>可直接支撑当前EIS-only闭环。</x:v>
      </x:c>
      <x:c r="L558" s="95" t="str">
        <x:v>M0 主流程接入（0–2月）</x:v>
      </x:c>
      <x:c r="M558" s="95" t="str">
        <x:v>首批接入</x:v>
      </x:c>
      <x:c r="N558" s="95" t="str">
        <x:v>P2</x:v>
      </x:c>
      <x:c r="O558" s="95" t="str">
        <x:v>https://www.science.org/doi/10.1126/sciadv.aaz1708</x:v>
      </x:c>
      <x:c r="P558" s="96" t="str">
        <x:v>待评审</x:v>
      </x:c>
    </x:row>
    <x:row r="559">
      <x:c r="A559" s="94" t="str">
        <x:v>T0555</x:v>
      </x:c>
      <x:c r="B559" s="95" t="str">
        <x:v>实验设计与闭环优化</x:v>
      </x:c>
      <x:c r="C559" s="95" t="str">
        <x:v>贝叶斯优化与主动学习</x:v>
      </x:c>
      <x:c r="D559" s="95" t="str">
        <x:v>核心必需</x:v>
      </x:c>
      <x:c r="E559" s="100" t="n">
        <x:v>12</x:v>
      </x:c>
      <x:c r="F559" s="95" t="str">
        <x:v>闭环优化</x:v>
      </x:c>
      <x:c r="G559" s="95" t="str">
        <x:v>D 闭环优化与高效实验</x:v>
      </x:c>
      <x:c r="H559" s="95" t="str">
        <x:v>迁移贝叶斯优化</x:v>
      </x:c>
      <x:c r="I559" s="95" t="str">
        <x:v>用少量实验选择最有价值的下一配方或下一温度/重复测量。</x:v>
      </x:c>
      <x:c r="J559" s="95" t="str">
        <x:v>用于混料/工艺设计空间、可行性模型、成本感知约束BO和自适应重复。</x:v>
      </x:c>
      <x:c r="K559" s="95" t="str">
        <x:v>可直接支撑当前EIS-only闭环。</x:v>
      </x:c>
      <x:c r="L559" s="95" t="str">
        <x:v>M0 主流程接入（0–2月）</x:v>
      </x:c>
      <x:c r="M559" s="95" t="str">
        <x:v>首批接入</x:v>
      </x:c>
      <x:c r="N559" s="95" t="str">
        <x:v>P2</x:v>
      </x:c>
      <x:c r="O559" s="95" t="str">
        <x:v>https://www.science.org/doi/10.1126/sciadv.abg4930</x:v>
      </x:c>
      <x:c r="P559" s="96" t="str">
        <x:v>待评审</x:v>
      </x:c>
    </x:row>
    <x:row r="560">
      <x:c r="A560" s="94" t="str">
        <x:v>T0556</x:v>
      </x:c>
      <x:c r="B560" s="95" t="str">
        <x:v>实验设计与闭环优化</x:v>
      </x:c>
      <x:c r="C560" s="95" t="str">
        <x:v>贝叶斯优化与主动学习</x:v>
      </x:c>
      <x:c r="D560" s="95" t="str">
        <x:v>关键支撑</x:v>
      </x:c>
      <x:c r="E560" s="100" t="n">
        <x:v>8</x:v>
      </x:c>
      <x:c r="F560" s="95" t="str">
        <x:v>闭环优化</x:v>
      </x:c>
      <x:c r="G560" s="95" t="str">
        <x:v>D 闭环优化与高效实验</x:v>
      </x:c>
      <x:c r="H560" s="95" t="str">
        <x:v>元贝叶斯优化</x:v>
      </x:c>
      <x:c r="I560" s="95" t="str">
        <x:v>用少量实验选择最有价值的下一配方或下一温度/重复测量。</x:v>
      </x:c>
      <x:c r="J560" s="95" t="str">
        <x:v>用于混料/工艺设计空间、可行性模型、成本感知约束BO和自适应重复。</x:v>
      </x:c>
      <x:c r="K560" s="95" t="str">
        <x:v>可直接支撑当前EIS-only闭环。</x:v>
      </x:c>
      <x:c r="L560" s="95" t="str">
        <x:v>M2 扩展与复现（5–12月）</x:v>
      </x:c>
      <x:c r="M560" s="95" t="str">
        <x:v>按瓶颈接入</x:v>
      </x:c>
      <x:c r="N560" s="95" t="str">
        <x:v>P2</x:v>
      </x:c>
      <x:c r="O560" s="95" t="str">
        <x:v>https://proceedings.neurips.cc/paper_files/paper/2020/file/f5b1b89d98b7286673128a5fb112cb9a-Paper.pdf</x:v>
      </x:c>
      <x:c r="P560" s="96" t="str">
        <x:v>待评审</x:v>
      </x:c>
    </x:row>
    <x:row r="561">
      <x:c r="A561" s="94" t="str">
        <x:v>T0557</x:v>
      </x:c>
      <x:c r="B561" s="95" t="str">
        <x:v>实验设计与闭环优化</x:v>
      </x:c>
      <x:c r="C561" s="95" t="str">
        <x:v>贝叶斯优化与主动学习</x:v>
      </x:c>
      <x:c r="D561" s="95" t="str">
        <x:v>关键支撑</x:v>
      </x:c>
      <x:c r="E561" s="100" t="n">
        <x:v>8</x:v>
      </x:c>
      <x:c r="F561" s="95" t="str">
        <x:v>闭环优化</x:v>
      </x:c>
      <x:c r="G561" s="95" t="str">
        <x:v>D 闭环优化与高效实验</x:v>
      </x:c>
      <x:c r="H561" s="95" t="str">
        <x:v>暖启动</x:v>
      </x:c>
      <x:c r="I561" s="95" t="str">
        <x:v>用少量实验选择最有价值的下一配方或下一温度/重复测量。</x:v>
      </x:c>
      <x:c r="J561" s="95" t="str">
        <x:v>用于混料/工艺设计空间、可行性模型、成本感知约束BO和自适应重复。</x:v>
      </x:c>
      <x:c r="K561" s="95" t="str">
        <x:v>可直接支撑当前EIS-only闭环。</x:v>
      </x:c>
      <x:c r="L561" s="95" t="str">
        <x:v>M2 扩展与复现（5–12月）</x:v>
      </x:c>
      <x:c r="M561" s="95" t="str">
        <x:v>按瓶颈接入</x:v>
      </x:c>
      <x:c r="N561" s="95" t="str">
        <x:v>P2</x:v>
      </x:c>
      <x:c r="O561" s="95" t="str">
        <x:v>https://www.science.org/doi/10.1126/sciadv.aaz8867</x:v>
      </x:c>
      <x:c r="P561" s="96" t="str">
        <x:v>待评审</x:v>
      </x:c>
    </x:row>
    <x:row r="562">
      <x:c r="A562" s="94" t="str">
        <x:v>T0558</x:v>
      </x:c>
      <x:c r="B562" s="95" t="str">
        <x:v>实验设计与闭环优化</x:v>
      </x:c>
      <x:c r="C562" s="95" t="str">
        <x:v>贝叶斯优化与主动学习</x:v>
      </x:c>
      <x:c r="D562" s="95" t="str">
        <x:v>关键支撑</x:v>
      </x:c>
      <x:c r="E562" s="100" t="n">
        <x:v>8</x:v>
      </x:c>
      <x:c r="F562" s="95" t="str">
        <x:v>闭环优化</x:v>
      </x:c>
      <x:c r="G562" s="95" t="str">
        <x:v>D 闭环优化与高效实验</x:v>
      </x:c>
      <x:c r="H562" s="95" t="str">
        <x:v>采集函数优化</x:v>
      </x:c>
      <x:c r="I562" s="95" t="str">
        <x:v>用少量实验选择最有价值的下一配方或下一温度/重复测量。</x:v>
      </x:c>
      <x:c r="J562" s="95" t="str">
        <x:v>用于混料/工艺设计空间、可行性模型、成本感知约束BO和自适应重复。</x:v>
      </x:c>
      <x:c r="K562" s="95" t="str">
        <x:v>可直接支撑当前EIS-only闭环。</x:v>
      </x:c>
      <x:c r="L562" s="95" t="str">
        <x:v>M2 扩展与复现（5–12月）</x:v>
      </x:c>
      <x:c r="M562" s="95" t="str">
        <x:v>按瓶颈接入</x:v>
      </x:c>
      <x:c r="N562" s="95" t="str">
        <x:v>P2</x:v>
      </x:c>
      <x:c r="O562" s="95" t="str">
        <x:v>https://www.science.org/doi/10.1126/sciadv.aaz1708</x:v>
      </x:c>
      <x:c r="P562" s="96" t="str">
        <x:v>待评审</x:v>
      </x:c>
    </x:row>
    <x:row r="563">
      <x:c r="A563" s="94" t="str">
        <x:v>T0559</x:v>
      </x:c>
      <x:c r="B563" s="95" t="str">
        <x:v>实验设计与闭环优化</x:v>
      </x:c>
      <x:c r="C563" s="95" t="str">
        <x:v>贝叶斯优化与主动学习</x:v>
      </x:c>
      <x:c r="D563" s="95" t="str">
        <x:v>关键支撑</x:v>
      </x:c>
      <x:c r="E563" s="100" t="n">
        <x:v>8</x:v>
      </x:c>
      <x:c r="F563" s="95" t="str">
        <x:v>闭环优化</x:v>
      </x:c>
      <x:c r="G563" s="95" t="str">
        <x:v>D 闭环优化与高效实验</x:v>
      </x:c>
      <x:c r="H563" s="95" t="str">
        <x:v>探索系数调度</x:v>
      </x:c>
      <x:c r="I563" s="95" t="str">
        <x:v>用少量实验选择最有价值的下一配方或下一温度/重复测量。</x:v>
      </x:c>
      <x:c r="J563" s="95" t="str">
        <x:v>用于混料/工艺设计空间、可行性模型、成本感知约束BO和自适应重复。</x:v>
      </x:c>
      <x:c r="K563" s="95" t="str">
        <x:v>可直接支撑当前EIS-only闭环。</x:v>
      </x:c>
      <x:c r="L563" s="95" t="str">
        <x:v>M2 扩展与复现（5–12月）</x:v>
      </x:c>
      <x:c r="M563" s="95" t="str">
        <x:v>按瓶颈接入</x:v>
      </x:c>
      <x:c r="N563" s="95" t="str">
        <x:v>P2</x:v>
      </x:c>
      <x:c r="O563" s="95" t="str">
        <x:v>https://www.science.org/doi/10.1126/sciadv.abg4930</x:v>
      </x:c>
      <x:c r="P563" s="96" t="str">
        <x:v>待评审</x:v>
      </x:c>
    </x:row>
    <x:row r="564">
      <x:c r="A564" s="94" t="str">
        <x:v>T0560</x:v>
      </x:c>
      <x:c r="B564" s="95" t="str">
        <x:v>实验设计与闭环优化</x:v>
      </x:c>
      <x:c r="C564" s="95" t="str">
        <x:v>贝叶斯优化与主动学习</x:v>
      </x:c>
      <x:c r="D564" s="95" t="str">
        <x:v>核心必需</x:v>
      </x:c>
      <x:c r="E564" s="100" t="n">
        <x:v>11</x:v>
      </x:c>
      <x:c r="F564" s="95" t="str">
        <x:v>闭环优化</x:v>
      </x:c>
      <x:c r="G564" s="95" t="str">
        <x:v>D 闭环优化与高效实验</x:v>
      </x:c>
      <x:c r="H564" s="95" t="str">
        <x:v>终止与收敛诊断</x:v>
      </x:c>
      <x:c r="I564" s="95" t="str">
        <x:v>用少量实验选择最有价值的下一配方或下一温度/重复测量。</x:v>
      </x:c>
      <x:c r="J564" s="95" t="str">
        <x:v>用于混料/工艺设计空间、可行性模型、成本感知约束BO和自适应重复。</x:v>
      </x:c>
      <x:c r="K564" s="95" t="str">
        <x:v>可直接支撑当前EIS-only闭环。</x:v>
      </x:c>
      <x:c r="L564" s="95" t="str">
        <x:v>M1 前瞻验证（2–5月）</x:v>
      </x:c>
      <x:c r="M564" s="95" t="str">
        <x:v>第二批接入</x:v>
      </x:c>
      <x:c r="N564" s="95" t="str">
        <x:v>P2</x:v>
      </x:c>
      <x:c r="O564" s="95" t="str">
        <x:v>https://proceedings.neurips.cc/paper_files/paper/2020/file/f5b1b89d98b7286673128a5fb112cb9a-Paper.pdf</x:v>
      </x:c>
      <x:c r="P564" s="96" t="str">
        <x:v>待评审</x:v>
      </x:c>
    </x:row>
    <x:row r="565">
      <x:c r="A565" s="94" t="str">
        <x:v>T0561</x:v>
      </x:c>
      <x:c r="B565" s="95" t="str">
        <x:v>实验设计与闭环优化</x:v>
      </x:c>
      <x:c r="C565" s="95" t="str">
        <x:v>多目标、约束、安全、成本与多保真优化</x:v>
      </x:c>
      <x:c r="D565" s="95" t="str">
        <x:v>关键支撑</x:v>
      </x:c>
      <x:c r="E565" s="100" t="n">
        <x:v>9</x:v>
      </x:c>
      <x:c r="F565" s="95" t="str">
        <x:v>闭环优化</x:v>
      </x:c>
      <x:c r="G565" s="95" t="str">
        <x:v>D 闭环优化与高效实验</x:v>
      </x:c>
      <x:c r="H565" s="95" t="str">
        <x:v>Pareto前沿</x:v>
      </x:c>
      <x:c r="I565" s="95" t="str">
        <x:v>同时处理性能、可成膜、有效谱、成本和风险，而非只追单点电导率。</x:v>
      </x:c>
      <x:c r="J565" s="95" t="str">
        <x:v>用于混料/工艺设计空间、可行性模型、成本感知约束BO和自适应重复。</x:v>
      </x:c>
      <x:c r="K565" s="95" t="str">
        <x:v>可直接支撑当前EIS-only闭环。</x:v>
      </x:c>
      <x:c r="L565" s="95" t="str">
        <x:v>M2 扩展与复现（5–12月）</x:v>
      </x:c>
      <x:c r="M565" s="95" t="str">
        <x:v>按瓶颈接入</x:v>
      </x:c>
      <x:c r="N565" s="95" t="str">
        <x:v>P0</x:v>
      </x:c>
      <x:c r="O565" s="95" t="str">
        <x:v>https://www.nature.com/articles/s41467-024-45569-5</x:v>
      </x:c>
      <x:c r="P565" s="96" t="str">
        <x:v>待评审</x:v>
      </x:c>
    </x:row>
    <x:row r="566">
      <x:c r="A566" s="94" t="str">
        <x:v>T0562</x:v>
      </x:c>
      <x:c r="B566" s="95" t="str">
        <x:v>实验设计与闭环优化</x:v>
      </x:c>
      <x:c r="C566" s="95" t="str">
        <x:v>多目标、约束、安全、成本与多保真优化</x:v>
      </x:c>
      <x:c r="D566" s="95" t="str">
        <x:v>关键支撑</x:v>
      </x:c>
      <x:c r="E566" s="100" t="n">
        <x:v>9</x:v>
      </x:c>
      <x:c r="F566" s="95" t="str">
        <x:v>闭环优化</x:v>
      </x:c>
      <x:c r="G566" s="95" t="str">
        <x:v>D 闭环优化与高效实验</x:v>
      </x:c>
      <x:c r="H566" s="95" t="str">
        <x:v>Pareto支配</x:v>
      </x:c>
      <x:c r="I566" s="95" t="str">
        <x:v>同时处理性能、可成膜、有效谱、成本和风险，而非只追单点电导率。</x:v>
      </x:c>
      <x:c r="J566" s="95" t="str">
        <x:v>用于混料/工艺设计空间、可行性模型、成本感知约束BO和自适应重复。</x:v>
      </x:c>
      <x:c r="K566" s="95" t="str">
        <x:v>可直接支撑当前EIS-only闭环。</x:v>
      </x:c>
      <x:c r="L566" s="95" t="str">
        <x:v>M2 扩展与复现（5–12月）</x:v>
      </x:c>
      <x:c r="M566" s="95" t="str">
        <x:v>按瓶颈接入</x:v>
      </x:c>
      <x:c r="N566" s="95" t="str">
        <x:v>P0</x:v>
      </x:c>
      <x:c r="O566" s="95" t="str">
        <x:v>https://www.science.org/doi/10.1126/science.adk9227</x:v>
      </x:c>
      <x:c r="P566" s="96" t="str">
        <x:v>待评审</x:v>
      </x:c>
    </x:row>
    <x:row r="567">
      <x:c r="A567" s="94" t="str">
        <x:v>T0563</x:v>
      </x:c>
      <x:c r="B567" s="95" t="str">
        <x:v>实验设计与闭环优化</x:v>
      </x:c>
      <x:c r="C567" s="95" t="str">
        <x:v>多目标、约束、安全、成本与多保真优化</x:v>
      </x:c>
      <x:c r="D567" s="95" t="str">
        <x:v>关键支撑</x:v>
      </x:c>
      <x:c r="E567" s="100" t="n">
        <x:v>9</x:v>
      </x:c>
      <x:c r="F567" s="95" t="str">
        <x:v>闭环优化</x:v>
      </x:c>
      <x:c r="G567" s="95" t="str">
        <x:v>D 闭环优化与高效实验</x:v>
      </x:c>
      <x:c r="H567" s="95" t="str">
        <x:v>超体积指标</x:v>
      </x:c>
      <x:c r="I567" s="95" t="str">
        <x:v>同时处理性能、可成膜、有效谱、成本和风险，而非只追单点电导率。</x:v>
      </x:c>
      <x:c r="J567" s="95" t="str">
        <x:v>用于混料/工艺设计空间、可行性模型、成本感知约束BO和自适应重复。</x:v>
      </x:c>
      <x:c r="K567" s="95" t="str">
        <x:v>可直接支撑当前EIS-only闭环。</x:v>
      </x:c>
      <x:c r="L567" s="95" t="str">
        <x:v>M2 扩展与复现（5–12月）</x:v>
      </x:c>
      <x:c r="M567" s="95" t="str">
        <x:v>按瓶颈接入</x:v>
      </x:c>
      <x:c r="N567" s="95" t="str">
        <x:v>P0</x:v>
      </x:c>
      <x:c r="O567" s="95" t="str">
        <x:v>https://proceedings.neurips.cc/paper_files/paper/2020/file/f5b1b89d98b7286673128a5fb112cb9a-Paper.pdf</x:v>
      </x:c>
      <x:c r="P567" s="96" t="str">
        <x:v>待评审</x:v>
      </x:c>
    </x:row>
    <x:row r="568">
      <x:c r="A568" s="94" t="str">
        <x:v>T0564</x:v>
      </x:c>
      <x:c r="B568" s="95" t="str">
        <x:v>实验设计与闭环优化</x:v>
      </x:c>
      <x:c r="C568" s="95" t="str">
        <x:v>多目标、约束、安全、成本与多保真优化</x:v>
      </x:c>
      <x:c r="D568" s="95" t="str">
        <x:v>关键支撑</x:v>
      </x:c>
      <x:c r="E568" s="100" t="n">
        <x:v>9</x:v>
      </x:c>
      <x:c r="F568" s="95" t="str">
        <x:v>闭环优化</x:v>
      </x:c>
      <x:c r="G568" s="95" t="str">
        <x:v>D 闭环优化与高效实验</x:v>
      </x:c>
      <x:c r="H568" s="95" t="str">
        <x:v>EHVI/qEHVI</x:v>
      </x:c>
      <x:c r="I568" s="95" t="str">
        <x:v>同时处理性能、可成膜、有效谱、成本和风险，而非只追单点电导率。</x:v>
      </x:c>
      <x:c r="J568" s="95" t="str">
        <x:v>用于混料/工艺设计空间、可行性模型、成本感知约束BO和自适应重复。</x:v>
      </x:c>
      <x:c r="K568" s="95" t="str">
        <x:v>可直接支撑当前EIS-only闭环。</x:v>
      </x:c>
      <x:c r="L568" s="95" t="str">
        <x:v>M2 扩展与复现（5–12月）</x:v>
      </x:c>
      <x:c r="M568" s="95" t="str">
        <x:v>按瓶颈接入</x:v>
      </x:c>
      <x:c r="N568" s="95" t="str">
        <x:v>P0</x:v>
      </x:c>
      <x:c r="O568" s="95" t="str">
        <x:v>https://www.itl.nist.gov/div898/handbook/</x:v>
      </x:c>
      <x:c r="P568" s="96" t="str">
        <x:v>待评审</x:v>
      </x:c>
    </x:row>
    <x:row r="569">
      <x:c r="A569" s="94" t="str">
        <x:v>T0565</x:v>
      </x:c>
      <x:c r="B569" s="95" t="str">
        <x:v>实验设计与闭环优化</x:v>
      </x:c>
      <x:c r="C569" s="95" t="str">
        <x:v>多目标、约束、安全、成本与多保真优化</x:v>
      </x:c>
      <x:c r="D569" s="95" t="str">
        <x:v>关键支撑</x:v>
      </x:c>
      <x:c r="E569" s="100" t="n">
        <x:v>9</x:v>
      </x:c>
      <x:c r="F569" s="95" t="str">
        <x:v>闭环优化</x:v>
      </x:c>
      <x:c r="G569" s="95" t="str">
        <x:v>D 闭环优化与高效实验</x:v>
      </x:c>
      <x:c r="H569" s="95" t="str">
        <x:v>标量化</x:v>
      </x:c>
      <x:c r="I569" s="95" t="str">
        <x:v>同时处理性能、可成膜、有效谱、成本和风险，而非只追单点电导率。</x:v>
      </x:c>
      <x:c r="J569" s="95" t="str">
        <x:v>用于混料/工艺设计空间、可行性模型、成本感知约束BO和自适应重复。</x:v>
      </x:c>
      <x:c r="K569" s="95" t="str">
        <x:v>可直接支撑当前EIS-only闭环。</x:v>
      </x:c>
      <x:c r="L569" s="95" t="str">
        <x:v>M2 扩展与复现（5–12月）</x:v>
      </x:c>
      <x:c r="M569" s="95" t="str">
        <x:v>按瓶颈接入</x:v>
      </x:c>
      <x:c r="N569" s="95" t="str">
        <x:v>P0</x:v>
      </x:c>
      <x:c r="O569" s="95" t="str">
        <x:v>https://www.nature.com/articles/s41467-024-45569-5</x:v>
      </x:c>
      <x:c r="P569" s="96" t="str">
        <x:v>待评审</x:v>
      </x:c>
    </x:row>
    <x:row r="570">
      <x:c r="A570" s="94" t="str">
        <x:v>T0566</x:v>
      </x:c>
      <x:c r="B570" s="95" t="str">
        <x:v>实验设计与闭环优化</x:v>
      </x:c>
      <x:c r="C570" s="95" t="str">
        <x:v>多目标、约束、安全、成本与多保真优化</x:v>
      </x:c>
      <x:c r="D570" s="95" t="str">
        <x:v>关键支撑</x:v>
      </x:c>
      <x:c r="E570" s="100" t="n">
        <x:v>9</x:v>
      </x:c>
      <x:c r="F570" s="95" t="str">
        <x:v>闭环优化</x:v>
      </x:c>
      <x:c r="G570" s="95" t="str">
        <x:v>D 闭环优化与高效实验</x:v>
      </x:c>
      <x:c r="H570" s="95" t="str">
        <x:v>ParEGO</x:v>
      </x:c>
      <x:c r="I570" s="95" t="str">
        <x:v>同时处理性能、可成膜、有效谱、成本和风险，而非只追单点电导率。</x:v>
      </x:c>
      <x:c r="J570" s="95" t="str">
        <x:v>用于混料/工艺设计空间、可行性模型、成本感知约束BO和自适应重复。</x:v>
      </x:c>
      <x:c r="K570" s="95" t="str">
        <x:v>可直接支撑当前EIS-only闭环。</x:v>
      </x:c>
      <x:c r="L570" s="95" t="str">
        <x:v>M2 扩展与复现（5–12月）</x:v>
      </x:c>
      <x:c r="M570" s="95" t="str">
        <x:v>按瓶颈接入</x:v>
      </x:c>
      <x:c r="N570" s="95" t="str">
        <x:v>P0</x:v>
      </x:c>
      <x:c r="O570" s="95" t="str">
        <x:v>https://www.science.org/doi/10.1126/science.adk9227</x:v>
      </x:c>
      <x:c r="P570" s="96" t="str">
        <x:v>待评审</x:v>
      </x:c>
    </x:row>
    <x:row r="571">
      <x:c r="A571" s="94" t="str">
        <x:v>T0567</x:v>
      </x:c>
      <x:c r="B571" s="95" t="str">
        <x:v>实验设计与闭环优化</x:v>
      </x:c>
      <x:c r="C571" s="95" t="str">
        <x:v>多目标、约束、安全、成本与多保真优化</x:v>
      </x:c>
      <x:c r="D571" s="95" t="str">
        <x:v>关键支撑</x:v>
      </x:c>
      <x:c r="E571" s="100" t="n">
        <x:v>9</x:v>
      </x:c>
      <x:c r="F571" s="95" t="str">
        <x:v>闭环优化</x:v>
      </x:c>
      <x:c r="G571" s="95" t="str">
        <x:v>D 闭环优化与高效实验</x:v>
      </x:c>
      <x:c r="H571" s="95" t="str">
        <x:v>偏好学习</x:v>
      </x:c>
      <x:c r="I571" s="95" t="str">
        <x:v>同时处理性能、可成膜、有效谱、成本和风险，而非只追单点电导率。</x:v>
      </x:c>
      <x:c r="J571" s="95" t="str">
        <x:v>用于混料/工艺设计空间、可行性模型、成本感知约束BO和自适应重复。</x:v>
      </x:c>
      <x:c r="K571" s="95" t="str">
        <x:v>可直接支撑当前EIS-only闭环。</x:v>
      </x:c>
      <x:c r="L571" s="95" t="str">
        <x:v>M2 扩展与复现（5–12月）</x:v>
      </x:c>
      <x:c r="M571" s="95" t="str">
        <x:v>按瓶颈接入</x:v>
      </x:c>
      <x:c r="N571" s="95" t="str">
        <x:v>P0</x:v>
      </x:c>
      <x:c r="O571" s="95" t="str">
        <x:v>https://proceedings.neurips.cc/paper_files/paper/2020/file/f5b1b89d98b7286673128a5fb112cb9a-Paper.pdf</x:v>
      </x:c>
      <x:c r="P571" s="96" t="str">
        <x:v>待评审</x:v>
      </x:c>
    </x:row>
    <x:row r="572">
      <x:c r="A572" s="94" t="str">
        <x:v>T0568</x:v>
      </x:c>
      <x:c r="B572" s="95" t="str">
        <x:v>实验设计与闭环优化</x:v>
      </x:c>
      <x:c r="C572" s="95" t="str">
        <x:v>多目标、约束、安全、成本与多保真优化</x:v>
      </x:c>
      <x:c r="D572" s="95" t="str">
        <x:v>关键支撑</x:v>
      </x:c>
      <x:c r="E572" s="100" t="n">
        <x:v>9</x:v>
      </x:c>
      <x:c r="F572" s="95" t="str">
        <x:v>闭环优化</x:v>
      </x:c>
      <x:c r="G572" s="95" t="str">
        <x:v>D 闭环优化与高效实验</x:v>
      </x:c>
      <x:c r="H572" s="95" t="str">
        <x:v>膝点选择</x:v>
      </x:c>
      <x:c r="I572" s="95" t="str">
        <x:v>同时处理性能、可成膜、有效谱、成本和风险，而非只追单点电导率。</x:v>
      </x:c>
      <x:c r="J572" s="95" t="str">
        <x:v>用于混料/工艺设计空间、可行性模型、成本感知约束BO和自适应重复。</x:v>
      </x:c>
      <x:c r="K572" s="95" t="str">
        <x:v>可直接支撑当前EIS-only闭环。</x:v>
      </x:c>
      <x:c r="L572" s="95" t="str">
        <x:v>M2 扩展与复现（5–12月）</x:v>
      </x:c>
      <x:c r="M572" s="95" t="str">
        <x:v>按瓶颈接入</x:v>
      </x:c>
      <x:c r="N572" s="95" t="str">
        <x:v>P0</x:v>
      </x:c>
      <x:c r="O572" s="95" t="str">
        <x:v>https://www.itl.nist.gov/div898/handbook/</x:v>
      </x:c>
      <x:c r="P572" s="96" t="str">
        <x:v>待评审</x:v>
      </x:c>
    </x:row>
    <x:row r="573">
      <x:c r="A573" s="94" t="str">
        <x:v>T0569</x:v>
      </x:c>
      <x:c r="B573" s="95" t="str">
        <x:v>实验设计与闭环优化</x:v>
      </x:c>
      <x:c r="C573" s="95" t="str">
        <x:v>多目标、约束、安全、成本与多保真优化</x:v>
      </x:c>
      <x:c r="D573" s="95" t="str">
        <x:v>关键支撑</x:v>
      </x:c>
      <x:c r="E573" s="100" t="n">
        <x:v>9</x:v>
      </x:c>
      <x:c r="F573" s="95" t="str">
        <x:v>闭环优化</x:v>
      </x:c>
      <x:c r="G573" s="95" t="str">
        <x:v>D 闭环优化与高效实验</x:v>
      </x:c>
      <x:c r="H573" s="95" t="str">
        <x:v>多目标权重不确定性</x:v>
      </x:c>
      <x:c r="I573" s="95" t="str">
        <x:v>同时处理性能、可成膜、有效谱、成本和风险，而非只追单点电导率。</x:v>
      </x:c>
      <x:c r="J573" s="95" t="str">
        <x:v>用于混料/工艺设计空间、可行性模型、成本感知约束BO和自适应重复。</x:v>
      </x:c>
      <x:c r="K573" s="95" t="str">
        <x:v>可直接支撑当前EIS-only闭环。</x:v>
      </x:c>
      <x:c r="L573" s="95" t="str">
        <x:v>M2 扩展与复现（5–12月）</x:v>
      </x:c>
      <x:c r="M573" s="95" t="str">
        <x:v>按瓶颈接入</x:v>
      </x:c>
      <x:c r="N573" s="95" t="str">
        <x:v>P0</x:v>
      </x:c>
      <x:c r="O573" s="95" t="str">
        <x:v>https://www.nature.com/articles/s41467-024-45569-5</x:v>
      </x:c>
      <x:c r="P573" s="96" t="str">
        <x:v>待评审</x:v>
      </x:c>
    </x:row>
    <x:row r="574">
      <x:c r="A574" s="94" t="str">
        <x:v>T0570</x:v>
      </x:c>
      <x:c r="B574" s="95" t="str">
        <x:v>实验设计与闭环优化</x:v>
      </x:c>
      <x:c r="C574" s="95" t="str">
        <x:v>多目标、约束、安全、成本与多保真优化</x:v>
      </x:c>
      <x:c r="D574" s="95" t="str">
        <x:v>核心必需</x:v>
      </x:c>
      <x:c r="E574" s="100" t="n">
        <x:v>12</x:v>
      </x:c>
      <x:c r="F574" s="95" t="str">
        <x:v>闭环优化</x:v>
      </x:c>
      <x:c r="G574" s="95" t="str">
        <x:v>D 闭环优化与高效实验</x:v>
      </x:c>
      <x:c r="H574" s="95" t="str">
        <x:v>黑箱约束</x:v>
      </x:c>
      <x:c r="I574" s="95" t="str">
        <x:v>同时处理性能、可成膜、有效谱、成本和风险，而非只追单点电导率。</x:v>
      </x:c>
      <x:c r="J574" s="95" t="str">
        <x:v>用于混料/工艺设计空间、可行性模型、成本感知约束BO和自适应重复。</x:v>
      </x:c>
      <x:c r="K574" s="95" t="str">
        <x:v>可直接支撑当前EIS-only闭环。</x:v>
      </x:c>
      <x:c r="L574" s="95" t="str">
        <x:v>M0 主流程接入（0–2月）</x:v>
      </x:c>
      <x:c r="M574" s="95" t="str">
        <x:v>首批接入</x:v>
      </x:c>
      <x:c r="N574" s="95" t="str">
        <x:v>P0</x:v>
      </x:c>
      <x:c r="O574" s="95" t="str">
        <x:v>https://www.science.org/doi/10.1126/science.adk9227</x:v>
      </x:c>
      <x:c r="P574" s="96" t="str">
        <x:v>待评审</x:v>
      </x:c>
    </x:row>
    <x:row r="575">
      <x:c r="A575" s="94" t="str">
        <x:v>T0571</x:v>
      </x:c>
      <x:c r="B575" s="95" t="str">
        <x:v>实验设计与闭环优化</x:v>
      </x:c>
      <x:c r="C575" s="95" t="str">
        <x:v>多目标、约束、安全、成本与多保真优化</x:v>
      </x:c>
      <x:c r="D575" s="95" t="str">
        <x:v>核心必需</x:v>
      </x:c>
      <x:c r="E575" s="100" t="n">
        <x:v>12</x:v>
      </x:c>
      <x:c r="F575" s="95" t="str">
        <x:v>闭环优化</x:v>
      </x:c>
      <x:c r="G575" s="95" t="str">
        <x:v>D 闭环优化与高效实验</x:v>
      </x:c>
      <x:c r="H575" s="95" t="str">
        <x:v>可行性分类器</x:v>
      </x:c>
      <x:c r="I575" s="95" t="str">
        <x:v>同时处理性能、可成膜、有效谱、成本和风险，而非只追单点电导率。</x:v>
      </x:c>
      <x:c r="J575" s="95" t="str">
        <x:v>用于混料/工艺设计空间、可行性模型、成本感知约束BO和自适应重复。</x:v>
      </x:c>
      <x:c r="K575" s="95" t="str">
        <x:v>可直接支撑当前EIS-only闭环。</x:v>
      </x:c>
      <x:c r="L575" s="95" t="str">
        <x:v>M0 主流程接入（0–2月）</x:v>
      </x:c>
      <x:c r="M575" s="95" t="str">
        <x:v>首批接入</x:v>
      </x:c>
      <x:c r="N575" s="95" t="str">
        <x:v>P1</x:v>
      </x:c>
      <x:c r="O575" s="95" t="str">
        <x:v>https://proceedings.neurips.cc/paper_files/paper/2020/file/f5b1b89d98b7286673128a5fb112cb9a-Paper.pdf</x:v>
      </x:c>
      <x:c r="P575" s="96" t="str">
        <x:v>待评审</x:v>
      </x:c>
    </x:row>
    <x:row r="576">
      <x:c r="A576" s="94" t="str">
        <x:v>T0572</x:v>
      </x:c>
      <x:c r="B576" s="95" t="str">
        <x:v>实验设计与闭环优化</x:v>
      </x:c>
      <x:c r="C576" s="95" t="str">
        <x:v>多目标、约束、安全、成本与多保真优化</x:v>
      </x:c>
      <x:c r="D576" s="95" t="str">
        <x:v>核心必需</x:v>
      </x:c>
      <x:c r="E576" s="100" t="n">
        <x:v>12</x:v>
      </x:c>
      <x:c r="F576" s="95" t="str">
        <x:v>闭环优化</x:v>
      </x:c>
      <x:c r="G576" s="95" t="str">
        <x:v>D 闭环优化与高效实验</x:v>
      </x:c>
      <x:c r="H576" s="95" t="str">
        <x:v>约束期望改进</x:v>
      </x:c>
      <x:c r="I576" s="95" t="str">
        <x:v>同时处理性能、可成膜、有效谱、成本和风险，而非只追单点电导率。</x:v>
      </x:c>
      <x:c r="J576" s="95" t="str">
        <x:v>用于混料/工艺设计空间、可行性模型、成本感知约束BO和自适应重复。</x:v>
      </x:c>
      <x:c r="K576" s="95" t="str">
        <x:v>可直接支撑当前EIS-only闭环。</x:v>
      </x:c>
      <x:c r="L576" s="95" t="str">
        <x:v>M0 主流程接入（0–2月）</x:v>
      </x:c>
      <x:c r="M576" s="95" t="str">
        <x:v>首批接入</x:v>
      </x:c>
      <x:c r="N576" s="95" t="str">
        <x:v>P1</x:v>
      </x:c>
      <x:c r="O576" s="95" t="str">
        <x:v>https://www.itl.nist.gov/div898/handbook/</x:v>
      </x:c>
      <x:c r="P576" s="96" t="str">
        <x:v>待评审</x:v>
      </x:c>
    </x:row>
    <x:row r="577">
      <x:c r="A577" s="94" t="str">
        <x:v>T0573</x:v>
      </x:c>
      <x:c r="B577" s="95" t="str">
        <x:v>实验设计与闭环优化</x:v>
      </x:c>
      <x:c r="C577" s="95" t="str">
        <x:v>多目标、约束、安全、成本与多保真优化</x:v>
      </x:c>
      <x:c r="D577" s="95" t="str">
        <x:v>核心必需</x:v>
      </x:c>
      <x:c r="E577" s="100" t="n">
        <x:v>11</x:v>
      </x:c>
      <x:c r="F577" s="95" t="str">
        <x:v>闭环优化</x:v>
      </x:c>
      <x:c r="G577" s="95" t="str">
        <x:v>D 闭环优化与高效实验</x:v>
      </x:c>
      <x:c r="H577" s="95" t="str">
        <x:v>机会约束</x:v>
      </x:c>
      <x:c r="I577" s="95" t="str">
        <x:v>同时处理性能、可成膜、有效谱、成本和风险，而非只追单点电导率。</x:v>
      </x:c>
      <x:c r="J577" s="95" t="str">
        <x:v>用于混料/工艺设计空间、可行性模型、成本感知约束BO和自适应重复。</x:v>
      </x:c>
      <x:c r="K577" s="95" t="str">
        <x:v>可直接支撑当前EIS-only闭环。</x:v>
      </x:c>
      <x:c r="L577" s="95" t="str">
        <x:v>M1 前瞻验证（2–5月）</x:v>
      </x:c>
      <x:c r="M577" s="95" t="str">
        <x:v>第二批接入</x:v>
      </x:c>
      <x:c r="N577" s="95" t="str">
        <x:v>P1</x:v>
      </x:c>
      <x:c r="O577" s="95" t="str">
        <x:v>https://www.nature.com/articles/s41467-024-45569-5</x:v>
      </x:c>
      <x:c r="P577" s="96" t="str">
        <x:v>待评审</x:v>
      </x:c>
    </x:row>
    <x:row r="578">
      <x:c r="A578" s="94" t="str">
        <x:v>T0574</x:v>
      </x:c>
      <x:c r="B578" s="95" t="str">
        <x:v>实验设计与闭环优化</x:v>
      </x:c>
      <x:c r="C578" s="95" t="str">
        <x:v>多目标、约束、安全、成本与多保真优化</x:v>
      </x:c>
      <x:c r="D578" s="95" t="str">
        <x:v>关键支撑</x:v>
      </x:c>
      <x:c r="E578" s="100" t="n">
        <x:v>9</x:v>
      </x:c>
      <x:c r="F578" s="95" t="str">
        <x:v>闭环优化</x:v>
      </x:c>
      <x:c r="G578" s="95" t="str">
        <x:v>D 闭环优化与高效实验</x:v>
      </x:c>
      <x:c r="H578" s="95" t="str">
        <x:v>安全集扩张</x:v>
      </x:c>
      <x:c r="I578" s="95" t="str">
        <x:v>同时处理性能、可成膜、有效谱、成本和风险，而非只追单点电导率。</x:v>
      </x:c>
      <x:c r="J578" s="95" t="str">
        <x:v>用于混料/工艺设计空间、可行性模型、成本感知约束BO和自适应重复。</x:v>
      </x:c>
      <x:c r="K578" s="95" t="str">
        <x:v>可直接支撑当前EIS-only闭环。</x:v>
      </x:c>
      <x:c r="L578" s="95" t="str">
        <x:v>M2 扩展与复现（5–12月）</x:v>
      </x:c>
      <x:c r="M578" s="95" t="str">
        <x:v>按瓶颈接入</x:v>
      </x:c>
      <x:c r="N578" s="95" t="str">
        <x:v>P1</x:v>
      </x:c>
      <x:c r="O578" s="95" t="str">
        <x:v>https://www.science.org/doi/10.1126/science.adk9227</x:v>
      </x:c>
      <x:c r="P578" s="96" t="str">
        <x:v>待评审</x:v>
      </x:c>
    </x:row>
    <x:row r="579">
      <x:c r="A579" s="94" t="str">
        <x:v>T0575</x:v>
      </x:c>
      <x:c r="B579" s="95" t="str">
        <x:v>实验设计与闭环优化</x:v>
      </x:c>
      <x:c r="C579" s="95" t="str">
        <x:v>多目标、约束、安全、成本与多保真优化</x:v>
      </x:c>
      <x:c r="D579" s="95" t="str">
        <x:v>关键支撑</x:v>
      </x:c>
      <x:c r="E579" s="100" t="n">
        <x:v>9</x:v>
      </x:c>
      <x:c r="F579" s="95" t="str">
        <x:v>闭环优化</x:v>
      </x:c>
      <x:c r="G579" s="95" t="str">
        <x:v>D 闭环优化与高效实验</x:v>
      </x:c>
      <x:c r="H579" s="95" t="str">
        <x:v>SafeOpt</x:v>
      </x:c>
      <x:c r="I579" s="95" t="str">
        <x:v>同时处理性能、可成膜、有效谱、成本和风险，而非只追单点电导率。</x:v>
      </x:c>
      <x:c r="J579" s="95" t="str">
        <x:v>用于混料/工艺设计空间、可行性模型、成本感知约束BO和自适应重复。</x:v>
      </x:c>
      <x:c r="K579" s="95" t="str">
        <x:v>可直接支撑当前EIS-only闭环。</x:v>
      </x:c>
      <x:c r="L579" s="95" t="str">
        <x:v>M2 扩展与复现（5–12月）</x:v>
      </x:c>
      <x:c r="M579" s="95" t="str">
        <x:v>按瓶颈接入</x:v>
      </x:c>
      <x:c r="N579" s="95" t="str">
        <x:v>P1</x:v>
      </x:c>
      <x:c r="O579" s="95" t="str">
        <x:v>https://proceedings.neurips.cc/paper_files/paper/2020/file/f5b1b89d98b7286673128a5fb112cb9a-Paper.pdf</x:v>
      </x:c>
      <x:c r="P579" s="96" t="str">
        <x:v>待评审</x:v>
      </x:c>
    </x:row>
    <x:row r="580">
      <x:c r="A580" s="94" t="str">
        <x:v>T0576</x:v>
      </x:c>
      <x:c r="B580" s="95" t="str">
        <x:v>实验设计与闭环优化</x:v>
      </x:c>
      <x:c r="C580" s="95" t="str">
        <x:v>多目标、约束、安全、成本与多保真优化</x:v>
      </x:c>
      <x:c r="D580" s="95" t="str">
        <x:v>关键支撑</x:v>
      </x:c>
      <x:c r="E580" s="100" t="n">
        <x:v>9</x:v>
      </x:c>
      <x:c r="F580" s="95" t="str">
        <x:v>闭环优化</x:v>
      </x:c>
      <x:c r="G580" s="95" t="str">
        <x:v>D 闭环优化与高效实验</x:v>
      </x:c>
      <x:c r="H580" s="95" t="str">
        <x:v>CVaR风险</x:v>
      </x:c>
      <x:c r="I580" s="95" t="str">
        <x:v>同时处理性能、可成膜、有效谱、成本和风险，而非只追单点电导率。</x:v>
      </x:c>
      <x:c r="J580" s="95" t="str">
        <x:v>用于混料/工艺设计空间、可行性模型、成本感知约束BO和自适应重复。</x:v>
      </x:c>
      <x:c r="K580" s="95" t="str">
        <x:v>可直接支撑当前EIS-only闭环。</x:v>
      </x:c>
      <x:c r="L580" s="95" t="str">
        <x:v>M2 扩展与复现（5–12月）</x:v>
      </x:c>
      <x:c r="M580" s="95" t="str">
        <x:v>按瓶颈接入</x:v>
      </x:c>
      <x:c r="N580" s="95" t="str">
        <x:v>P1</x:v>
      </x:c>
      <x:c r="O580" s="95" t="str">
        <x:v>https://www.itl.nist.gov/div898/handbook/</x:v>
      </x:c>
      <x:c r="P580" s="96" t="str">
        <x:v>待评审</x:v>
      </x:c>
    </x:row>
    <x:row r="581">
      <x:c r="A581" s="94" t="str">
        <x:v>T0577</x:v>
      </x:c>
      <x:c r="B581" s="95" t="str">
        <x:v>实验设计与闭环优化</x:v>
      </x:c>
      <x:c r="C581" s="95" t="str">
        <x:v>多目标、约束、安全、成本与多保真优化</x:v>
      </x:c>
      <x:c r="D581" s="95" t="str">
        <x:v>核心必需</x:v>
      </x:c>
      <x:c r="E581" s="100" t="n">
        <x:v>12</x:v>
      </x:c>
      <x:c r="F581" s="95" t="str">
        <x:v>闭环优化</x:v>
      </x:c>
      <x:c r="G581" s="95" t="str">
        <x:v>D 闭环优化与高效实验</x:v>
      </x:c>
      <x:c r="H581" s="95" t="str">
        <x:v>鲁棒贝叶斯优化</x:v>
      </x:c>
      <x:c r="I581" s="95" t="str">
        <x:v>同时处理性能、可成膜、有效谱、成本和风险，而非只追单点电导率。</x:v>
      </x:c>
      <x:c r="J581" s="95" t="str">
        <x:v>用于混料/工艺设计空间、可行性模型、成本感知约束BO和自适应重复。</x:v>
      </x:c>
      <x:c r="K581" s="95" t="str">
        <x:v>可直接支撑当前EIS-only闭环。</x:v>
      </x:c>
      <x:c r="L581" s="95" t="str">
        <x:v>M0 主流程接入（0–2月）</x:v>
      </x:c>
      <x:c r="M581" s="95" t="str">
        <x:v>首批接入</x:v>
      </x:c>
      <x:c r="N581" s="95" t="str">
        <x:v>P1</x:v>
      </x:c>
      <x:c r="O581" s="95" t="str">
        <x:v>https://www.nature.com/articles/s41467-024-45569-5</x:v>
      </x:c>
      <x:c r="P581" s="96" t="str">
        <x:v>待评审</x:v>
      </x:c>
    </x:row>
    <x:row r="582">
      <x:c r="A582" s="94" t="str">
        <x:v>T0578</x:v>
      </x:c>
      <x:c r="B582" s="95" t="str">
        <x:v>实验设计与闭环优化</x:v>
      </x:c>
      <x:c r="C582" s="95" t="str">
        <x:v>多目标、约束、安全、成本与多保真优化</x:v>
      </x:c>
      <x:c r="D582" s="95" t="str">
        <x:v>关键支撑</x:v>
      </x:c>
      <x:c r="E582" s="100" t="n">
        <x:v>9</x:v>
      </x:c>
      <x:c r="F582" s="95" t="str">
        <x:v>闭环优化</x:v>
      </x:c>
      <x:c r="G582" s="95" t="str">
        <x:v>D 闭环优化与高效实验</x:v>
      </x:c>
      <x:c r="H582" s="95" t="str">
        <x:v>最坏情形优化</x:v>
      </x:c>
      <x:c r="I582" s="95" t="str">
        <x:v>同时处理性能、可成膜、有效谱、成本和风险，而非只追单点电导率。</x:v>
      </x:c>
      <x:c r="J582" s="95" t="str">
        <x:v>用于混料/工艺设计空间、可行性模型、成本感知约束BO和自适应重复。</x:v>
      </x:c>
      <x:c r="K582" s="95" t="str">
        <x:v>可直接支撑当前EIS-only闭环。</x:v>
      </x:c>
      <x:c r="L582" s="95" t="str">
        <x:v>M2 扩展与复现（5–12月）</x:v>
      </x:c>
      <x:c r="M582" s="95" t="str">
        <x:v>按瓶颈接入</x:v>
      </x:c>
      <x:c r="N582" s="95" t="str">
        <x:v>P1</x:v>
      </x:c>
      <x:c r="O582" s="95" t="str">
        <x:v>https://www.science.org/doi/10.1126/science.adk9227</x:v>
      </x:c>
      <x:c r="P582" s="96" t="str">
        <x:v>待评审</x:v>
      </x:c>
    </x:row>
    <x:row r="583">
      <x:c r="A583" s="94" t="str">
        <x:v>T0579</x:v>
      </x:c>
      <x:c r="B583" s="95" t="str">
        <x:v>实验设计与闭环优化</x:v>
      </x:c>
      <x:c r="C583" s="95" t="str">
        <x:v>多目标、约束、安全、成本与多保真优化</x:v>
      </x:c>
      <x:c r="D583" s="95" t="str">
        <x:v>关键支撑</x:v>
      </x:c>
      <x:c r="E583" s="100" t="n">
        <x:v>9</x:v>
      </x:c>
      <x:c r="F583" s="95" t="str">
        <x:v>闭环优化</x:v>
      </x:c>
      <x:c r="G583" s="95" t="str">
        <x:v>D 闭环优化与高效实验</x:v>
      </x:c>
      <x:c r="H583" s="95" t="str">
        <x:v>分布鲁棒优化</x:v>
      </x:c>
      <x:c r="I583" s="95" t="str">
        <x:v>同时处理性能、可成膜、有效谱、成本和风险，而非只追单点电导率。</x:v>
      </x:c>
      <x:c r="J583" s="95" t="str">
        <x:v>用于混料/工艺设计空间、可行性模型、成本感知约束BO和自适应重复。</x:v>
      </x:c>
      <x:c r="K583" s="95" t="str">
        <x:v>可直接支撑当前EIS-only闭环。</x:v>
      </x:c>
      <x:c r="L583" s="95" t="str">
        <x:v>M2 扩展与复现（5–12月）</x:v>
      </x:c>
      <x:c r="M583" s="95" t="str">
        <x:v>按瓶颈接入</x:v>
      </x:c>
      <x:c r="N583" s="95" t="str">
        <x:v>P1</x:v>
      </x:c>
      <x:c r="O583" s="95" t="str">
        <x:v>https://proceedings.neurips.cc/paper_files/paper/2020/file/f5b1b89d98b7286673128a5fb112cb9a-Paper.pdf</x:v>
      </x:c>
      <x:c r="P583" s="96" t="str">
        <x:v>待评审</x:v>
      </x:c>
    </x:row>
    <x:row r="584">
      <x:c r="A584" s="94" t="str">
        <x:v>T0580</x:v>
      </x:c>
      <x:c r="B584" s="95" t="str">
        <x:v>实验设计与闭环优化</x:v>
      </x:c>
      <x:c r="C584" s="95" t="str">
        <x:v>多目标、约束、安全、成本与多保真优化</x:v>
      </x:c>
      <x:c r="D584" s="95" t="str">
        <x:v>核心必需</x:v>
      </x:c>
      <x:c r="E584" s="100" t="n">
        <x:v>12</x:v>
      </x:c>
      <x:c r="F584" s="95" t="str">
        <x:v>闭环优化</x:v>
      </x:c>
      <x:c r="G584" s="95" t="str">
        <x:v>D 闭环优化与高效实验</x:v>
      </x:c>
      <x:c r="H584" s="95" t="str">
        <x:v>成本感知采集</x:v>
      </x:c>
      <x:c r="I584" s="95" t="str">
        <x:v>同时处理性能、可成膜、有效谱、成本和风险，而非只追单点电导率。</x:v>
      </x:c>
      <x:c r="J584" s="95" t="str">
        <x:v>用于混料/工艺设计空间、可行性模型、成本感知约束BO和自适应重复。</x:v>
      </x:c>
      <x:c r="K584" s="95" t="str">
        <x:v>可直接支撑当前EIS-only闭环。</x:v>
      </x:c>
      <x:c r="L584" s="95" t="str">
        <x:v>M0 主流程接入（0–2月）</x:v>
      </x:c>
      <x:c r="M584" s="95" t="str">
        <x:v>首批接入</x:v>
      </x:c>
      <x:c r="N584" s="95" t="str">
        <x:v>P1</x:v>
      </x:c>
      <x:c r="O584" s="95" t="str">
        <x:v>https://www.itl.nist.gov/div898/handbook/</x:v>
      </x:c>
      <x:c r="P584" s="96" t="str">
        <x:v>待评审</x:v>
      </x:c>
    </x:row>
    <x:row r="585">
      <x:c r="A585" s="94" t="str">
        <x:v>T0581</x:v>
      </x:c>
      <x:c r="B585" s="95" t="str">
        <x:v>实验设计与闭环优化</x:v>
      </x:c>
      <x:c r="C585" s="95" t="str">
        <x:v>多目标、约束、安全、成本与多保真优化</x:v>
      </x:c>
      <x:c r="D585" s="95" t="str">
        <x:v>核心必需</x:v>
      </x:c>
      <x:c r="E585" s="100" t="n">
        <x:v>12</x:v>
      </x:c>
      <x:c r="F585" s="95" t="str">
        <x:v>闭环优化</x:v>
      </x:c>
      <x:c r="G585" s="95" t="str">
        <x:v>D 闭环优化与高效实验</x:v>
      </x:c>
      <x:c r="H585" s="95" t="str">
        <x:v>预算约束优化</x:v>
      </x:c>
      <x:c r="I585" s="95" t="str">
        <x:v>同时处理性能、可成膜、有效谱、成本和风险，而非只追单点电导率。</x:v>
      </x:c>
      <x:c r="J585" s="95" t="str">
        <x:v>用于混料/工艺设计空间、可行性模型、成本感知约束BO和自适应重复。</x:v>
      </x:c>
      <x:c r="K585" s="95" t="str">
        <x:v>可直接支撑当前EIS-only闭环。</x:v>
      </x:c>
      <x:c r="L585" s="95" t="str">
        <x:v>M0 主流程接入（0–2月）</x:v>
      </x:c>
      <x:c r="M585" s="95" t="str">
        <x:v>首批接入</x:v>
      </x:c>
      <x:c r="N585" s="95" t="str">
        <x:v>P1</x:v>
      </x:c>
      <x:c r="O585" s="95" t="str">
        <x:v>https://www.nature.com/articles/s41467-024-45569-5</x:v>
      </x:c>
      <x:c r="P585" s="96" t="str">
        <x:v>待评审</x:v>
      </x:c>
    </x:row>
    <x:row r="586">
      <x:c r="A586" s="94" t="str">
        <x:v>T0582</x:v>
      </x:c>
      <x:c r="B586" s="95" t="str">
        <x:v>实验设计与闭环优化</x:v>
      </x:c>
      <x:c r="C586" s="95" t="str">
        <x:v>多目标、约束、安全、成本与多保真优化</x:v>
      </x:c>
      <x:c r="D586" s="95" t="str">
        <x:v>核心必需</x:v>
      </x:c>
      <x:c r="E586" s="100" t="n">
        <x:v>11</x:v>
      </x:c>
      <x:c r="F586" s="95" t="str">
        <x:v>闭环优化</x:v>
      </x:c>
      <x:c r="G586" s="95" t="str">
        <x:v>D 闭环优化与高效实验</x:v>
      </x:c>
      <x:c r="H586" s="95" t="str">
        <x:v>多保真优化</x:v>
      </x:c>
      <x:c r="I586" s="95" t="str">
        <x:v>同时处理性能、可成膜、有效谱、成本和风险，而非只追单点电导率。</x:v>
      </x:c>
      <x:c r="J586" s="95" t="str">
        <x:v>用于混料/工艺设计空间、可行性模型、成本感知约束BO和自适应重复。</x:v>
      </x:c>
      <x:c r="K586" s="95" t="str">
        <x:v>可直接支撑当前EIS-only闭环。</x:v>
      </x:c>
      <x:c r="L586" s="95" t="str">
        <x:v>M1 前瞻验证（2–5月）</x:v>
      </x:c>
      <x:c r="M586" s="95" t="str">
        <x:v>第二批接入</x:v>
      </x:c>
      <x:c r="N586" s="95" t="str">
        <x:v>P1</x:v>
      </x:c>
      <x:c r="O586" s="95" t="str">
        <x:v>https://www.science.org/doi/10.1126/science.adk9227</x:v>
      </x:c>
      <x:c r="P586" s="96" t="str">
        <x:v>待评审</x:v>
      </x:c>
    </x:row>
    <x:row r="587">
      <x:c r="A587" s="94" t="str">
        <x:v>T0583</x:v>
      </x:c>
      <x:c r="B587" s="95" t="str">
        <x:v>实验设计与闭环优化</x:v>
      </x:c>
      <x:c r="C587" s="95" t="str">
        <x:v>多目标、约束、安全、成本与多保真优化</x:v>
      </x:c>
      <x:c r="D587" s="95" t="str">
        <x:v>关键支撑</x:v>
      </x:c>
      <x:c r="E587" s="100" t="n">
        <x:v>9</x:v>
      </x:c>
      <x:c r="F587" s="95" t="str">
        <x:v>闭环优化</x:v>
      </x:c>
      <x:c r="G587" s="95" t="str">
        <x:v>D 闭环优化与高效实验</x:v>
      </x:c>
      <x:c r="H587" s="95" t="str">
        <x:v>协同克里金</x:v>
      </x:c>
      <x:c r="I587" s="95" t="str">
        <x:v>同时处理性能、可成膜、有效谱、成本和风险，而非只追单点电导率。</x:v>
      </x:c>
      <x:c r="J587" s="95" t="str">
        <x:v>用于混料/工艺设计空间、可行性模型、成本感知约束BO和自适应重复。</x:v>
      </x:c>
      <x:c r="K587" s="95" t="str">
        <x:v>可直接支撑当前EIS-only闭环。</x:v>
      </x:c>
      <x:c r="L587" s="95" t="str">
        <x:v>M2 扩展与复现（5–12月）</x:v>
      </x:c>
      <x:c r="M587" s="95" t="str">
        <x:v>按瓶颈接入</x:v>
      </x:c>
      <x:c r="N587" s="95" t="str">
        <x:v>P1</x:v>
      </x:c>
      <x:c r="O587" s="95" t="str">
        <x:v>https://proceedings.neurips.cc/paper_files/paper/2020/file/f5b1b89d98b7286673128a5fb112cb9a-Paper.pdf</x:v>
      </x:c>
      <x:c r="P587" s="96" t="str">
        <x:v>待评审</x:v>
      </x:c>
    </x:row>
    <x:row r="588">
      <x:c r="A588" s="94" t="str">
        <x:v>T0584</x:v>
      </x:c>
      <x:c r="B588" s="95" t="str">
        <x:v>实验设计与闭环优化</x:v>
      </x:c>
      <x:c r="C588" s="95" t="str">
        <x:v>多目标、约束、安全、成本与多保真优化</x:v>
      </x:c>
      <x:c r="D588" s="95" t="str">
        <x:v>核心必需</x:v>
      </x:c>
      <x:c r="E588" s="100" t="n">
        <x:v>11</x:v>
      </x:c>
      <x:c r="F588" s="95" t="str">
        <x:v>闭环优化</x:v>
      </x:c>
      <x:c r="G588" s="95" t="str">
        <x:v>D 闭环优化与高效实验</x:v>
      </x:c>
      <x:c r="H588" s="95" t="str">
        <x:v>多保真知识梯度</x:v>
      </x:c>
      <x:c r="I588" s="95" t="str">
        <x:v>同时处理性能、可成膜、有效谱、成本和风险，而非只追单点电导率。</x:v>
      </x:c>
      <x:c r="J588" s="95" t="str">
        <x:v>用于混料/工艺设计空间、可行性模型、成本感知约束BO和自适应重复。</x:v>
      </x:c>
      <x:c r="K588" s="95" t="str">
        <x:v>可直接支撑当前EIS-only闭环。</x:v>
      </x:c>
      <x:c r="L588" s="95" t="str">
        <x:v>M1 前瞻验证（2–5月）</x:v>
      </x:c>
      <x:c r="M588" s="95" t="str">
        <x:v>第二批接入</x:v>
      </x:c>
      <x:c r="N588" s="95" t="str">
        <x:v>P1</x:v>
      </x:c>
      <x:c r="O588" s="95" t="str">
        <x:v>https://www.itl.nist.gov/div898/handbook/</x:v>
      </x:c>
      <x:c r="P588" s="96" t="str">
        <x:v>待评审</x:v>
      </x:c>
    </x:row>
    <x:row r="589">
      <x:c r="A589" s="94" t="str">
        <x:v>T0585</x:v>
      </x:c>
      <x:c r="B589" s="95" t="str">
        <x:v>实验设计与闭环优化</x:v>
      </x:c>
      <x:c r="C589" s="95" t="str">
        <x:v>多目标、约束、安全、成本与多保真优化</x:v>
      </x:c>
      <x:c r="D589" s="95" t="str">
        <x:v>关键支撑</x:v>
      </x:c>
      <x:c r="E589" s="100" t="n">
        <x:v>9</x:v>
      </x:c>
      <x:c r="F589" s="95" t="str">
        <x:v>闭环优化</x:v>
      </x:c>
      <x:c r="G589" s="95" t="str">
        <x:v>D 闭环优化与高效实验</x:v>
      </x:c>
      <x:c r="H589" s="95" t="str">
        <x:v>资源感知优化</x:v>
      </x:c>
      <x:c r="I589" s="95" t="str">
        <x:v>同时处理性能、可成膜、有效谱、成本和风险，而非只追单点电导率。</x:v>
      </x:c>
      <x:c r="J589" s="95" t="str">
        <x:v>用于混料/工艺设计空间、可行性模型、成本感知约束BO和自适应重复。</x:v>
      </x:c>
      <x:c r="K589" s="95" t="str">
        <x:v>可直接支撑当前EIS-only闭环。</x:v>
      </x:c>
      <x:c r="L589" s="95" t="str">
        <x:v>M2 扩展与复现（5–12月）</x:v>
      </x:c>
      <x:c r="M589" s="95" t="str">
        <x:v>按瓶颈接入</x:v>
      </x:c>
      <x:c r="N589" s="95" t="str">
        <x:v>P1</x:v>
      </x:c>
      <x:c r="O589" s="95" t="str">
        <x:v>https://www.nature.com/articles/s41467-024-45569-5</x:v>
      </x:c>
      <x:c r="P589" s="96" t="str">
        <x:v>待评审</x:v>
      </x:c>
    </x:row>
    <x:row r="590">
      <x:c r="A590" s="94" t="str">
        <x:v>T0586</x:v>
      </x:c>
      <x:c r="B590" s="95" t="str">
        <x:v>实验设计与闭环优化</x:v>
      </x:c>
      <x:c r="C590" s="95" t="str">
        <x:v>多目标、约束、安全、成本与多保真优化</x:v>
      </x:c>
      <x:c r="D590" s="95" t="str">
        <x:v>关键支撑</x:v>
      </x:c>
      <x:c r="E590" s="100" t="n">
        <x:v>9</x:v>
      </x:c>
      <x:c r="F590" s="95" t="str">
        <x:v>闭环优化</x:v>
      </x:c>
      <x:c r="G590" s="95" t="str">
        <x:v>D 闭环优化与高效实验</x:v>
      </x:c>
      <x:c r="H590" s="95" t="str">
        <x:v>时间感知优化</x:v>
      </x:c>
      <x:c r="I590" s="95" t="str">
        <x:v>同时处理性能、可成膜、有效谱、成本和风险，而非只追单点电导率。</x:v>
      </x:c>
      <x:c r="J590" s="95" t="str">
        <x:v>用于混料/工艺设计空间、可行性模型、成本感知约束BO和自适应重复。</x:v>
      </x:c>
      <x:c r="K590" s="95" t="str">
        <x:v>可直接支撑当前EIS-only闭环。</x:v>
      </x:c>
      <x:c r="L590" s="95" t="str">
        <x:v>M2 扩展与复现（5–12月）</x:v>
      </x:c>
      <x:c r="M590" s="95" t="str">
        <x:v>按瓶颈接入</x:v>
      </x:c>
      <x:c r="N590" s="95" t="str">
        <x:v>P1</x:v>
      </x:c>
      <x:c r="O590" s="95" t="str">
        <x:v>https://www.science.org/doi/10.1126/science.adk9227</x:v>
      </x:c>
      <x:c r="P590" s="96" t="str">
        <x:v>待评审</x:v>
      </x:c>
    </x:row>
    <x:row r="591">
      <x:c r="A591" s="94" t="str">
        <x:v>T0587</x:v>
      </x:c>
      <x:c r="B591" s="95" t="str">
        <x:v>实验设计与闭环优化</x:v>
      </x:c>
      <x:c r="C591" s="95" t="str">
        <x:v>多目标、约束、安全、成本与多保真优化</x:v>
      </x:c>
      <x:c r="D591" s="95" t="str">
        <x:v>关键支撑</x:v>
      </x:c>
      <x:c r="E591" s="100" t="n">
        <x:v>9</x:v>
      </x:c>
      <x:c r="F591" s="95" t="str">
        <x:v>闭环优化</x:v>
      </x:c>
      <x:c r="G591" s="95" t="str">
        <x:v>D 闭环优化与高效实验</x:v>
      </x:c>
      <x:c r="H591" s="95" t="str">
        <x:v>能耗感知优化</x:v>
      </x:c>
      <x:c r="I591" s="95" t="str">
        <x:v>同时处理性能、可成膜、有效谱、成本和风险，而非只追单点电导率。</x:v>
      </x:c>
      <x:c r="J591" s="95" t="str">
        <x:v>用于混料/工艺设计空间、可行性模型、成本感知约束BO和自适应重复。</x:v>
      </x:c>
      <x:c r="K591" s="95" t="str">
        <x:v>可直接支撑当前EIS-only闭环。</x:v>
      </x:c>
      <x:c r="L591" s="95" t="str">
        <x:v>M2 扩展与复现（5–12月）</x:v>
      </x:c>
      <x:c r="M591" s="95" t="str">
        <x:v>按瓶颈接入</x:v>
      </x:c>
      <x:c r="N591" s="95" t="str">
        <x:v>P1</x:v>
      </x:c>
      <x:c r="O591" s="95" t="str">
        <x:v>https://proceedings.neurips.cc/paper_files/paper/2020/file/f5b1b89d98b7286673128a5fb112cb9a-Paper.pdf</x:v>
      </x:c>
      <x:c r="P591" s="96" t="str">
        <x:v>待评审</x:v>
      </x:c>
    </x:row>
    <x:row r="592">
      <x:c r="A592" s="94" t="str">
        <x:v>T0588</x:v>
      </x:c>
      <x:c r="B592" s="95" t="str">
        <x:v>实验设计与闭环优化</x:v>
      </x:c>
      <x:c r="C592" s="95" t="str">
        <x:v>多目标、约束、安全、成本与多保真优化</x:v>
      </x:c>
      <x:c r="D592" s="95" t="str">
        <x:v>关键支撑</x:v>
      </x:c>
      <x:c r="E592" s="100" t="n">
        <x:v>9</x:v>
      </x:c>
      <x:c r="F592" s="95" t="str">
        <x:v>闭环优化</x:v>
      </x:c>
      <x:c r="G592" s="95" t="str">
        <x:v>D 闭环优化与高效实验</x:v>
      </x:c>
      <x:c r="H592" s="95" t="str">
        <x:v>碳感知优化</x:v>
      </x:c>
      <x:c r="I592" s="95" t="str">
        <x:v>同时处理性能、可成膜、有效谱、成本和风险，而非只追单点电导率。</x:v>
      </x:c>
      <x:c r="J592" s="95" t="str">
        <x:v>用于混料/工艺设计空间、可行性模型、成本感知约束BO和自适应重复。</x:v>
      </x:c>
      <x:c r="K592" s="95" t="str">
        <x:v>可直接支撑当前EIS-only闭环。</x:v>
      </x:c>
      <x:c r="L592" s="95" t="str">
        <x:v>M2 扩展与复现（5–12月）</x:v>
      </x:c>
      <x:c r="M592" s="95" t="str">
        <x:v>按瓶颈接入</x:v>
      </x:c>
      <x:c r="N592" s="95" t="str">
        <x:v>P1</x:v>
      </x:c>
      <x:c r="O592" s="95" t="str">
        <x:v>https://www.itl.nist.gov/div898/handbook/</x:v>
      </x:c>
      <x:c r="P592" s="96" t="str">
        <x:v>待评审</x:v>
      </x:c>
    </x:row>
    <x:row r="593">
      <x:c r="A593" s="94" t="str">
        <x:v>T0589</x:v>
      </x:c>
      <x:c r="B593" s="95" t="str">
        <x:v>实验设计与闭环优化</x:v>
      </x:c>
      <x:c r="C593" s="95" t="str">
        <x:v>多目标、约束、安全、成本与多保真优化</x:v>
      </x:c>
      <x:c r="D593" s="95" t="str">
        <x:v>核心必需</x:v>
      </x:c>
      <x:c r="E593" s="100" t="n">
        <x:v>11</x:v>
      </x:c>
      <x:c r="F593" s="95" t="str">
        <x:v>闭环优化</x:v>
      </x:c>
      <x:c r="G593" s="95" t="str">
        <x:v>D 闭环优化与高效实验</x:v>
      </x:c>
      <x:c r="H593" s="95" t="str">
        <x:v>批量资源约束</x:v>
      </x:c>
      <x:c r="I593" s="95" t="str">
        <x:v>同时处理性能、可成膜、有效谱、成本和风险，而非只追单点电导率。</x:v>
      </x:c>
      <x:c r="J593" s="95" t="str">
        <x:v>用于混料/工艺设计空间、可行性模型、成本感知约束BO和自适应重复。</x:v>
      </x:c>
      <x:c r="K593" s="95" t="str">
        <x:v>可直接支撑当前EIS-only闭环。</x:v>
      </x:c>
      <x:c r="L593" s="95" t="str">
        <x:v>M1 前瞻验证（2–5月）</x:v>
      </x:c>
      <x:c r="M593" s="95" t="str">
        <x:v>第二批接入</x:v>
      </x:c>
      <x:c r="N593" s="95" t="str">
        <x:v>P2</x:v>
      </x:c>
      <x:c r="O593" s="95" t="str">
        <x:v>https://www.nature.com/articles/s41467-024-45569-5</x:v>
      </x:c>
      <x:c r="P593" s="96" t="str">
        <x:v>待评审</x:v>
      </x:c>
    </x:row>
    <x:row r="594">
      <x:c r="A594" s="94" t="str">
        <x:v>T0590</x:v>
      </x:c>
      <x:c r="B594" s="95" t="str">
        <x:v>实验设计与闭环优化</x:v>
      </x:c>
      <x:c r="C594" s="95" t="str">
        <x:v>多目标、约束、安全、成本与多保真优化</x:v>
      </x:c>
      <x:c r="D594" s="95" t="str">
        <x:v>关键支撑</x:v>
      </x:c>
      <x:c r="E594" s="100" t="n">
        <x:v>9</x:v>
      </x:c>
      <x:c r="F594" s="95" t="str">
        <x:v>闭环优化</x:v>
      </x:c>
      <x:c r="G594" s="95" t="str">
        <x:v>D 闭环优化与高效实验</x:v>
      </x:c>
      <x:c r="H594" s="95" t="str">
        <x:v>解耦测量</x:v>
      </x:c>
      <x:c r="I594" s="95" t="str">
        <x:v>同时处理性能、可成膜、有效谱、成本和风险，而非只追单点电导率。</x:v>
      </x:c>
      <x:c r="J594" s="95" t="str">
        <x:v>用于混料/工艺设计空间、可行性模型、成本感知约束BO和自适应重复。</x:v>
      </x:c>
      <x:c r="K594" s="95" t="str">
        <x:v>可直接支撑当前EIS-only闭环。</x:v>
      </x:c>
      <x:c r="L594" s="95" t="str">
        <x:v>M2 扩展与复现（5–12月）</x:v>
      </x:c>
      <x:c r="M594" s="95" t="str">
        <x:v>按瓶颈接入</x:v>
      </x:c>
      <x:c r="N594" s="95" t="str">
        <x:v>P2</x:v>
      </x:c>
      <x:c r="O594" s="95" t="str">
        <x:v>https://www.science.org/doi/10.1126/science.adk9227</x:v>
      </x:c>
      <x:c r="P594" s="96" t="str">
        <x:v>待评审</x:v>
      </x:c>
    </x:row>
    <x:row r="595">
      <x:c r="A595" s="94" t="str">
        <x:v>T0591</x:v>
      </x:c>
      <x:c r="B595" s="95" t="str">
        <x:v>实验设计与闭环优化</x:v>
      </x:c>
      <x:c r="C595" s="95" t="str">
        <x:v>多目标、约束、安全、成本与多保真优化</x:v>
      </x:c>
      <x:c r="D595" s="95" t="str">
        <x:v>核心必需</x:v>
      </x:c>
      <x:c r="E595" s="100" t="n">
        <x:v>11</x:v>
      </x:c>
      <x:c r="F595" s="95" t="str">
        <x:v>闭环优化</x:v>
      </x:c>
      <x:c r="G595" s="95" t="str">
        <x:v>D 闭环优化与高效实验</x:v>
      </x:c>
      <x:c r="H595" s="95" t="str">
        <x:v>早停策略</x:v>
      </x:c>
      <x:c r="I595" s="95" t="str">
        <x:v>同时处理性能、可成膜、有效谱、成本和风险，而非只追单点电导率。</x:v>
      </x:c>
      <x:c r="J595" s="95" t="str">
        <x:v>用于混料/工艺设计空间、可行性模型、成本感知约束BO和自适应重复。</x:v>
      </x:c>
      <x:c r="K595" s="95" t="str">
        <x:v>可直接支撑当前EIS-only闭环。</x:v>
      </x:c>
      <x:c r="L595" s="95" t="str">
        <x:v>M1 前瞻验证（2–5月）</x:v>
      </x:c>
      <x:c r="M595" s="95" t="str">
        <x:v>第二批接入</x:v>
      </x:c>
      <x:c r="N595" s="95" t="str">
        <x:v>P2</x:v>
      </x:c>
      <x:c r="O595" s="95" t="str">
        <x:v>https://proceedings.neurips.cc/paper_files/paper/2020/file/f5b1b89d98b7286673128a5fb112cb9a-Paper.pdf</x:v>
      </x:c>
      <x:c r="P595" s="96" t="str">
        <x:v>待评审</x:v>
      </x:c>
    </x:row>
    <x:row r="596">
      <x:c r="A596" s="94" t="str">
        <x:v>T0592</x:v>
      </x:c>
      <x:c r="B596" s="95" t="str">
        <x:v>实验设计与闭环优化</x:v>
      </x:c>
      <x:c r="C596" s="95" t="str">
        <x:v>多目标、约束、安全、成本与多保真优化</x:v>
      </x:c>
      <x:c r="D596" s="95" t="str">
        <x:v>关键支撑</x:v>
      </x:c>
      <x:c r="E596" s="100" t="n">
        <x:v>9</x:v>
      </x:c>
      <x:c r="F596" s="95" t="str">
        <x:v>闭环优化</x:v>
      </x:c>
      <x:c r="G596" s="95" t="str">
        <x:v>D 闭环优化与高效实验</x:v>
      </x:c>
      <x:c r="H596" s="95" t="str">
        <x:v>多任务贝叶斯优化</x:v>
      </x:c>
      <x:c r="I596" s="95" t="str">
        <x:v>同时处理性能、可成膜、有效谱、成本和风险，而非只追单点电导率。</x:v>
      </x:c>
      <x:c r="J596" s="95" t="str">
        <x:v>用于混料/工艺设计空间、可行性模型、成本感知约束BO和自适应重复。</x:v>
      </x:c>
      <x:c r="K596" s="95" t="str">
        <x:v>可直接支撑当前EIS-only闭环。</x:v>
      </x:c>
      <x:c r="L596" s="95" t="str">
        <x:v>M2 扩展与复现（5–12月）</x:v>
      </x:c>
      <x:c r="M596" s="95" t="str">
        <x:v>按瓶颈接入</x:v>
      </x:c>
      <x:c r="N596" s="95" t="str">
        <x:v>P2</x:v>
      </x:c>
      <x:c r="O596" s="95" t="str">
        <x:v>https://www.itl.nist.gov/div898/handbook/</x:v>
      </x:c>
      <x:c r="P596" s="96" t="str">
        <x:v>待评审</x:v>
      </x:c>
    </x:row>
    <x:row r="597">
      <x:c r="A597" s="94" t="str">
        <x:v>T0593</x:v>
      </x:c>
      <x:c r="B597" s="95" t="str">
        <x:v>实验设计与闭环优化</x:v>
      </x:c>
      <x:c r="C597" s="95" t="str">
        <x:v>多目标、约束、安全、成本与多保真优化</x:v>
      </x:c>
      <x:c r="D597" s="95" t="str">
        <x:v>关键支撑</x:v>
      </x:c>
      <x:c r="E597" s="100" t="n">
        <x:v>9</x:v>
      </x:c>
      <x:c r="F597" s="95" t="str">
        <x:v>闭环优化</x:v>
      </x:c>
      <x:c r="G597" s="95" t="str">
        <x:v>D 闭环优化与高效实验</x:v>
      </x:c>
      <x:c r="H597" s="95" t="str">
        <x:v>上下文贝叶斯优化</x:v>
      </x:c>
      <x:c r="I597" s="95" t="str">
        <x:v>同时处理性能、可成膜、有效谱、成本和风险，而非只追单点电导率。</x:v>
      </x:c>
      <x:c r="J597" s="95" t="str">
        <x:v>用于混料/工艺设计空间、可行性模型、成本感知约束BO和自适应重复。</x:v>
      </x:c>
      <x:c r="K597" s="95" t="str">
        <x:v>可直接支撑当前EIS-only闭环。</x:v>
      </x:c>
      <x:c r="L597" s="95" t="str">
        <x:v>M2 扩展与复现（5–12月）</x:v>
      </x:c>
      <x:c r="M597" s="95" t="str">
        <x:v>按瓶颈接入</x:v>
      </x:c>
      <x:c r="N597" s="95" t="str">
        <x:v>P2</x:v>
      </x:c>
      <x:c r="O597" s="95" t="str">
        <x:v>https://www.nature.com/articles/s41467-024-45569-5</x:v>
      </x:c>
      <x:c r="P597" s="96" t="str">
        <x:v>待评审</x:v>
      </x:c>
    </x:row>
    <x:row r="598">
      <x:c r="A598" s="94" t="str">
        <x:v>T0594</x:v>
      </x:c>
      <x:c r="B598" s="95" t="str">
        <x:v>实验设计与闭环优化</x:v>
      </x:c>
      <x:c r="C598" s="95" t="str">
        <x:v>多目标、约束、安全、成本与多保真优化</x:v>
      </x:c>
      <x:c r="D598" s="95" t="str">
        <x:v>关键支撑</x:v>
      </x:c>
      <x:c r="E598" s="100" t="n">
        <x:v>9</x:v>
      </x:c>
      <x:c r="F598" s="95" t="str">
        <x:v>闭环优化</x:v>
      </x:c>
      <x:c r="G598" s="95" t="str">
        <x:v>D 闭环优化与高效实验</x:v>
      </x:c>
      <x:c r="H598" s="95" t="str">
        <x:v>动态贝叶斯优化</x:v>
      </x:c>
      <x:c r="I598" s="95" t="str">
        <x:v>同时处理性能、可成膜、有效谱、成本和风险，而非只追单点电导率。</x:v>
      </x:c>
      <x:c r="J598" s="95" t="str">
        <x:v>用于混料/工艺设计空间、可行性模型、成本感知约束BO和自适应重复。</x:v>
      </x:c>
      <x:c r="K598" s="95" t="str">
        <x:v>可直接支撑当前EIS-only闭环。</x:v>
      </x:c>
      <x:c r="L598" s="95" t="str">
        <x:v>M2 扩展与复现（5–12月）</x:v>
      </x:c>
      <x:c r="M598" s="95" t="str">
        <x:v>按瓶颈接入</x:v>
      </x:c>
      <x:c r="N598" s="95" t="str">
        <x:v>P2</x:v>
      </x:c>
      <x:c r="O598" s="95" t="str">
        <x:v>https://www.science.org/doi/10.1126/science.adk9227</x:v>
      </x:c>
      <x:c r="P598" s="96" t="str">
        <x:v>待评审</x:v>
      </x:c>
    </x:row>
    <x:row r="599">
      <x:c r="A599" s="94" t="str">
        <x:v>T0595</x:v>
      </x:c>
      <x:c r="B599" s="95" t="str">
        <x:v>实验设计与闭环优化</x:v>
      </x:c>
      <x:c r="C599" s="95" t="str">
        <x:v>多目标、约束、安全、成本与多保真优化</x:v>
      </x:c>
      <x:c r="D599" s="95" t="str">
        <x:v>核心必需</x:v>
      </x:c>
      <x:c r="E599" s="100" t="n">
        <x:v>11</x:v>
      </x:c>
      <x:c r="F599" s="95" t="str">
        <x:v>闭环优化</x:v>
      </x:c>
      <x:c r="G599" s="95" t="str">
        <x:v>D 闭环优化与高效实验</x:v>
      </x:c>
      <x:c r="H599" s="95" t="str">
        <x:v>非平稳建模</x:v>
      </x:c>
      <x:c r="I599" s="95" t="str">
        <x:v>同时处理性能、可成膜、有效谱、成本和风险，而非只追单点电导率。</x:v>
      </x:c>
      <x:c r="J599" s="95" t="str">
        <x:v>用于混料/工艺设计空间、可行性模型、成本感知约束BO和自适应重复。</x:v>
      </x:c>
      <x:c r="K599" s="95" t="str">
        <x:v>可直接支撑当前EIS-only闭环。</x:v>
      </x:c>
      <x:c r="L599" s="95" t="str">
        <x:v>M1 前瞻验证（2–5月）</x:v>
      </x:c>
      <x:c r="M599" s="95" t="str">
        <x:v>第二批接入</x:v>
      </x:c>
      <x:c r="N599" s="95" t="str">
        <x:v>P2</x:v>
      </x:c>
      <x:c r="O599" s="95" t="str">
        <x:v>https://proceedings.neurips.cc/paper_files/paper/2020/file/f5b1b89d98b7286673128a5fb112cb9a-Paper.pdf</x:v>
      </x:c>
      <x:c r="P599" s="96" t="str">
        <x:v>待评审</x:v>
      </x:c>
    </x:row>
    <x:row r="600">
      <x:c r="A600" s="94" t="str">
        <x:v>T0596</x:v>
      </x:c>
      <x:c r="B600" s="95" t="str">
        <x:v>实验设计与闭环优化</x:v>
      </x:c>
      <x:c r="C600" s="95" t="str">
        <x:v>多目标、约束、安全、成本与多保真优化</x:v>
      </x:c>
      <x:c r="D600" s="95" t="str">
        <x:v>关键支撑</x:v>
      </x:c>
      <x:c r="E600" s="100" t="n">
        <x:v>9</x:v>
      </x:c>
      <x:c r="F600" s="95" t="str">
        <x:v>闭环优化</x:v>
      </x:c>
      <x:c r="G600" s="95" t="str">
        <x:v>D 闭环优化与高效实验</x:v>
      </x:c>
      <x:c r="H600" s="95" t="str">
        <x:v>漂移感知</x:v>
      </x:c>
      <x:c r="I600" s="95" t="str">
        <x:v>同时处理性能、可成膜、有效谱、成本和风险，而非只追单点电导率。</x:v>
      </x:c>
      <x:c r="J600" s="95" t="str">
        <x:v>用于混料/工艺设计空间、可行性模型、成本感知约束BO和自适应重复。</x:v>
      </x:c>
      <x:c r="K600" s="95" t="str">
        <x:v>可直接支撑当前EIS-only闭环。</x:v>
      </x:c>
      <x:c r="L600" s="95" t="str">
        <x:v>M2 扩展与复现（5–12月）</x:v>
      </x:c>
      <x:c r="M600" s="95" t="str">
        <x:v>按瓶颈接入</x:v>
      </x:c>
      <x:c r="N600" s="95" t="str">
        <x:v>P2</x:v>
      </x:c>
      <x:c r="O600" s="95" t="str">
        <x:v>https://www.itl.nist.gov/div898/handbook/</x:v>
      </x:c>
      <x:c r="P600" s="96" t="str">
        <x:v>待评审</x:v>
      </x:c>
    </x:row>
    <x:row r="601">
      <x:c r="A601" s="94" t="str">
        <x:v>T0597</x:v>
      </x:c>
      <x:c r="B601" s="95" t="str">
        <x:v>实验设计与闭环优化</x:v>
      </x:c>
      <x:c r="C601" s="95" t="str">
        <x:v>多目标、约束、安全、成本与多保真优化</x:v>
      </x:c>
      <x:c r="D601" s="95" t="str">
        <x:v>核心必需</x:v>
      </x:c>
      <x:c r="E601" s="100" t="n">
        <x:v>11</x:v>
      </x:c>
      <x:c r="F601" s="95" t="str">
        <x:v>闭环优化</x:v>
      </x:c>
      <x:c r="G601" s="95" t="str">
        <x:v>D 闭环优化与高效实验</x:v>
      </x:c>
      <x:c r="H601" s="95" t="str">
        <x:v>延迟反馈</x:v>
      </x:c>
      <x:c r="I601" s="95" t="str">
        <x:v>同时处理性能、可成膜、有效谱、成本和风险，而非只追单点电导率。</x:v>
      </x:c>
      <x:c r="J601" s="95" t="str">
        <x:v>用于混料/工艺设计空间、可行性模型、成本感知约束BO和自适应重复。</x:v>
      </x:c>
      <x:c r="K601" s="95" t="str">
        <x:v>可直接支撑当前EIS-only闭环。</x:v>
      </x:c>
      <x:c r="L601" s="95" t="str">
        <x:v>M1 前瞻验证（2–5月）</x:v>
      </x:c>
      <x:c r="M601" s="95" t="str">
        <x:v>第二批接入</x:v>
      </x:c>
      <x:c r="N601" s="95" t="str">
        <x:v>P2</x:v>
      </x:c>
      <x:c r="O601" s="95" t="str">
        <x:v>https://www.nature.com/articles/s41467-024-45569-5</x:v>
      </x:c>
      <x:c r="P601" s="96" t="str">
        <x:v>待评审</x:v>
      </x:c>
    </x:row>
    <x:row r="602">
      <x:c r="A602" s="94" t="str">
        <x:v>T0598</x:v>
      </x:c>
      <x:c r="B602" s="95" t="str">
        <x:v>实验设计与闭环优化</x:v>
      </x:c>
      <x:c r="C602" s="95" t="str">
        <x:v>多目标、约束、安全、成本与多保真优化</x:v>
      </x:c>
      <x:c r="D602" s="95" t="str">
        <x:v>核心必需</x:v>
      </x:c>
      <x:c r="E602" s="100" t="n">
        <x:v>12</x:v>
      </x:c>
      <x:c r="F602" s="95" t="str">
        <x:v>闭环优化</x:v>
      </x:c>
      <x:c r="G602" s="95" t="str">
        <x:v>D 闭环优化与高效实验</x:v>
      </x:c>
      <x:c r="H602" s="95" t="str">
        <x:v>失败感知优化</x:v>
      </x:c>
      <x:c r="I602" s="95" t="str">
        <x:v>同时处理性能、可成膜、有效谱、成本和风险，而非只追单点电导率。</x:v>
      </x:c>
      <x:c r="J602" s="95" t="str">
        <x:v>用于混料/工艺设计空间、可行性模型、成本感知约束BO和自适应重复。</x:v>
      </x:c>
      <x:c r="K602" s="95" t="str">
        <x:v>可直接支撑当前EIS-only闭环。</x:v>
      </x:c>
      <x:c r="L602" s="95" t="str">
        <x:v>M0 主流程接入（0–2月）</x:v>
      </x:c>
      <x:c r="M602" s="95" t="str">
        <x:v>首批接入</x:v>
      </x:c>
      <x:c r="N602" s="95" t="str">
        <x:v>P2</x:v>
      </x:c>
      <x:c r="O602" s="95" t="str">
        <x:v>https://www.science.org/doi/10.1126/science.adk9227</x:v>
      </x:c>
      <x:c r="P602" s="96" t="str">
        <x:v>待评审</x:v>
      </x:c>
    </x:row>
    <x:row r="603">
      <x:c r="A603" s="94" t="str">
        <x:v>T0599</x:v>
      </x:c>
      <x:c r="B603" s="95" t="str">
        <x:v>实验设计与闭环优化</x:v>
      </x:c>
      <x:c r="C603" s="95" t="str">
        <x:v>多目标、约束、安全、成本与多保真优化</x:v>
      </x:c>
      <x:c r="D603" s="95" t="str">
        <x:v>关键支撑</x:v>
      </x:c>
      <x:c r="E603" s="100" t="n">
        <x:v>9</x:v>
      </x:c>
      <x:c r="F603" s="95" t="str">
        <x:v>闭环优化</x:v>
      </x:c>
      <x:c r="G603" s="95" t="str">
        <x:v>D 闭环优化与高效实验</x:v>
      </x:c>
      <x:c r="H603" s="95" t="str">
        <x:v>过程窗口优化</x:v>
      </x:c>
      <x:c r="I603" s="95" t="str">
        <x:v>同时处理性能、可成膜、有效谱、成本和风险，而非只追单点电导率。</x:v>
      </x:c>
      <x:c r="J603" s="95" t="str">
        <x:v>用于混料/工艺设计空间、可行性模型、成本感知约束BO和自适应重复。</x:v>
      </x:c>
      <x:c r="K603" s="95" t="str">
        <x:v>可直接支撑当前EIS-only闭环。</x:v>
      </x:c>
      <x:c r="L603" s="95" t="str">
        <x:v>M2 扩展与复现（5–12月）</x:v>
      </x:c>
      <x:c r="M603" s="95" t="str">
        <x:v>按瓶颈接入</x:v>
      </x:c>
      <x:c r="N603" s="95" t="str">
        <x:v>P2</x:v>
      </x:c>
      <x:c r="O603" s="95" t="str">
        <x:v>https://proceedings.neurips.cc/paper_files/paper/2020/file/f5b1b89d98b7286673128a5fb112cb9a-Paper.pdf</x:v>
      </x:c>
      <x:c r="P603" s="96" t="str">
        <x:v>待评审</x:v>
      </x:c>
    </x:row>
    <x:row r="604">
      <x:c r="A604" s="94" t="str">
        <x:v>T0600</x:v>
      </x:c>
      <x:c r="B604" s="95" t="str">
        <x:v>实验设计与闭环优化</x:v>
      </x:c>
      <x:c r="C604" s="95" t="str">
        <x:v>多目标、约束、安全、成本与多保真优化</x:v>
      </x:c>
      <x:c r="D604" s="95" t="str">
        <x:v>核心必需</x:v>
      </x:c>
      <x:c r="E604" s="100" t="n">
        <x:v>12</x:v>
      </x:c>
      <x:c r="F604" s="95" t="str">
        <x:v>闭环优化</x:v>
      </x:c>
      <x:c r="G604" s="95" t="str">
        <x:v>D 闭环优化与高效实验</x:v>
      </x:c>
      <x:c r="H604" s="95" t="str">
        <x:v>安全屏蔽器</x:v>
      </x:c>
      <x:c r="I604" s="95" t="str">
        <x:v>同时处理性能、可成膜、有效谱、成本和风险，而非只追单点电导率。</x:v>
      </x:c>
      <x:c r="J604" s="95" t="str">
        <x:v>用于混料/工艺设计空间、可行性模型、成本感知约束BO和自适应重复。</x:v>
      </x:c>
      <x:c r="K604" s="95" t="str">
        <x:v>可直接支撑当前EIS-only闭环。</x:v>
      </x:c>
      <x:c r="L604" s="95" t="str">
        <x:v>M0 主流程接入（0–2月）</x:v>
      </x:c>
      <x:c r="M604" s="95" t="str">
        <x:v>首批接入</x:v>
      </x:c>
      <x:c r="N604" s="95" t="str">
        <x:v>P2</x:v>
      </x:c>
      <x:c r="O604" s="95" t="str">
        <x:v>https://www.itl.nist.gov/div898/handbook/</x:v>
      </x:c>
      <x:c r="P604" s="96" t="str">
        <x:v>待评审</x:v>
      </x:c>
    </x:row>
    <x:row r="605">
      <x:c r="A605" s="94" t="str">
        <x:v>T0601</x:v>
      </x:c>
      <x:c r="B605" s="95" t="str">
        <x:v>实验设计与闭环优化</x:v>
      </x:c>
      <x:c r="C605" s="95" t="str">
        <x:v>代理模型、不确定性与分布外识别</x:v>
      </x:c>
      <x:c r="D605" s="95" t="str">
        <x:v>核心必需</x:v>
      </x:c>
      <x:c r="E605" s="100" t="n">
        <x:v>12</x:v>
      </x:c>
      <x:c r="F605" s="95" t="str">
        <x:v>两线共用</x:v>
      </x:c>
      <x:c r="G605" s="95" t="str">
        <x:v>E 可信智能体与控制架构</x:v>
      </x:c>
      <x:c r="H605" s="95" t="str">
        <x:v>偶然不确定性</x:v>
      </x:c>
      <x:c r="I605" s="95" t="str">
        <x:v>区分数据噪声与知识不足，校准区间，在超出适用域时拒答。</x:v>
      </x:c>
      <x:c r="J605" s="95" t="str">
        <x:v>接入外部验证器、结构化输出、置信校准、拒答、权限与人工门禁。</x:v>
      </x:c>
      <x:c r="K605" s="95" t="str">
        <x:v>可直接支撑当前EIS-only闭环。</x:v>
      </x:c>
      <x:c r="L605" s="95" t="str">
        <x:v>M0 主流程接入（0–2月）</x:v>
      </x:c>
      <x:c r="M605" s="95" t="str">
        <x:v>首批接入</x:v>
      </x:c>
      <x:c r="N605" s="95" t="str">
        <x:v>P0</x:v>
      </x:c>
      <x:c r="O605" s="95" t="str">
        <x:v>https://www.nature.com/articles/s41467-024-45569-5</x:v>
      </x:c>
      <x:c r="P605" s="96" t="str">
        <x:v>待评审</x:v>
      </x:c>
    </x:row>
    <x:row r="606">
      <x:c r="A606" s="94" t="str">
        <x:v>T0602</x:v>
      </x:c>
      <x:c r="B606" s="95" t="str">
        <x:v>实验设计与闭环优化</x:v>
      </x:c>
      <x:c r="C606" s="95" t="str">
        <x:v>代理模型、不确定性与分布外识别</x:v>
      </x:c>
      <x:c r="D606" s="95" t="str">
        <x:v>核心必需</x:v>
      </x:c>
      <x:c r="E606" s="100" t="n">
        <x:v>12</x:v>
      </x:c>
      <x:c r="F606" s="95" t="str">
        <x:v>两线共用</x:v>
      </x:c>
      <x:c r="G606" s="95" t="str">
        <x:v>E 可信智能体与控制架构</x:v>
      </x:c>
      <x:c r="H606" s="95" t="str">
        <x:v>认知不确定性</x:v>
      </x:c>
      <x:c r="I606" s="95" t="str">
        <x:v>区分数据噪声与知识不足，校准区间，在超出适用域时拒答。</x:v>
      </x:c>
      <x:c r="J606" s="95" t="str">
        <x:v>接入外部验证器、结构化输出、置信校准、拒答、权限与人工门禁。</x:v>
      </x:c>
      <x:c r="K606" s="95" t="str">
        <x:v>可直接支撑当前EIS-only闭环。</x:v>
      </x:c>
      <x:c r="L606" s="95" t="str">
        <x:v>M0 主流程接入（0–2月）</x:v>
      </x:c>
      <x:c r="M606" s="95" t="str">
        <x:v>首批接入</x:v>
      </x:c>
      <x:c r="N606" s="95" t="str">
        <x:v>P0</x:v>
      </x:c>
      <x:c r="O606" s="95" t="str">
        <x:v>https://proceedings.neurips.cc/paper_files/paper/2020/file/f5b1b89d98b7286673128a5fb112cb9a-Paper.pdf</x:v>
      </x:c>
      <x:c r="P606" s="96" t="str">
        <x:v>待评审</x:v>
      </x:c>
    </x:row>
    <x:row r="607">
      <x:c r="A607" s="94" t="str">
        <x:v>T0603</x:v>
      </x:c>
      <x:c r="B607" s="95" t="str">
        <x:v>实验设计与闭环优化</x:v>
      </x:c>
      <x:c r="C607" s="95" t="str">
        <x:v>代理模型、不确定性与分布外识别</x:v>
      </x:c>
      <x:c r="D607" s="95" t="str">
        <x:v>核心必需</x:v>
      </x:c>
      <x:c r="E607" s="100" t="n">
        <x:v>12</x:v>
      </x:c>
      <x:c r="F607" s="95" t="str">
        <x:v>两线共用</x:v>
      </x:c>
      <x:c r="G607" s="95" t="str">
        <x:v>E 可信智能体与控制架构</x:v>
      </x:c>
      <x:c r="H607" s="95" t="str">
        <x:v>后验预测分布</x:v>
      </x:c>
      <x:c r="I607" s="95" t="str">
        <x:v>区分数据噪声与知识不足，校准区间，在超出适用域时拒答。</x:v>
      </x:c>
      <x:c r="J607" s="95" t="str">
        <x:v>接入外部验证器、结构化输出、置信校准、拒答、权限与人工门禁。</x:v>
      </x:c>
      <x:c r="K607" s="95" t="str">
        <x:v>可直接支撑当前EIS-only闭环。</x:v>
      </x:c>
      <x:c r="L607" s="95" t="str">
        <x:v>M0 主流程接入（0–2月）</x:v>
      </x:c>
      <x:c r="M607" s="95" t="str">
        <x:v>首批接入</x:v>
      </x:c>
      <x:c r="N607" s="95" t="str">
        <x:v>P0</x:v>
      </x:c>
      <x:c r="O607" s="95" t="str">
        <x:v>https://arxiv.org/abs/2107.07511</x:v>
      </x:c>
      <x:c r="P607" s="96" t="str">
        <x:v>待评审</x:v>
      </x:c>
    </x:row>
    <x:row r="608">
      <x:c r="A608" s="94" t="str">
        <x:v>T0604</x:v>
      </x:c>
      <x:c r="B608" s="95" t="str">
        <x:v>实验设计与闭环优化</x:v>
      </x:c>
      <x:c r="C608" s="95" t="str">
        <x:v>代理模型、不确定性与分布外识别</x:v>
      </x:c>
      <x:c r="D608" s="95" t="str">
        <x:v>核心必需</x:v>
      </x:c>
      <x:c r="E608" s="100" t="n">
        <x:v>12</x:v>
      </x:c>
      <x:c r="F608" s="95" t="str">
        <x:v>两线共用</x:v>
      </x:c>
      <x:c r="G608" s="95" t="str">
        <x:v>E 可信智能体与控制架构</x:v>
      </x:c>
      <x:c r="H608" s="95" t="str">
        <x:v>深度集成</x:v>
      </x:c>
      <x:c r="I608" s="95" t="str">
        <x:v>区分数据噪声与知识不足，校准区间，在超出适用域时拒答。</x:v>
      </x:c>
      <x:c r="J608" s="95" t="str">
        <x:v>接入外部验证器、结构化输出、置信校准、拒答、权限与人工门禁。</x:v>
      </x:c>
      <x:c r="K608" s="95" t="str">
        <x:v>可直接支撑当前EIS-only闭环。</x:v>
      </x:c>
      <x:c r="L608" s="95" t="str">
        <x:v>M1 前瞻验证（2–5月）</x:v>
      </x:c>
      <x:c r="M608" s="95" t="str">
        <x:v>第二批接入</x:v>
      </x:c>
      <x:c r="N608" s="95" t="str">
        <x:v>P0</x:v>
      </x:c>
      <x:c r="O608" s="95" t="str">
        <x:v>https://www.nature.com/articles/s41467-024-45569-5</x:v>
      </x:c>
      <x:c r="P608" s="96" t="str">
        <x:v>待评审</x:v>
      </x:c>
    </x:row>
    <x:row r="609">
      <x:c r="A609" s="94" t="str">
        <x:v>T0605</x:v>
      </x:c>
      <x:c r="B609" s="95" t="str">
        <x:v>实验设计与闭环优化</x:v>
      </x:c>
      <x:c r="C609" s="95" t="str">
        <x:v>代理模型、不确定性与分布外识别</x:v>
      </x:c>
      <x:c r="D609" s="95" t="str">
        <x:v>核心必需</x:v>
      </x:c>
      <x:c r="E609" s="100" t="n">
        <x:v>12</x:v>
      </x:c>
      <x:c r="F609" s="95" t="str">
        <x:v>两线共用</x:v>
      </x:c>
      <x:c r="G609" s="95" t="str">
        <x:v>E 可信智能体与控制架构</x:v>
      </x:c>
      <x:c r="H609" s="95" t="str">
        <x:v>MC Dropout</x:v>
      </x:c>
      <x:c r="I609" s="95" t="str">
        <x:v>区分数据噪声与知识不足，校准区间，在超出适用域时拒答。</x:v>
      </x:c>
      <x:c r="J609" s="95" t="str">
        <x:v>接入外部验证器、结构化输出、置信校准、拒答、权限与人工门禁。</x:v>
      </x:c>
      <x:c r="K609" s="95" t="str">
        <x:v>可直接支撑当前EIS-only闭环。</x:v>
      </x:c>
      <x:c r="L609" s="95" t="str">
        <x:v>M1 前瞻验证（2–5月）</x:v>
      </x:c>
      <x:c r="M609" s="95" t="str">
        <x:v>第二批接入</x:v>
      </x:c>
      <x:c r="N609" s="95" t="str">
        <x:v>P0</x:v>
      </x:c>
      <x:c r="O609" s="95" t="str">
        <x:v>https://proceedings.neurips.cc/paper_files/paper/2020/file/f5b1b89d98b7286673128a5fb112cb9a-Paper.pdf</x:v>
      </x:c>
      <x:c r="P609" s="96" t="str">
        <x:v>待评审</x:v>
      </x:c>
    </x:row>
    <x:row r="610">
      <x:c r="A610" s="94" t="str">
        <x:v>T0606</x:v>
      </x:c>
      <x:c r="B610" s="95" t="str">
        <x:v>实验设计与闭环优化</x:v>
      </x:c>
      <x:c r="C610" s="95" t="str">
        <x:v>代理模型、不确定性与分布外识别</x:v>
      </x:c>
      <x:c r="D610" s="95" t="str">
        <x:v>核心必需</x:v>
      </x:c>
      <x:c r="E610" s="100" t="n">
        <x:v>12</x:v>
      </x:c>
      <x:c r="F610" s="95" t="str">
        <x:v>两线共用</x:v>
      </x:c>
      <x:c r="G610" s="95" t="str">
        <x:v>E 可信智能体与控制架构</x:v>
      </x:c>
      <x:c r="H610" s="95" t="str">
        <x:v>贝叶斯神经网络</x:v>
      </x:c>
      <x:c r="I610" s="95" t="str">
        <x:v>区分数据噪声与知识不足，校准区间，在超出适用域时拒答。</x:v>
      </x:c>
      <x:c r="J610" s="95" t="str">
        <x:v>接入外部验证器、结构化输出、置信校准、拒答、权限与人工门禁。</x:v>
      </x:c>
      <x:c r="K610" s="95" t="str">
        <x:v>可直接支撑当前EIS-only闭环。</x:v>
      </x:c>
      <x:c r="L610" s="95" t="str">
        <x:v>M1 前瞻验证（2–5月）</x:v>
      </x:c>
      <x:c r="M610" s="95" t="str">
        <x:v>第二批接入</x:v>
      </x:c>
      <x:c r="N610" s="95" t="str">
        <x:v>P0</x:v>
      </x:c>
      <x:c r="O610" s="95" t="str">
        <x:v>https://arxiv.org/abs/2107.07511</x:v>
      </x:c>
      <x:c r="P610" s="96" t="str">
        <x:v>待评审</x:v>
      </x:c>
    </x:row>
    <x:row r="611">
      <x:c r="A611" s="94" t="str">
        <x:v>T0607</x:v>
      </x:c>
      <x:c r="B611" s="95" t="str">
        <x:v>实验设计与闭环优化</x:v>
      </x:c>
      <x:c r="C611" s="95" t="str">
        <x:v>代理模型、不确定性与分布外识别</x:v>
      </x:c>
      <x:c r="D611" s="95" t="str">
        <x:v>核心必需</x:v>
      </x:c>
      <x:c r="E611" s="100" t="n">
        <x:v>12</x:v>
      </x:c>
      <x:c r="F611" s="95" t="str">
        <x:v>两线共用</x:v>
      </x:c>
      <x:c r="G611" s="95" t="str">
        <x:v>E 可信智能体与控制架构</x:v>
      </x:c>
      <x:c r="H611" s="95" t="str">
        <x:v>Laplace近似</x:v>
      </x:c>
      <x:c r="I611" s="95" t="str">
        <x:v>区分数据噪声与知识不足，校准区间，在超出适用域时拒答。</x:v>
      </x:c>
      <x:c r="J611" s="95" t="str">
        <x:v>接入外部验证器、结构化输出、置信校准、拒答、权限与人工门禁。</x:v>
      </x:c>
      <x:c r="K611" s="95" t="str">
        <x:v>可直接支撑当前EIS-only闭环。</x:v>
      </x:c>
      <x:c r="L611" s="95" t="str">
        <x:v>M1 前瞻验证（2–5月）</x:v>
      </x:c>
      <x:c r="M611" s="95" t="str">
        <x:v>第二批接入</x:v>
      </x:c>
      <x:c r="N611" s="95" t="str">
        <x:v>P0</x:v>
      </x:c>
      <x:c r="O611" s="95" t="str">
        <x:v>https://www.nature.com/articles/s41467-024-45569-5</x:v>
      </x:c>
      <x:c r="P611" s="96" t="str">
        <x:v>待评审</x:v>
      </x:c>
    </x:row>
    <x:row r="612">
      <x:c r="A612" s="94" t="str">
        <x:v>T0608</x:v>
      </x:c>
      <x:c r="B612" s="95" t="str">
        <x:v>实验设计与闭环优化</x:v>
      </x:c>
      <x:c r="C612" s="95" t="str">
        <x:v>代理模型、不确定性与分布外识别</x:v>
      </x:c>
      <x:c r="D612" s="95" t="str">
        <x:v>核心必需</x:v>
      </x:c>
      <x:c r="E612" s="100" t="n">
        <x:v>12</x:v>
      </x:c>
      <x:c r="F612" s="95" t="str">
        <x:v>两线共用</x:v>
      </x:c>
      <x:c r="G612" s="95" t="str">
        <x:v>E 可信智能体与控制架构</x:v>
      </x:c>
      <x:c r="H612" s="95" t="str">
        <x:v>共形预测</x:v>
      </x:c>
      <x:c r="I612" s="95" t="str">
        <x:v>区分数据噪声与知识不足，校准区间，在超出适用域时拒答。</x:v>
      </x:c>
      <x:c r="J612" s="95" t="str">
        <x:v>接入外部验证器、结构化输出、置信校准、拒答、权限与人工门禁。</x:v>
      </x:c>
      <x:c r="K612" s="95" t="str">
        <x:v>可直接支撑当前EIS-only闭环。</x:v>
      </x:c>
      <x:c r="L612" s="95" t="str">
        <x:v>M1 前瞻验证（2–5月）</x:v>
      </x:c>
      <x:c r="M612" s="95" t="str">
        <x:v>第二批接入</x:v>
      </x:c>
      <x:c r="N612" s="95" t="str">
        <x:v>P0</x:v>
      </x:c>
      <x:c r="O612" s="95" t="str">
        <x:v>https://proceedings.neurips.cc/paper_files/paper/2020/file/f5b1b89d98b7286673128a5fb112cb9a-Paper.pdf</x:v>
      </x:c>
      <x:c r="P612" s="96" t="str">
        <x:v>待评审</x:v>
      </x:c>
    </x:row>
    <x:row r="613">
      <x:c r="A613" s="94" t="str">
        <x:v>T0609</x:v>
      </x:c>
      <x:c r="B613" s="95" t="str">
        <x:v>实验设计与闭环优化</x:v>
      </x:c>
      <x:c r="C613" s="95" t="str">
        <x:v>代理模型、不确定性与分布外识别</x:v>
      </x:c>
      <x:c r="D613" s="95" t="str">
        <x:v>核心必需</x:v>
      </x:c>
      <x:c r="E613" s="100" t="n">
        <x:v>12</x:v>
      </x:c>
      <x:c r="F613" s="95" t="str">
        <x:v>两线共用</x:v>
      </x:c>
      <x:c r="G613" s="95" t="str">
        <x:v>E 可信智能体与控制架构</x:v>
      </x:c>
      <x:c r="H613" s="95" t="str">
        <x:v>分位数回归</x:v>
      </x:c>
      <x:c r="I613" s="95" t="str">
        <x:v>区分数据噪声与知识不足，校准区间，在超出适用域时拒答。</x:v>
      </x:c>
      <x:c r="J613" s="95" t="str">
        <x:v>接入外部验证器、结构化输出、置信校准、拒答、权限与人工门禁。</x:v>
      </x:c>
      <x:c r="K613" s="95" t="str">
        <x:v>可直接支撑当前EIS-only闭环。</x:v>
      </x:c>
      <x:c r="L613" s="95" t="str">
        <x:v>M1 前瞻验证（2–5月）</x:v>
      </x:c>
      <x:c r="M613" s="95" t="str">
        <x:v>第二批接入</x:v>
      </x:c>
      <x:c r="N613" s="95" t="str">
        <x:v>P0</x:v>
      </x:c>
      <x:c r="O613" s="95" t="str">
        <x:v>https://arxiv.org/abs/2107.07511</x:v>
      </x:c>
      <x:c r="P613" s="96" t="str">
        <x:v>待评审</x:v>
      </x:c>
    </x:row>
    <x:row r="614">
      <x:c r="A614" s="94" t="str">
        <x:v>T0610</x:v>
      </x:c>
      <x:c r="B614" s="95" t="str">
        <x:v>实验设计与闭环优化</x:v>
      </x:c>
      <x:c r="C614" s="95" t="str">
        <x:v>代理模型、不确定性与分布外识别</x:v>
      </x:c>
      <x:c r="D614" s="95" t="str">
        <x:v>核心必需</x:v>
      </x:c>
      <x:c r="E614" s="100" t="n">
        <x:v>12</x:v>
      </x:c>
      <x:c r="F614" s="95" t="str">
        <x:v>两线共用</x:v>
      </x:c>
      <x:c r="G614" s="95" t="str">
        <x:v>E 可信智能体与控制架构</x:v>
      </x:c>
      <x:c r="H614" s="95" t="str">
        <x:v>自助法Bootstrap</x:v>
      </x:c>
      <x:c r="I614" s="95" t="str">
        <x:v>区分数据噪声与知识不足，校准区间，在超出适用域时拒答。</x:v>
      </x:c>
      <x:c r="J614" s="95" t="str">
        <x:v>接入外部验证器、结构化输出、置信校准、拒答、权限与人工门禁。</x:v>
      </x:c>
      <x:c r="K614" s="95" t="str">
        <x:v>可直接支撑当前EIS-only闭环。</x:v>
      </x:c>
      <x:c r="L614" s="95" t="str">
        <x:v>M1 前瞻验证（2–5月）</x:v>
      </x:c>
      <x:c r="M614" s="95" t="str">
        <x:v>第二批接入</x:v>
      </x:c>
      <x:c r="N614" s="95" t="str">
        <x:v>P0</x:v>
      </x:c>
      <x:c r="O614" s="95" t="str">
        <x:v>https://www.nature.com/articles/s41467-024-45569-5</x:v>
      </x:c>
      <x:c r="P614" s="96" t="str">
        <x:v>待评审</x:v>
      </x:c>
    </x:row>
    <x:row r="615">
      <x:c r="A615" s="94" t="str">
        <x:v>T0611</x:v>
      </x:c>
      <x:c r="B615" s="95" t="str">
        <x:v>实验设计与闭环优化</x:v>
      </x:c>
      <x:c r="C615" s="95" t="str">
        <x:v>代理模型、不确定性与分布外识别</x:v>
      </x:c>
      <x:c r="D615" s="95" t="str">
        <x:v>核心必需</x:v>
      </x:c>
      <x:c r="E615" s="100" t="n">
        <x:v>12</x:v>
      </x:c>
      <x:c r="F615" s="95" t="str">
        <x:v>两线共用</x:v>
      </x:c>
      <x:c r="G615" s="95" t="str">
        <x:v>E 可信智能体与控制架构</x:v>
      </x:c>
      <x:c r="H615" s="95" t="str">
        <x:v>Jackknife</x:v>
      </x:c>
      <x:c r="I615" s="95" t="str">
        <x:v>区分数据噪声与知识不足，校准区间，在超出适用域时拒答。</x:v>
      </x:c>
      <x:c r="J615" s="95" t="str">
        <x:v>接入外部验证器、结构化输出、置信校准、拒答、权限与人工门禁。</x:v>
      </x:c>
      <x:c r="K615" s="95" t="str">
        <x:v>可直接支撑当前EIS-only闭环。</x:v>
      </x:c>
      <x:c r="L615" s="95" t="str">
        <x:v>M1 前瞻验证（2–5月）</x:v>
      </x:c>
      <x:c r="M615" s="95" t="str">
        <x:v>第二批接入</x:v>
      </x:c>
      <x:c r="N615" s="95" t="str">
        <x:v>P1</x:v>
      </x:c>
      <x:c r="O615" s="95" t="str">
        <x:v>https://proceedings.neurips.cc/paper_files/paper/2020/file/f5b1b89d98b7286673128a5fb112cb9a-Paper.pdf</x:v>
      </x:c>
      <x:c r="P615" s="96" t="str">
        <x:v>待评审</x:v>
      </x:c>
    </x:row>
    <x:row r="616">
      <x:c r="A616" s="94" t="str">
        <x:v>T0612</x:v>
      </x:c>
      <x:c r="B616" s="95" t="str">
        <x:v>实验设计与闭环优化</x:v>
      </x:c>
      <x:c r="C616" s="95" t="str">
        <x:v>代理模型、不确定性与分布外识别</x:v>
      </x:c>
      <x:c r="D616" s="95" t="str">
        <x:v>核心必需</x:v>
      </x:c>
      <x:c r="E616" s="100" t="n">
        <x:v>12</x:v>
      </x:c>
      <x:c r="F616" s="95" t="str">
        <x:v>两线共用</x:v>
      </x:c>
      <x:c r="G616" s="95" t="str">
        <x:v>E 可信智能体与控制架构</x:v>
      </x:c>
      <x:c r="H616" s="95" t="str">
        <x:v>可靠性图</x:v>
      </x:c>
      <x:c r="I616" s="95" t="str">
        <x:v>区分数据噪声与知识不足，校准区间，在超出适用域时拒答。</x:v>
      </x:c>
      <x:c r="J616" s="95" t="str">
        <x:v>接入外部验证器、结构化输出、置信校准、拒答、权限与人工门禁。</x:v>
      </x:c>
      <x:c r="K616" s="95" t="str">
        <x:v>可直接支撑当前EIS-only闭环。</x:v>
      </x:c>
      <x:c r="L616" s="95" t="str">
        <x:v>M0 主流程接入（0–2月）</x:v>
      </x:c>
      <x:c r="M616" s="95" t="str">
        <x:v>首批接入</x:v>
      </x:c>
      <x:c r="N616" s="95" t="str">
        <x:v>P1</x:v>
      </x:c>
      <x:c r="O616" s="95" t="str">
        <x:v>https://arxiv.org/abs/2107.07511</x:v>
      </x:c>
      <x:c r="P616" s="96" t="str">
        <x:v>待评审</x:v>
      </x:c>
    </x:row>
    <x:row r="617">
      <x:c r="A617" s="94" t="str">
        <x:v>T0613</x:v>
      </x:c>
      <x:c r="B617" s="95" t="str">
        <x:v>实验设计与闭环优化</x:v>
      </x:c>
      <x:c r="C617" s="95" t="str">
        <x:v>代理模型、不确定性与分布外识别</x:v>
      </x:c>
      <x:c r="D617" s="95" t="str">
        <x:v>核心必需</x:v>
      </x:c>
      <x:c r="E617" s="100" t="n">
        <x:v>12</x:v>
      </x:c>
      <x:c r="F617" s="95" t="str">
        <x:v>两线共用</x:v>
      </x:c>
      <x:c r="G617" s="95" t="str">
        <x:v>E 可信智能体与控制架构</x:v>
      </x:c>
      <x:c r="H617" s="95" t="str">
        <x:v>期望校准误差</x:v>
      </x:c>
      <x:c r="I617" s="95" t="str">
        <x:v>区分数据噪声与知识不足，校准区间，在超出适用域时拒答。</x:v>
      </x:c>
      <x:c r="J617" s="95" t="str">
        <x:v>接入外部验证器、结构化输出、置信校准、拒答、权限与人工门禁。</x:v>
      </x:c>
      <x:c r="K617" s="95" t="str">
        <x:v>可直接支撑当前EIS-only闭环。</x:v>
      </x:c>
      <x:c r="L617" s="95" t="str">
        <x:v>M0 主流程接入（0–2月）</x:v>
      </x:c>
      <x:c r="M617" s="95" t="str">
        <x:v>首批接入</x:v>
      </x:c>
      <x:c r="N617" s="95" t="str">
        <x:v>P1</x:v>
      </x:c>
      <x:c r="O617" s="95" t="str">
        <x:v>https://www.nature.com/articles/s41467-024-45569-5</x:v>
      </x:c>
      <x:c r="P617" s="96" t="str">
        <x:v>待评审</x:v>
      </x:c>
    </x:row>
    <x:row r="618">
      <x:c r="A618" s="94" t="str">
        <x:v>T0614</x:v>
      </x:c>
      <x:c r="B618" s="95" t="str">
        <x:v>实验设计与闭环优化</x:v>
      </x:c>
      <x:c r="C618" s="95" t="str">
        <x:v>代理模型、不确定性与分布外识别</x:v>
      </x:c>
      <x:c r="D618" s="95" t="str">
        <x:v>核心必需</x:v>
      </x:c>
      <x:c r="E618" s="100" t="n">
        <x:v>12</x:v>
      </x:c>
      <x:c r="F618" s="95" t="str">
        <x:v>两线共用</x:v>
      </x:c>
      <x:c r="G618" s="95" t="str">
        <x:v>E 可信智能体与控制架构</x:v>
      </x:c>
      <x:c r="H618" s="95" t="str">
        <x:v>预测锐度</x:v>
      </x:c>
      <x:c r="I618" s="95" t="str">
        <x:v>区分数据噪声与知识不足，校准区间，在超出适用域时拒答。</x:v>
      </x:c>
      <x:c r="J618" s="95" t="str">
        <x:v>接入外部验证器、结构化输出、置信校准、拒答、权限与人工门禁。</x:v>
      </x:c>
      <x:c r="K618" s="95" t="str">
        <x:v>可直接支撑当前EIS-only闭环。</x:v>
      </x:c>
      <x:c r="L618" s="95" t="str">
        <x:v>M1 前瞻验证（2–5月）</x:v>
      </x:c>
      <x:c r="M618" s="95" t="str">
        <x:v>第二批接入</x:v>
      </x:c>
      <x:c r="N618" s="95" t="str">
        <x:v>P1</x:v>
      </x:c>
      <x:c r="O618" s="95" t="str">
        <x:v>https://proceedings.neurips.cc/paper_files/paper/2020/file/f5b1b89d98b7286673128a5fb112cb9a-Paper.pdf</x:v>
      </x:c>
      <x:c r="P618" s="96" t="str">
        <x:v>待评审</x:v>
      </x:c>
    </x:row>
    <x:row r="619">
      <x:c r="A619" s="94" t="str">
        <x:v>T0615</x:v>
      </x:c>
      <x:c r="B619" s="95" t="str">
        <x:v>实验设计与闭环优化</x:v>
      </x:c>
      <x:c r="C619" s="95" t="str">
        <x:v>代理模型、不确定性与分布外识别</x:v>
      </x:c>
      <x:c r="D619" s="95" t="str">
        <x:v>核心必需</x:v>
      </x:c>
      <x:c r="E619" s="100" t="n">
        <x:v>12</x:v>
      </x:c>
      <x:c r="F619" s="95" t="str">
        <x:v>两线共用</x:v>
      </x:c>
      <x:c r="G619" s="95" t="str">
        <x:v>E 可信智能体与控制架构</x:v>
      </x:c>
      <x:c r="H619" s="95" t="str">
        <x:v>区间覆盖率</x:v>
      </x:c>
      <x:c r="I619" s="95" t="str">
        <x:v>区分数据噪声与知识不足，校准区间，在超出适用域时拒答。</x:v>
      </x:c>
      <x:c r="J619" s="95" t="str">
        <x:v>接入外部验证器、结构化输出、置信校准、拒答、权限与人工门禁。</x:v>
      </x:c>
      <x:c r="K619" s="95" t="str">
        <x:v>可直接支撑当前EIS-only闭环。</x:v>
      </x:c>
      <x:c r="L619" s="95" t="str">
        <x:v>M0 主流程接入（0–2月）</x:v>
      </x:c>
      <x:c r="M619" s="95" t="str">
        <x:v>首批接入</x:v>
      </x:c>
      <x:c r="N619" s="95" t="str">
        <x:v>P1</x:v>
      </x:c>
      <x:c r="O619" s="95" t="str">
        <x:v>https://arxiv.org/abs/2107.07511</x:v>
      </x:c>
      <x:c r="P619" s="96" t="str">
        <x:v>待评审</x:v>
      </x:c>
    </x:row>
    <x:row r="620">
      <x:c r="A620" s="94" t="str">
        <x:v>T0616</x:v>
      </x:c>
      <x:c r="B620" s="95" t="str">
        <x:v>实验设计与闭环优化</x:v>
      </x:c>
      <x:c r="C620" s="95" t="str">
        <x:v>代理模型、不确定性与分布外识别</x:v>
      </x:c>
      <x:c r="D620" s="95" t="str">
        <x:v>核心必需</x:v>
      </x:c>
      <x:c r="E620" s="100" t="n">
        <x:v>12</x:v>
      </x:c>
      <x:c r="F620" s="95" t="str">
        <x:v>两线共用</x:v>
      </x:c>
      <x:c r="G620" s="95" t="str">
        <x:v>E 可信智能体与控制架构</x:v>
      </x:c>
      <x:c r="H620" s="95" t="str">
        <x:v>OOD检测</x:v>
      </x:c>
      <x:c r="I620" s="95" t="str">
        <x:v>区分数据噪声与知识不足，校准区间，在超出适用域时拒答。</x:v>
      </x:c>
      <x:c r="J620" s="95" t="str">
        <x:v>接入外部验证器、结构化输出、置信校准、拒答、权限与人工门禁。</x:v>
      </x:c>
      <x:c r="K620" s="95" t="str">
        <x:v>可直接支撑当前EIS-only闭环。</x:v>
      </x:c>
      <x:c r="L620" s="95" t="str">
        <x:v>M1 前瞻验证（2–5月）</x:v>
      </x:c>
      <x:c r="M620" s="95" t="str">
        <x:v>第二批接入</x:v>
      </x:c>
      <x:c r="N620" s="95" t="str">
        <x:v>P1</x:v>
      </x:c>
      <x:c r="O620" s="95" t="str">
        <x:v>https://www.nature.com/articles/s41467-024-45569-5</x:v>
      </x:c>
      <x:c r="P620" s="96" t="str">
        <x:v>待评审</x:v>
      </x:c>
    </x:row>
    <x:row r="621">
      <x:c r="A621" s="94" t="str">
        <x:v>T0617</x:v>
      </x:c>
      <x:c r="B621" s="95" t="str">
        <x:v>实验设计与闭环优化</x:v>
      </x:c>
      <x:c r="C621" s="95" t="str">
        <x:v>代理模型、不确定性与分布外识别</x:v>
      </x:c>
      <x:c r="D621" s="95" t="str">
        <x:v>核心必需</x:v>
      </x:c>
      <x:c r="E621" s="100" t="n">
        <x:v>12</x:v>
      </x:c>
      <x:c r="F621" s="95" t="str">
        <x:v>两线共用</x:v>
      </x:c>
      <x:c r="G621" s="95" t="str">
        <x:v>E 可信智能体与控制架构</x:v>
      </x:c>
      <x:c r="H621" s="95" t="str">
        <x:v>域偏移</x:v>
      </x:c>
      <x:c r="I621" s="95" t="str">
        <x:v>区分数据噪声与知识不足，校准区间，在超出适用域时拒答。</x:v>
      </x:c>
      <x:c r="J621" s="95" t="str">
        <x:v>接入外部验证器、结构化输出、置信校准、拒答、权限与人工门禁。</x:v>
      </x:c>
      <x:c r="K621" s="95" t="str">
        <x:v>可直接支撑当前EIS-only闭环。</x:v>
      </x:c>
      <x:c r="L621" s="95" t="str">
        <x:v>M1 前瞻验证（2–5月）</x:v>
      </x:c>
      <x:c r="M621" s="95" t="str">
        <x:v>第二批接入</x:v>
      </x:c>
      <x:c r="N621" s="95" t="str">
        <x:v>P1</x:v>
      </x:c>
      <x:c r="O621" s="95" t="str">
        <x:v>https://proceedings.neurips.cc/paper_files/paper/2020/file/f5b1b89d98b7286673128a5fb112cb9a-Paper.pdf</x:v>
      </x:c>
      <x:c r="P621" s="96" t="str">
        <x:v>待评审</x:v>
      </x:c>
    </x:row>
    <x:row r="622">
      <x:c r="A622" s="94" t="str">
        <x:v>T0618</x:v>
      </x:c>
      <x:c r="B622" s="95" t="str">
        <x:v>实验设计与闭环优化</x:v>
      </x:c>
      <x:c r="C622" s="95" t="str">
        <x:v>代理模型、不确定性与分布外识别</x:v>
      </x:c>
      <x:c r="D622" s="95" t="str">
        <x:v>核心必需</x:v>
      </x:c>
      <x:c r="E622" s="100" t="n">
        <x:v>12</x:v>
      </x:c>
      <x:c r="F622" s="95" t="str">
        <x:v>两线共用</x:v>
      </x:c>
      <x:c r="G622" s="95" t="str">
        <x:v>E 可信智能体与控制架构</x:v>
      </x:c>
      <x:c r="H622" s="95" t="str">
        <x:v>协变量偏移</x:v>
      </x:c>
      <x:c r="I622" s="95" t="str">
        <x:v>区分数据噪声与知识不足，校准区间，在超出适用域时拒答。</x:v>
      </x:c>
      <x:c r="J622" s="95" t="str">
        <x:v>接入外部验证器、结构化输出、置信校准、拒答、权限与人工门禁。</x:v>
      </x:c>
      <x:c r="K622" s="95" t="str">
        <x:v>可直接支撑当前EIS-only闭环。</x:v>
      </x:c>
      <x:c r="L622" s="95" t="str">
        <x:v>M1 前瞻验证（2–5月）</x:v>
      </x:c>
      <x:c r="M622" s="95" t="str">
        <x:v>第二批接入</x:v>
      </x:c>
      <x:c r="N622" s="95" t="str">
        <x:v>P1</x:v>
      </x:c>
      <x:c r="O622" s="95" t="str">
        <x:v>https://arxiv.org/abs/2107.07511</x:v>
      </x:c>
      <x:c r="P622" s="96" t="str">
        <x:v>待评审</x:v>
      </x:c>
    </x:row>
    <x:row r="623">
      <x:c r="A623" s="94" t="str">
        <x:v>T0619</x:v>
      </x:c>
      <x:c r="B623" s="95" t="str">
        <x:v>实验设计与闭环优化</x:v>
      </x:c>
      <x:c r="C623" s="95" t="str">
        <x:v>代理模型、不确定性与分布外识别</x:v>
      </x:c>
      <x:c r="D623" s="95" t="str">
        <x:v>核心必需</x:v>
      </x:c>
      <x:c r="E623" s="100" t="n">
        <x:v>12</x:v>
      </x:c>
      <x:c r="F623" s="95" t="str">
        <x:v>两线共用</x:v>
      </x:c>
      <x:c r="G623" s="95" t="str">
        <x:v>E 可信智能体与控制架构</x:v>
      </x:c>
      <x:c r="H623" s="95" t="str">
        <x:v>概念漂移</x:v>
      </x:c>
      <x:c r="I623" s="95" t="str">
        <x:v>区分数据噪声与知识不足，校准区间，在超出适用域时拒答。</x:v>
      </x:c>
      <x:c r="J623" s="95" t="str">
        <x:v>接入外部验证器、结构化输出、置信校准、拒答、权限与人工门禁。</x:v>
      </x:c>
      <x:c r="K623" s="95" t="str">
        <x:v>可直接支撑当前EIS-only闭环。</x:v>
      </x:c>
      <x:c r="L623" s="95" t="str">
        <x:v>M1 前瞻验证（2–5月）</x:v>
      </x:c>
      <x:c r="M623" s="95" t="str">
        <x:v>第二批接入</x:v>
      </x:c>
      <x:c r="N623" s="95" t="str">
        <x:v>P1</x:v>
      </x:c>
      <x:c r="O623" s="95" t="str">
        <x:v>https://www.nature.com/articles/s41467-024-45569-5</x:v>
      </x:c>
      <x:c r="P623" s="96" t="str">
        <x:v>待评审</x:v>
      </x:c>
    </x:row>
    <x:row r="624">
      <x:c r="A624" s="94" t="str">
        <x:v>T0620</x:v>
      </x:c>
      <x:c r="B624" s="95" t="str">
        <x:v>实验设计与闭环优化</x:v>
      </x:c>
      <x:c r="C624" s="95" t="str">
        <x:v>代理模型、不确定性与分布外识别</x:v>
      </x:c>
      <x:c r="D624" s="95" t="str">
        <x:v>核心必需</x:v>
      </x:c>
      <x:c r="E624" s="100" t="n">
        <x:v>12</x:v>
      </x:c>
      <x:c r="F624" s="95" t="str">
        <x:v>两线共用</x:v>
      </x:c>
      <x:c r="G624" s="95" t="str">
        <x:v>E 可信智能体与控制架构</x:v>
      </x:c>
      <x:c r="H624" s="95" t="str">
        <x:v>新颖性检测</x:v>
      </x:c>
      <x:c r="I624" s="95" t="str">
        <x:v>区分数据噪声与知识不足，校准区间，在超出适用域时拒答。</x:v>
      </x:c>
      <x:c r="J624" s="95" t="str">
        <x:v>接入外部验证器、结构化输出、置信校准、拒答、权限与人工门禁。</x:v>
      </x:c>
      <x:c r="K624" s="95" t="str">
        <x:v>可直接支撑当前EIS-only闭环。</x:v>
      </x:c>
      <x:c r="L624" s="95" t="str">
        <x:v>M1 前瞻验证（2–5月）</x:v>
      </x:c>
      <x:c r="M624" s="95" t="str">
        <x:v>第二批接入</x:v>
      </x:c>
      <x:c r="N624" s="95" t="str">
        <x:v>P1</x:v>
      </x:c>
      <x:c r="O624" s="95" t="str">
        <x:v>https://proceedings.neurips.cc/paper_files/paper/2020/file/f5b1b89d98b7286673128a5fb112cb9a-Paper.pdf</x:v>
      </x:c>
      <x:c r="P624" s="96" t="str">
        <x:v>待评审</x:v>
      </x:c>
    </x:row>
    <x:row r="625">
      <x:c r="A625" s="94" t="str">
        <x:v>T0621</x:v>
      </x:c>
      <x:c r="B625" s="95" t="str">
        <x:v>实验设计与闭环优化</x:v>
      </x:c>
      <x:c r="C625" s="95" t="str">
        <x:v>代理模型、不确定性与分布外识别</x:v>
      </x:c>
      <x:c r="D625" s="95" t="str">
        <x:v>核心必需</x:v>
      </x:c>
      <x:c r="E625" s="100" t="n">
        <x:v>12</x:v>
      </x:c>
      <x:c r="F625" s="95" t="str">
        <x:v>两线共用</x:v>
      </x:c>
      <x:c r="G625" s="95" t="str">
        <x:v>E 可信智能体与控制架构</x:v>
      </x:c>
      <x:c r="H625" s="95" t="str">
        <x:v>适用域</x:v>
      </x:c>
      <x:c r="I625" s="95" t="str">
        <x:v>区分数据噪声与知识不足，校准区间，在超出适用域时拒答。</x:v>
      </x:c>
      <x:c r="J625" s="95" t="str">
        <x:v>接入外部验证器、结构化输出、置信校准、拒答、权限与人工门禁。</x:v>
      </x:c>
      <x:c r="K625" s="95" t="str">
        <x:v>可直接支撑当前EIS-only闭环。</x:v>
      </x:c>
      <x:c r="L625" s="95" t="str">
        <x:v>M1 前瞻验证（2–5月）</x:v>
      </x:c>
      <x:c r="M625" s="95" t="str">
        <x:v>第二批接入</x:v>
      </x:c>
      <x:c r="N625" s="95" t="str">
        <x:v>P1</x:v>
      </x:c>
      <x:c r="O625" s="95" t="str">
        <x:v>https://arxiv.org/abs/2107.07511</x:v>
      </x:c>
      <x:c r="P625" s="96" t="str">
        <x:v>待评审</x:v>
      </x:c>
    </x:row>
    <x:row r="626">
      <x:c r="A626" s="94" t="str">
        <x:v>T0622</x:v>
      </x:c>
      <x:c r="B626" s="95" t="str">
        <x:v>实验设计与闭环优化</x:v>
      </x:c>
      <x:c r="C626" s="95" t="str">
        <x:v>代理模型、不确定性与分布外识别</x:v>
      </x:c>
      <x:c r="D626" s="95" t="str">
        <x:v>核心必需</x:v>
      </x:c>
      <x:c r="E626" s="100" t="n">
        <x:v>12</x:v>
      </x:c>
      <x:c r="F626" s="95" t="str">
        <x:v>两线共用</x:v>
      </x:c>
      <x:c r="G626" s="95" t="str">
        <x:v>E 可信智能体与控制架构</x:v>
      </x:c>
      <x:c r="H626" s="95" t="str">
        <x:v>杠杆值诊断</x:v>
      </x:c>
      <x:c r="I626" s="95" t="str">
        <x:v>区分数据噪声与知识不足，校准区间，在超出适用域时拒答。</x:v>
      </x:c>
      <x:c r="J626" s="95" t="str">
        <x:v>接入外部验证器、结构化输出、置信校准、拒答、权限与人工门禁。</x:v>
      </x:c>
      <x:c r="K626" s="95" t="str">
        <x:v>可直接支撑当前EIS-only闭环。</x:v>
      </x:c>
      <x:c r="L626" s="95" t="str">
        <x:v>M1 前瞻验证（2–5月）</x:v>
      </x:c>
      <x:c r="M626" s="95" t="str">
        <x:v>第二批接入</x:v>
      </x:c>
      <x:c r="N626" s="95" t="str">
        <x:v>P1</x:v>
      </x:c>
      <x:c r="O626" s="95" t="str">
        <x:v>https://www.nature.com/articles/s41467-024-45569-5</x:v>
      </x:c>
      <x:c r="P626" s="96" t="str">
        <x:v>待评审</x:v>
      </x:c>
    </x:row>
    <x:row r="627">
      <x:c r="A627" s="94" t="str">
        <x:v>T0623</x:v>
      </x:c>
      <x:c r="B627" s="95" t="str">
        <x:v>实验设计与闭环优化</x:v>
      </x:c>
      <x:c r="C627" s="95" t="str">
        <x:v>代理模型、不确定性与分布外识别</x:v>
      </x:c>
      <x:c r="D627" s="95" t="str">
        <x:v>核心必需</x:v>
      </x:c>
      <x:c r="E627" s="100" t="n">
        <x:v>12</x:v>
      </x:c>
      <x:c r="F627" s="95" t="str">
        <x:v>两线共用</x:v>
      </x:c>
      <x:c r="G627" s="95" t="str">
        <x:v>E 可信智能体与控制架构</x:v>
      </x:c>
      <x:c r="H627" s="95" t="str">
        <x:v>距离型不确定性</x:v>
      </x:c>
      <x:c r="I627" s="95" t="str">
        <x:v>区分数据噪声与知识不足，校准区间，在超出适用域时拒答。</x:v>
      </x:c>
      <x:c r="J627" s="95" t="str">
        <x:v>接入外部验证器、结构化输出、置信校准、拒答、权限与人工门禁。</x:v>
      </x:c>
      <x:c r="K627" s="95" t="str">
        <x:v>可直接支撑当前EIS-only闭环。</x:v>
      </x:c>
      <x:c r="L627" s="95" t="str">
        <x:v>M1 前瞻验证（2–5月）</x:v>
      </x:c>
      <x:c r="M627" s="95" t="str">
        <x:v>第二批接入</x:v>
      </x:c>
      <x:c r="N627" s="95" t="str">
        <x:v>P1</x:v>
      </x:c>
      <x:c r="O627" s="95" t="str">
        <x:v>https://proceedings.neurips.cc/paper_files/paper/2020/file/f5b1b89d98b7286673128a5fb112cb9a-Paper.pdf</x:v>
      </x:c>
      <x:c r="P627" s="96" t="str">
        <x:v>待评审</x:v>
      </x:c>
    </x:row>
    <x:row r="628">
      <x:c r="A628" s="94" t="str">
        <x:v>T0624</x:v>
      </x:c>
      <x:c r="B628" s="95" t="str">
        <x:v>实验设计与闭环优化</x:v>
      </x:c>
      <x:c r="C628" s="95" t="str">
        <x:v>代理模型、不确定性与分布外识别</x:v>
      </x:c>
      <x:c r="D628" s="95" t="str">
        <x:v>核心必需</x:v>
      </x:c>
      <x:c r="E628" s="100" t="n">
        <x:v>12</x:v>
      </x:c>
      <x:c r="F628" s="95" t="str">
        <x:v>两线共用</x:v>
      </x:c>
      <x:c r="G628" s="95" t="str">
        <x:v>E 可信智能体与控制架构</x:v>
      </x:c>
      <x:c r="H628" s="95" t="str">
        <x:v>密度估计</x:v>
      </x:c>
      <x:c r="I628" s="95" t="str">
        <x:v>区分数据噪声与知识不足，校准区间，在超出适用域时拒答。</x:v>
      </x:c>
      <x:c r="J628" s="95" t="str">
        <x:v>接入外部验证器、结构化输出、置信校准、拒答、权限与人工门禁。</x:v>
      </x:c>
      <x:c r="K628" s="95" t="str">
        <x:v>可直接支撑当前EIS-only闭环。</x:v>
      </x:c>
      <x:c r="L628" s="95" t="str">
        <x:v>M1 前瞻验证（2–5月）</x:v>
      </x:c>
      <x:c r="M628" s="95" t="str">
        <x:v>第二批接入</x:v>
      </x:c>
      <x:c r="N628" s="95" t="str">
        <x:v>P1</x:v>
      </x:c>
      <x:c r="O628" s="95" t="str">
        <x:v>https://arxiv.org/abs/2107.07511</x:v>
      </x:c>
      <x:c r="P628" s="96" t="str">
        <x:v>待评审</x:v>
      </x:c>
    </x:row>
    <x:row r="629">
      <x:c r="A629" s="94" t="str">
        <x:v>T0625</x:v>
      </x:c>
      <x:c r="B629" s="95" t="str">
        <x:v>实验设计与闭环优化</x:v>
      </x:c>
      <x:c r="C629" s="95" t="str">
        <x:v>代理模型、不确定性与分布外识别</x:v>
      </x:c>
      <x:c r="D629" s="95" t="str">
        <x:v>核心必需</x:v>
      </x:c>
      <x:c r="E629" s="100" t="n">
        <x:v>12</x:v>
      </x:c>
      <x:c r="F629" s="95" t="str">
        <x:v>两线共用</x:v>
      </x:c>
      <x:c r="G629" s="95" t="str">
        <x:v>E 可信智能体与控制架构</x:v>
      </x:c>
      <x:c r="H629" s="95" t="str">
        <x:v>不确定性分解</x:v>
      </x:c>
      <x:c r="I629" s="95" t="str">
        <x:v>区分数据噪声与知识不足，校准区间，在超出适用域时拒答。</x:v>
      </x:c>
      <x:c r="J629" s="95" t="str">
        <x:v>接入外部验证器、结构化输出、置信校准、拒答、权限与人工门禁。</x:v>
      </x:c>
      <x:c r="K629" s="95" t="str">
        <x:v>可直接支撑当前EIS-only闭环。</x:v>
      </x:c>
      <x:c r="L629" s="95" t="str">
        <x:v>M1 前瞻验证（2–5月）</x:v>
      </x:c>
      <x:c r="M629" s="95" t="str">
        <x:v>第二批接入</x:v>
      </x:c>
      <x:c r="N629" s="95" t="str">
        <x:v>P1</x:v>
      </x:c>
      <x:c r="O629" s="95" t="str">
        <x:v>https://www.nature.com/articles/s41467-024-45569-5</x:v>
      </x:c>
      <x:c r="P629" s="96" t="str">
        <x:v>待评审</x:v>
      </x:c>
    </x:row>
    <x:row r="630">
      <x:c r="A630" s="94" t="str">
        <x:v>T0626</x:v>
      </x:c>
      <x:c r="B630" s="95" t="str">
        <x:v>实验设计与闭环优化</x:v>
      </x:c>
      <x:c r="C630" s="95" t="str">
        <x:v>代理模型、不确定性与分布外识别</x:v>
      </x:c>
      <x:c r="D630" s="95" t="str">
        <x:v>核心必需</x:v>
      </x:c>
      <x:c r="E630" s="100" t="n">
        <x:v>12</x:v>
      </x:c>
      <x:c r="F630" s="95" t="str">
        <x:v>两线共用</x:v>
      </x:c>
      <x:c r="G630" s="95" t="str">
        <x:v>E 可信智能体与控制架构</x:v>
      </x:c>
      <x:c r="H630" s="95" t="str">
        <x:v>误差代理模型</x:v>
      </x:c>
      <x:c r="I630" s="95" t="str">
        <x:v>区分数据噪声与知识不足，校准区间，在超出适用域时拒答。</x:v>
      </x:c>
      <x:c r="J630" s="95" t="str">
        <x:v>接入外部验证器、结构化输出、置信校准、拒答、权限与人工门禁。</x:v>
      </x:c>
      <x:c r="K630" s="95" t="str">
        <x:v>可直接支撑当前EIS-only闭环。</x:v>
      </x:c>
      <x:c r="L630" s="95" t="str">
        <x:v>M1 前瞻验证（2–5月）</x:v>
      </x:c>
      <x:c r="M630" s="95" t="str">
        <x:v>第二批接入</x:v>
      </x:c>
      <x:c r="N630" s="95" t="str">
        <x:v>P1</x:v>
      </x:c>
      <x:c r="O630" s="95" t="str">
        <x:v>https://proceedings.neurips.cc/paper_files/paper/2020/file/f5b1b89d98b7286673128a5fb112cb9a-Paper.pdf</x:v>
      </x:c>
      <x:c r="P630" s="96" t="str">
        <x:v>待评审</x:v>
      </x:c>
    </x:row>
    <x:row r="631">
      <x:c r="A631" s="94" t="str">
        <x:v>T0627</x:v>
      </x:c>
      <x:c r="B631" s="95" t="str">
        <x:v>实验设计与闭环优化</x:v>
      </x:c>
      <x:c r="C631" s="95" t="str">
        <x:v>代理模型、不确定性与分布外识别</x:v>
      </x:c>
      <x:c r="D631" s="95" t="str">
        <x:v>核心必需</x:v>
      </x:c>
      <x:c r="E631" s="100" t="n">
        <x:v>12</x:v>
      </x:c>
      <x:c r="F631" s="95" t="str">
        <x:v>两线共用</x:v>
      </x:c>
      <x:c r="G631" s="95" t="str">
        <x:v>E 可信智能体与控制架构</x:v>
      </x:c>
      <x:c r="H631" s="95" t="str">
        <x:v>残差建模</x:v>
      </x:c>
      <x:c r="I631" s="95" t="str">
        <x:v>区分数据噪声与知识不足，校准区间，在超出适用域时拒答。</x:v>
      </x:c>
      <x:c r="J631" s="95" t="str">
        <x:v>接入外部验证器、结构化输出、置信校准、拒答、权限与人工门禁。</x:v>
      </x:c>
      <x:c r="K631" s="95" t="str">
        <x:v>可直接支撑当前EIS-only闭环。</x:v>
      </x:c>
      <x:c r="L631" s="95" t="str">
        <x:v>M1 前瞻验证（2–5月）</x:v>
      </x:c>
      <x:c r="M631" s="95" t="str">
        <x:v>第二批接入</x:v>
      </x:c>
      <x:c r="N631" s="95" t="str">
        <x:v>P1</x:v>
      </x:c>
      <x:c r="O631" s="95" t="str">
        <x:v>https://arxiv.org/abs/2107.07511</x:v>
      </x:c>
      <x:c r="P631" s="96" t="str">
        <x:v>待评审</x:v>
      </x:c>
    </x:row>
    <x:row r="632">
      <x:c r="A632" s="94" t="str">
        <x:v>T0628</x:v>
      </x:c>
      <x:c r="B632" s="95" t="str">
        <x:v>实验设计与闭环优化</x:v>
      </x:c>
      <x:c r="C632" s="95" t="str">
        <x:v>代理模型、不确定性与分布外识别</x:v>
      </x:c>
      <x:c r="D632" s="95" t="str">
        <x:v>核心必需</x:v>
      </x:c>
      <x:c r="E632" s="100" t="n">
        <x:v>12</x:v>
      </x:c>
      <x:c r="F632" s="95" t="str">
        <x:v>两线共用</x:v>
      </x:c>
      <x:c r="G632" s="95" t="str">
        <x:v>E 可信智能体与控制架构</x:v>
      </x:c>
      <x:c r="H632" s="95" t="str">
        <x:v>异方差误差</x:v>
      </x:c>
      <x:c r="I632" s="95" t="str">
        <x:v>区分数据噪声与知识不足，校准区间，在超出适用域时拒答。</x:v>
      </x:c>
      <x:c r="J632" s="95" t="str">
        <x:v>接入外部验证器、结构化输出、置信校准、拒答、权限与人工门禁。</x:v>
      </x:c>
      <x:c r="K632" s="95" t="str">
        <x:v>可直接支撑当前EIS-only闭环。</x:v>
      </x:c>
      <x:c r="L632" s="95" t="str">
        <x:v>M1 前瞻验证（2–5月）</x:v>
      </x:c>
      <x:c r="M632" s="95" t="str">
        <x:v>第二批接入</x:v>
      </x:c>
      <x:c r="N632" s="95" t="str">
        <x:v>P1</x:v>
      </x:c>
      <x:c r="O632" s="95" t="str">
        <x:v>https://www.nature.com/articles/s41467-024-45569-5</x:v>
      </x:c>
      <x:c r="P632" s="96" t="str">
        <x:v>待评审</x:v>
      </x:c>
    </x:row>
    <x:row r="633">
      <x:c r="A633" s="94" t="str">
        <x:v>T0629</x:v>
      </x:c>
      <x:c r="B633" s="95" t="str">
        <x:v>实验设计与闭环优化</x:v>
      </x:c>
      <x:c r="C633" s="95" t="str">
        <x:v>代理模型、不确定性与分布外识别</x:v>
      </x:c>
      <x:c r="D633" s="95" t="str">
        <x:v>核心必需</x:v>
      </x:c>
      <x:c r="E633" s="100" t="n">
        <x:v>12</x:v>
      </x:c>
      <x:c r="F633" s="95" t="str">
        <x:v>两线共用</x:v>
      </x:c>
      <x:c r="G633" s="95" t="str">
        <x:v>E 可信智能体与控制架构</x:v>
      </x:c>
      <x:c r="H633" s="95" t="str">
        <x:v>相关输出建模</x:v>
      </x:c>
      <x:c r="I633" s="95" t="str">
        <x:v>区分数据噪声与知识不足，校准区间，在超出适用域时拒答。</x:v>
      </x:c>
      <x:c r="J633" s="95" t="str">
        <x:v>接入外部验证器、结构化输出、置信校准、拒答、权限与人工门禁。</x:v>
      </x:c>
      <x:c r="K633" s="95" t="str">
        <x:v>可直接支撑当前EIS-only闭环。</x:v>
      </x:c>
      <x:c r="L633" s="95" t="str">
        <x:v>M1 前瞻验证（2–5月）</x:v>
      </x:c>
      <x:c r="M633" s="95" t="str">
        <x:v>第二批接入</x:v>
      </x:c>
      <x:c r="N633" s="95" t="str">
        <x:v>P2</x:v>
      </x:c>
      <x:c r="O633" s="95" t="str">
        <x:v>https://proceedings.neurips.cc/paper_files/paper/2020/file/f5b1b89d98b7286673128a5fb112cb9a-Paper.pdf</x:v>
      </x:c>
      <x:c r="P633" s="96" t="str">
        <x:v>待评审</x:v>
      </x:c>
    </x:row>
    <x:row r="634">
      <x:c r="A634" s="94" t="str">
        <x:v>T0630</x:v>
      </x:c>
      <x:c r="B634" s="95" t="str">
        <x:v>实验设计与闭环优化</x:v>
      </x:c>
      <x:c r="C634" s="95" t="str">
        <x:v>代理模型、不确定性与分布外识别</x:v>
      </x:c>
      <x:c r="D634" s="95" t="str">
        <x:v>核心必需</x:v>
      </x:c>
      <x:c r="E634" s="100" t="n">
        <x:v>12</x:v>
      </x:c>
      <x:c r="F634" s="95" t="str">
        <x:v>两线共用</x:v>
      </x:c>
      <x:c r="G634" s="95" t="str">
        <x:v>E 可信智能体与控制架构</x:v>
      </x:c>
      <x:c r="H634" s="95" t="str">
        <x:v>多输出高斯过程</x:v>
      </x:c>
      <x:c r="I634" s="95" t="str">
        <x:v>区分数据噪声与知识不足，校准区间，在超出适用域时拒答。</x:v>
      </x:c>
      <x:c r="J634" s="95" t="str">
        <x:v>接入外部验证器、结构化输出、置信校准、拒答、权限与人工门禁。</x:v>
      </x:c>
      <x:c r="K634" s="95" t="str">
        <x:v>可直接支撑当前EIS-only闭环。</x:v>
      </x:c>
      <x:c r="L634" s="95" t="str">
        <x:v>M1 前瞻验证（2–5月）</x:v>
      </x:c>
      <x:c r="M634" s="95" t="str">
        <x:v>第二批接入</x:v>
      </x:c>
      <x:c r="N634" s="95" t="str">
        <x:v>P2</x:v>
      </x:c>
      <x:c r="O634" s="95" t="str">
        <x:v>https://arxiv.org/abs/2107.07511</x:v>
      </x:c>
      <x:c r="P634" s="96" t="str">
        <x:v>待评审</x:v>
      </x:c>
    </x:row>
    <x:row r="635">
      <x:c r="A635" s="94" t="str">
        <x:v>T0631</x:v>
      </x:c>
      <x:c r="B635" s="95" t="str">
        <x:v>实验设计与闭环优化</x:v>
      </x:c>
      <x:c r="C635" s="95" t="str">
        <x:v>代理模型、不确定性与分布外识别</x:v>
      </x:c>
      <x:c r="D635" s="95" t="str">
        <x:v>核心必需</x:v>
      </x:c>
      <x:c r="E635" s="100" t="n">
        <x:v>12</x:v>
      </x:c>
      <x:c r="F635" s="95" t="str">
        <x:v>两线共用</x:v>
      </x:c>
      <x:c r="G635" s="95" t="str">
        <x:v>E 可信智能体与控制架构</x:v>
      </x:c>
      <x:c r="H635" s="95" t="str">
        <x:v>潜变量代理</x:v>
      </x:c>
      <x:c r="I635" s="95" t="str">
        <x:v>区分数据噪声与知识不足，校准区间，在超出适用域时拒答。</x:v>
      </x:c>
      <x:c r="J635" s="95" t="str">
        <x:v>接入外部验证器、结构化输出、置信校准、拒答、权限与人工门禁。</x:v>
      </x:c>
      <x:c r="K635" s="95" t="str">
        <x:v>可直接支撑当前EIS-only闭环。</x:v>
      </x:c>
      <x:c r="L635" s="95" t="str">
        <x:v>M1 前瞻验证（2–5月）</x:v>
      </x:c>
      <x:c r="M635" s="95" t="str">
        <x:v>第二批接入</x:v>
      </x:c>
      <x:c r="N635" s="95" t="str">
        <x:v>P2</x:v>
      </x:c>
      <x:c r="O635" s="95" t="str">
        <x:v>https://www.nature.com/articles/s41467-024-45569-5</x:v>
      </x:c>
      <x:c r="P635" s="96" t="str">
        <x:v>待评审</x:v>
      </x:c>
    </x:row>
    <x:row r="636">
      <x:c r="A636" s="94" t="str">
        <x:v>T0632</x:v>
      </x:c>
      <x:c r="B636" s="95" t="str">
        <x:v>实验设计与闭环优化</x:v>
      </x:c>
      <x:c r="C636" s="95" t="str">
        <x:v>代理模型、不确定性与分布外识别</x:v>
      </x:c>
      <x:c r="D636" s="95" t="str">
        <x:v>核心必需</x:v>
      </x:c>
      <x:c r="E636" s="100" t="n">
        <x:v>12</x:v>
      </x:c>
      <x:c r="F636" s="95" t="str">
        <x:v>两线共用</x:v>
      </x:c>
      <x:c r="G636" s="95" t="str">
        <x:v>E 可信智能体与控制架构</x:v>
      </x:c>
      <x:c r="H636" s="95" t="str">
        <x:v>代理模型外部验证</x:v>
      </x:c>
      <x:c r="I636" s="95" t="str">
        <x:v>区分数据噪声与知识不足，校准区间，在超出适用域时拒答。</x:v>
      </x:c>
      <x:c r="J636" s="95" t="str">
        <x:v>接入外部验证器、结构化输出、置信校准、拒答、权限与人工门禁。</x:v>
      </x:c>
      <x:c r="K636" s="95" t="str">
        <x:v>可直接支撑当前EIS-only闭环。</x:v>
      </x:c>
      <x:c r="L636" s="95" t="str">
        <x:v>M0 主流程接入（0–2月）</x:v>
      </x:c>
      <x:c r="M636" s="95" t="str">
        <x:v>首批接入</x:v>
      </x:c>
      <x:c r="N636" s="95" t="str">
        <x:v>P2</x:v>
      </x:c>
      <x:c r="O636" s="95" t="str">
        <x:v>https://proceedings.neurips.cc/paper_files/paper/2020/file/f5b1b89d98b7286673128a5fb112cb9a-Paper.pdf</x:v>
      </x:c>
      <x:c r="P636" s="96" t="str">
        <x:v>待评审</x:v>
      </x:c>
    </x:row>
    <x:row r="637">
      <x:c r="A637" s="94" t="str">
        <x:v>T0633</x:v>
      </x:c>
      <x:c r="B637" s="95" t="str">
        <x:v>实验设计与闭环优化</x:v>
      </x:c>
      <x:c r="C637" s="95" t="str">
        <x:v>代理模型、不确定性与分布外识别</x:v>
      </x:c>
      <x:c r="D637" s="95" t="str">
        <x:v>核心必需</x:v>
      </x:c>
      <x:c r="E637" s="100" t="n">
        <x:v>12</x:v>
      </x:c>
      <x:c r="F637" s="95" t="str">
        <x:v>两线共用</x:v>
      </x:c>
      <x:c r="G637" s="95" t="str">
        <x:v>E 可信智能体与控制架构</x:v>
      </x:c>
      <x:c r="H637" s="95" t="str">
        <x:v>分组交叉验证</x:v>
      </x:c>
      <x:c r="I637" s="95" t="str">
        <x:v>区分数据噪声与知识不足，校准区间，在超出适用域时拒答。</x:v>
      </x:c>
      <x:c r="J637" s="95" t="str">
        <x:v>接入外部验证器、结构化输出、置信校准、拒答、权限与人工门禁。</x:v>
      </x:c>
      <x:c r="K637" s="95" t="str">
        <x:v>可直接支撑当前EIS-only闭环。</x:v>
      </x:c>
      <x:c r="L637" s="95" t="str">
        <x:v>M1 前瞻验证（2–5月）</x:v>
      </x:c>
      <x:c r="M637" s="95" t="str">
        <x:v>第二批接入</x:v>
      </x:c>
      <x:c r="N637" s="95" t="str">
        <x:v>P2</x:v>
      </x:c>
      <x:c r="O637" s="95" t="str">
        <x:v>https://arxiv.org/abs/2107.07511</x:v>
      </x:c>
      <x:c r="P637" s="96" t="str">
        <x:v>待评审</x:v>
      </x:c>
    </x:row>
    <x:row r="638">
      <x:c r="A638" s="94" t="str">
        <x:v>T0634</x:v>
      </x:c>
      <x:c r="B638" s="95" t="str">
        <x:v>实验设计与闭环优化</x:v>
      </x:c>
      <x:c r="C638" s="95" t="str">
        <x:v>代理模型、不确定性与分布外识别</x:v>
      </x:c>
      <x:c r="D638" s="95" t="str">
        <x:v>核心必需</x:v>
      </x:c>
      <x:c r="E638" s="100" t="n">
        <x:v>12</x:v>
      </x:c>
      <x:c r="F638" s="95" t="str">
        <x:v>两线共用</x:v>
      </x:c>
      <x:c r="G638" s="95" t="str">
        <x:v>E 可信智能体与控制架构</x:v>
      </x:c>
      <x:c r="H638" s="95" t="str">
        <x:v>时间切分验证</x:v>
      </x:c>
      <x:c r="I638" s="95" t="str">
        <x:v>区分数据噪声与知识不足，校准区间，在超出适用域时拒答。</x:v>
      </x:c>
      <x:c r="J638" s="95" t="str">
        <x:v>接入外部验证器、结构化输出、置信校准、拒答、权限与人工门禁。</x:v>
      </x:c>
      <x:c r="K638" s="95" t="str">
        <x:v>可直接支撑当前EIS-only闭环。</x:v>
      </x:c>
      <x:c r="L638" s="95" t="str">
        <x:v>M1 前瞻验证（2–5月）</x:v>
      </x:c>
      <x:c r="M638" s="95" t="str">
        <x:v>第二批接入</x:v>
      </x:c>
      <x:c r="N638" s="95" t="str">
        <x:v>P2</x:v>
      </x:c>
      <x:c r="O638" s="95" t="str">
        <x:v>https://www.nature.com/articles/s41467-024-45569-5</x:v>
      </x:c>
      <x:c r="P638" s="96" t="str">
        <x:v>待评审</x:v>
      </x:c>
    </x:row>
    <x:row r="639">
      <x:c r="A639" s="94" t="str">
        <x:v>T0635</x:v>
      </x:c>
      <x:c r="B639" s="95" t="str">
        <x:v>实验设计与闭环优化</x:v>
      </x:c>
      <x:c r="C639" s="95" t="str">
        <x:v>代理模型、不确定性与分布外识别</x:v>
      </x:c>
      <x:c r="D639" s="95" t="str">
        <x:v>核心必需</x:v>
      </x:c>
      <x:c r="E639" s="100" t="n">
        <x:v>12</x:v>
      </x:c>
      <x:c r="F639" s="95" t="str">
        <x:v>两线共用</x:v>
      </x:c>
      <x:c r="G639" s="95" t="str">
        <x:v>E 可信智能体与控制架构</x:v>
      </x:c>
      <x:c r="H639" s="95" t="str">
        <x:v>主动校准</x:v>
      </x:c>
      <x:c r="I639" s="95" t="str">
        <x:v>区分数据噪声与知识不足，校准区间，在超出适用域时拒答。</x:v>
      </x:c>
      <x:c r="J639" s="95" t="str">
        <x:v>接入外部验证器、结构化输出、置信校准、拒答、权限与人工门禁。</x:v>
      </x:c>
      <x:c r="K639" s="95" t="str">
        <x:v>可直接支撑当前EIS-only闭环。</x:v>
      </x:c>
      <x:c r="L639" s="95" t="str">
        <x:v>M1 前瞻验证（2–5月）</x:v>
      </x:c>
      <x:c r="M639" s="95" t="str">
        <x:v>第二批接入</x:v>
      </x:c>
      <x:c r="N639" s="95" t="str">
        <x:v>P2</x:v>
      </x:c>
      <x:c r="O639" s="95" t="str">
        <x:v>https://proceedings.neurips.cc/paper_files/paper/2020/file/f5b1b89d98b7286673128a5fb112cb9a-Paper.pdf</x:v>
      </x:c>
      <x:c r="P639" s="96" t="str">
        <x:v>待评审</x:v>
      </x:c>
    </x:row>
    <x:row r="640">
      <x:c r="A640" s="94" t="str">
        <x:v>T0636</x:v>
      </x:c>
      <x:c r="B640" s="95" t="str">
        <x:v>实验设计与闭环优化</x:v>
      </x:c>
      <x:c r="C640" s="95" t="str">
        <x:v>代理模型、不确定性与分布外识别</x:v>
      </x:c>
      <x:c r="D640" s="95" t="str">
        <x:v>核心必需</x:v>
      </x:c>
      <x:c r="E640" s="100" t="n">
        <x:v>12</x:v>
      </x:c>
      <x:c r="F640" s="95" t="str">
        <x:v>两线共用</x:v>
      </x:c>
      <x:c r="G640" s="95" t="str">
        <x:v>E 可信智能体与控制架构</x:v>
      </x:c>
      <x:c r="H640" s="95" t="str">
        <x:v>拒绝/弃权机制</x:v>
      </x:c>
      <x:c r="I640" s="95" t="str">
        <x:v>区分数据噪声与知识不足，校准区间，在超出适用域时拒答。</x:v>
      </x:c>
      <x:c r="J640" s="95" t="str">
        <x:v>接入外部验证器、结构化输出、置信校准、拒答、权限与人工门禁。</x:v>
      </x:c>
      <x:c r="K640" s="95" t="str">
        <x:v>可直接支撑当前EIS-only闭环。</x:v>
      </x:c>
      <x:c r="L640" s="95" t="str">
        <x:v>M0 主流程接入（0–2月）</x:v>
      </x:c>
      <x:c r="M640" s="95" t="str">
        <x:v>首批接入</x:v>
      </x:c>
      <x:c r="N640" s="95" t="str">
        <x:v>P2</x:v>
      </x:c>
      <x:c r="O640" s="95" t="str">
        <x:v>https://arxiv.org/abs/2107.07511</x:v>
      </x:c>
      <x:c r="P640" s="96" t="str">
        <x:v>待评审</x:v>
      </x:c>
    </x:row>
    <x:row r="641">
      <x:c r="A641" s="94" t="str">
        <x:v>T0637</x:v>
      </x:c>
      <x:c r="B641" s="95" t="str">
        <x:v>实验设计与闭环优化</x:v>
      </x:c>
      <x:c r="C641" s="95" t="str">
        <x:v>代理模型、不确定性与分布外识别</x:v>
      </x:c>
      <x:c r="D641" s="95" t="str">
        <x:v>核心必需</x:v>
      </x:c>
      <x:c r="E641" s="100" t="n">
        <x:v>12</x:v>
      </x:c>
      <x:c r="F641" s="95" t="str">
        <x:v>两线共用</x:v>
      </x:c>
      <x:c r="G641" s="95" t="str">
        <x:v>E 可信智能体与控制架构</x:v>
      </x:c>
      <x:c r="H641" s="95" t="str">
        <x:v>不确定性传播</x:v>
      </x:c>
      <x:c r="I641" s="95" t="str">
        <x:v>区分数据噪声与知识不足，校准区间，在超出适用域时拒答。</x:v>
      </x:c>
      <x:c r="J641" s="95" t="str">
        <x:v>接入外部验证器、结构化输出、置信校准、拒答、权限与人工门禁。</x:v>
      </x:c>
      <x:c r="K641" s="95" t="str">
        <x:v>可直接支撑当前EIS-only闭环。</x:v>
      </x:c>
      <x:c r="L641" s="95" t="str">
        <x:v>M1 前瞻验证（2–5月）</x:v>
      </x:c>
      <x:c r="M641" s="95" t="str">
        <x:v>第二批接入</x:v>
      </x:c>
      <x:c r="N641" s="95" t="str">
        <x:v>P2</x:v>
      </x:c>
      <x:c r="O641" s="95" t="str">
        <x:v>https://www.nature.com/articles/s41467-024-45569-5</x:v>
      </x:c>
      <x:c r="P641" s="96" t="str">
        <x:v>待评审</x:v>
      </x:c>
    </x:row>
    <x:row r="642">
      <x:c r="A642" s="94" t="str">
        <x:v>T0638</x:v>
      </x:c>
      <x:c r="B642" s="95" t="str">
        <x:v>实验设计与闭环优化</x:v>
      </x:c>
      <x:c r="C642" s="95" t="str">
        <x:v>代理模型、不确定性与分布外识别</x:v>
      </x:c>
      <x:c r="D642" s="95" t="str">
        <x:v>核心必需</x:v>
      </x:c>
      <x:c r="E642" s="100" t="n">
        <x:v>12</x:v>
      </x:c>
      <x:c r="F642" s="95" t="str">
        <x:v>两线共用</x:v>
      </x:c>
      <x:c r="G642" s="95" t="str">
        <x:v>E 可信智能体与控制架构</x:v>
      </x:c>
      <x:c r="H642" s="95" t="str">
        <x:v>全局敏感性分析</x:v>
      </x:c>
      <x:c r="I642" s="95" t="str">
        <x:v>区分数据噪声与知识不足，校准区间，在超出适用域时拒答。</x:v>
      </x:c>
      <x:c r="J642" s="95" t="str">
        <x:v>接入外部验证器、结构化输出、置信校准、拒答、权限与人工门禁。</x:v>
      </x:c>
      <x:c r="K642" s="95" t="str">
        <x:v>可直接支撑当前EIS-only闭环。</x:v>
      </x:c>
      <x:c r="L642" s="95" t="str">
        <x:v>M1 前瞻验证（2–5月）</x:v>
      </x:c>
      <x:c r="M642" s="95" t="str">
        <x:v>第二批接入</x:v>
      </x:c>
      <x:c r="N642" s="95" t="str">
        <x:v>P2</x:v>
      </x:c>
      <x:c r="O642" s="95" t="str">
        <x:v>https://proceedings.neurips.cc/paper_files/paper/2020/file/f5b1b89d98b7286673128a5fb112cb9a-Paper.pdf</x:v>
      </x:c>
      <x:c r="P642" s="96" t="str">
        <x:v>待评审</x:v>
      </x:c>
    </x:row>
    <x:row r="643">
      <x:c r="A643" s="94" t="str">
        <x:v>T0639</x:v>
      </x:c>
      <x:c r="B643" s="95" t="str">
        <x:v>实验设计与闭环优化</x:v>
      </x:c>
      <x:c r="C643" s="95" t="str">
        <x:v>代理模型、不确定性与分布外识别</x:v>
      </x:c>
      <x:c r="D643" s="95" t="str">
        <x:v>核心必需</x:v>
      </x:c>
      <x:c r="E643" s="100" t="n">
        <x:v>12</x:v>
      </x:c>
      <x:c r="F643" s="95" t="str">
        <x:v>两线共用</x:v>
      </x:c>
      <x:c r="G643" s="95" t="str">
        <x:v>E 可信智能体与控制架构</x:v>
      </x:c>
      <x:c r="H643" s="95" t="str">
        <x:v>Sobol敏感度指数</x:v>
      </x:c>
      <x:c r="I643" s="95" t="str">
        <x:v>区分数据噪声与知识不足，校准区间，在超出适用域时拒答。</x:v>
      </x:c>
      <x:c r="J643" s="95" t="str">
        <x:v>接入外部验证器、结构化输出、置信校准、拒答、权限与人工门禁。</x:v>
      </x:c>
      <x:c r="K643" s="95" t="str">
        <x:v>可直接支撑当前EIS-only闭环。</x:v>
      </x:c>
      <x:c r="L643" s="95" t="str">
        <x:v>M1 前瞻验证（2–5月）</x:v>
      </x:c>
      <x:c r="M643" s="95" t="str">
        <x:v>第二批接入</x:v>
      </x:c>
      <x:c r="N643" s="95" t="str">
        <x:v>P2</x:v>
      </x:c>
      <x:c r="O643" s="95" t="str">
        <x:v>https://arxiv.org/abs/2107.07511</x:v>
      </x:c>
      <x:c r="P643" s="96" t="str">
        <x:v>待评审</x:v>
      </x:c>
    </x:row>
    <x:row r="644">
      <x:c r="A644" s="94" t="str">
        <x:v>T0640</x:v>
      </x:c>
      <x:c r="B644" s="95" t="str">
        <x:v>实验设计与闭环优化</x:v>
      </x:c>
      <x:c r="C644" s="95" t="str">
        <x:v>代理模型、不确定性与分布外识别</x:v>
      </x:c>
      <x:c r="D644" s="95" t="str">
        <x:v>核心必需</x:v>
      </x:c>
      <x:c r="E644" s="100" t="n">
        <x:v>12</x:v>
      </x:c>
      <x:c r="F644" s="95" t="str">
        <x:v>两线共用</x:v>
      </x:c>
      <x:c r="G644" s="95" t="str">
        <x:v>E 可信智能体与控制架构</x:v>
      </x:c>
      <x:c r="H644" s="95" t="str">
        <x:v>反事实解释</x:v>
      </x:c>
      <x:c r="I644" s="95" t="str">
        <x:v>区分数据噪声与知识不足，校准区间，在超出适用域时拒答。</x:v>
      </x:c>
      <x:c r="J644" s="95" t="str">
        <x:v>接入外部验证器、结构化输出、置信校准、拒答、权限与人工门禁。</x:v>
      </x:c>
      <x:c r="K644" s="95" t="str">
        <x:v>可直接支撑当前EIS-only闭环。</x:v>
      </x:c>
      <x:c r="L644" s="95" t="str">
        <x:v>M1 前瞻验证（2–5月）</x:v>
      </x:c>
      <x:c r="M644" s="95" t="str">
        <x:v>第二批接入</x:v>
      </x:c>
      <x:c r="N644" s="95" t="str">
        <x:v>P2</x:v>
      </x:c>
      <x:c r="O644" s="95" t="str">
        <x:v>https://www.nature.com/articles/s41467-024-45569-5</x:v>
      </x:c>
      <x:c r="P644" s="96" t="str">
        <x:v>待评审</x:v>
      </x:c>
    </x:row>
    <x:row r="645">
      <x:c r="A645" s="94" t="str">
        <x:v>T0641</x:v>
      </x:c>
      <x:c r="B645" s="95" t="str">
        <x:v>科学AI、仿真与数字孪生</x:v>
      </x:c>
      <x:c r="C645" s="95" t="str">
        <x:v>科学机器学习、仿真与数字孪生</x:v>
      </x:c>
      <x:c r="D645" s="95" t="str">
        <x:v>研究储备</x:v>
      </x:c>
      <x:c r="E645" s="100" t="n">
        <x:v>5</x:v>
      </x:c>
      <x:c r="F645" s="95" t="str">
        <x:v>迁移发现</x:v>
      </x:c>
      <x:c r="G645" s="95" t="str">
        <x:v>C 迁移发现与机理建模</x:v>
      </x:c>
      <x:c r="H645" s="95" t="str">
        <x:v>机理模型</x:v>
      </x:c>
      <x:c r="I645" s="95" t="str">
        <x:v>用灰箱/潜变量模型连接传导曲线、热史与候选机理，同时显式保留模型偏差。</x:v>
      </x:c>
      <x:c r="J645" s="95" t="str">
        <x:v>用于酸–黏土知识图谱、桥接假设、预测签名、反例设计和层级贝叶斯更新。</x:v>
      </x:c>
      <x:c r="K645" s="95" t="str">
        <x:v>可支撑假设与模型比较，但不能仅凭EIS确认微观结构机制。</x:v>
      </x:c>
      <x:c r="L645" s="95" t="str">
        <x:v>M3 研究储备</x:v>
      </x:c>
      <x:c r="M645" s="95" t="str">
        <x:v>条件具备后</x:v>
      </x:c>
      <x:c r="N645" s="95" t="str">
        <x:v>P0</x:v>
      </x:c>
      <x:c r="O645" s="95" t="str">
        <x:v>https://www.nature.com/articles/s41586-021-03819-2</x:v>
      </x:c>
      <x:c r="P645" s="96" t="str">
        <x:v>待评审</x:v>
      </x:c>
    </x:row>
    <x:row r="646">
      <x:c r="A646" s="94" t="str">
        <x:v>T0642</x:v>
      </x:c>
      <x:c r="B646" s="95" t="str">
        <x:v>科学AI、仿真与数字孪生</x:v>
      </x:c>
      <x:c r="C646" s="95" t="str">
        <x:v>科学机器学习、仿真与数字孪生</x:v>
      </x:c>
      <x:c r="D646" s="95" t="str">
        <x:v>研究储备</x:v>
      </x:c>
      <x:c r="E646" s="100" t="n">
        <x:v>5</x:v>
      </x:c>
      <x:c r="F646" s="95" t="str">
        <x:v>迁移发现</x:v>
      </x:c>
      <x:c r="G646" s="95" t="str">
        <x:v>C 迁移发现与机理建模</x:v>
      </x:c>
      <x:c r="H646" s="95" t="str">
        <x:v>第一性原理计算</x:v>
      </x:c>
      <x:c r="I646" s="95" t="str">
        <x:v>用灰箱/潜变量模型连接传导曲线、热史与候选机理，同时显式保留模型偏差。</x:v>
      </x:c>
      <x:c r="J646" s="95" t="str">
        <x:v>用于酸–黏土知识图谱、桥接假设、预测签名、反例设计和层级贝叶斯更新。</x:v>
      </x:c>
      <x:c r="K646" s="95" t="str">
        <x:v>可支撑假设与模型比较，但不能仅凭EIS确认微观结构机制。</x:v>
      </x:c>
      <x:c r="L646" s="95" t="str">
        <x:v>M3 研究储备</x:v>
      </x:c>
      <x:c r="M646" s="95" t="str">
        <x:v>条件具备后</x:v>
      </x:c>
      <x:c r="N646" s="95" t="str">
        <x:v>P0</x:v>
      </x:c>
      <x:c r="O646" s="95" t="str">
        <x:v>https://www.nature.com/articles/s41586-023-06735-9</x:v>
      </x:c>
      <x:c r="P646" s="96" t="str">
        <x:v>待评审</x:v>
      </x:c>
    </x:row>
    <x:row r="647">
      <x:c r="A647" s="94" t="str">
        <x:v>T0643</x:v>
      </x:c>
      <x:c r="B647" s="95" t="str">
        <x:v>科学AI、仿真与数字孪生</x:v>
      </x:c>
      <x:c r="C647" s="95" t="str">
        <x:v>科学机器学习、仿真与数字孪生</x:v>
      </x:c>
      <x:c r="D647" s="95" t="str">
        <x:v>研究储备</x:v>
      </x:c>
      <x:c r="E647" s="100" t="n">
        <x:v>5</x:v>
      </x:c>
      <x:c r="F647" s="95" t="str">
        <x:v>迁移发现</x:v>
      </x:c>
      <x:c r="G647" s="95" t="str">
        <x:v>C 迁移发现与机理建模</x:v>
      </x:c>
      <x:c r="H647" s="95" t="str">
        <x:v>密度泛函理论DFT</x:v>
      </x:c>
      <x:c r="I647" s="95" t="str">
        <x:v>用灰箱/潜变量模型连接传导曲线、热史与候选机理，同时显式保留模型偏差。</x:v>
      </x:c>
      <x:c r="J647" s="95" t="str">
        <x:v>用于酸–黏土知识图谱、桥接假设、预测签名、反例设计和层级贝叶斯更新。</x:v>
      </x:c>
      <x:c r="K647" s="95" t="str">
        <x:v>可支撑假设与模型比较，但不能仅凭EIS确认微观结构机制。</x:v>
      </x:c>
      <x:c r="L647" s="95" t="str">
        <x:v>M3 研究储备</x:v>
      </x:c>
      <x:c r="M647" s="95" t="str">
        <x:v>条件具备后</x:v>
      </x:c>
      <x:c r="N647" s="95" t="str">
        <x:v>P0</x:v>
      </x:c>
      <x:c r="O647" s="95" t="str">
        <x:v>https://arxiv.org/abs/1711.10561</x:v>
      </x:c>
      <x:c r="P647" s="96" t="str">
        <x:v>待评审</x:v>
      </x:c>
    </x:row>
    <x:row r="648">
      <x:c r="A648" s="94" t="str">
        <x:v>T0644</x:v>
      </x:c>
      <x:c r="B648" s="95" t="str">
        <x:v>科学AI、仿真与数字孪生</x:v>
      </x:c>
      <x:c r="C648" s="95" t="str">
        <x:v>科学机器学习、仿真与数字孪生</x:v>
      </x:c>
      <x:c r="D648" s="95" t="str">
        <x:v>研究储备</x:v>
      </x:c>
      <x:c r="E648" s="100" t="n">
        <x:v>5</x:v>
      </x:c>
      <x:c r="F648" s="95" t="str">
        <x:v>迁移发现</x:v>
      </x:c>
      <x:c r="G648" s="95" t="str">
        <x:v>C 迁移发现与机理建模</x:v>
      </x:c>
      <x:c r="H648" s="95" t="str">
        <x:v>分子动力学MD</x:v>
      </x:c>
      <x:c r="I648" s="95" t="str">
        <x:v>用灰箱/潜变量模型连接传导曲线、热史与候选机理，同时显式保留模型偏差。</x:v>
      </x:c>
      <x:c r="J648" s="95" t="str">
        <x:v>用于酸–黏土知识图谱、桥接假设、预测签名、反例设计和层级贝叶斯更新。</x:v>
      </x:c>
      <x:c r="K648" s="95" t="str">
        <x:v>可支撑假设与模型比较，但不能仅凭EIS确认微观结构机制。</x:v>
      </x:c>
      <x:c r="L648" s="95" t="str">
        <x:v>M3 研究储备</x:v>
      </x:c>
      <x:c r="M648" s="95" t="str">
        <x:v>条件具备后</x:v>
      </x:c>
      <x:c r="N648" s="95" t="str">
        <x:v>P0</x:v>
      </x:c>
      <x:c r="O648" s="95" t="str">
        <x:v>https://www.nist.gov/digital-twins</x:v>
      </x:c>
      <x:c r="P648" s="96" t="str">
        <x:v>待评审</x:v>
      </x:c>
    </x:row>
    <x:row r="649">
      <x:c r="A649" s="94" t="str">
        <x:v>T0645</x:v>
      </x:c>
      <x:c r="B649" s="95" t="str">
        <x:v>科学AI、仿真与数字孪生</x:v>
      </x:c>
      <x:c r="C649" s="95" t="str">
        <x:v>科学机器学习、仿真与数字孪生</x:v>
      </x:c>
      <x:c r="D649" s="95" t="str">
        <x:v>研究储备</x:v>
      </x:c>
      <x:c r="E649" s="100" t="n">
        <x:v>5</x:v>
      </x:c>
      <x:c r="F649" s="95" t="str">
        <x:v>迁移发现</x:v>
      </x:c>
      <x:c r="G649" s="95" t="str">
        <x:v>C 迁移发现与机理建模</x:v>
      </x:c>
      <x:c r="H649" s="95" t="str">
        <x:v>有限元FEM</x:v>
      </x:c>
      <x:c r="I649" s="95" t="str">
        <x:v>用灰箱/潜变量模型连接传导曲线、热史与候选机理，同时显式保留模型偏差。</x:v>
      </x:c>
      <x:c r="J649" s="95" t="str">
        <x:v>用于酸–黏土知识图谱、桥接假设、预测签名、反例设计和层级贝叶斯更新。</x:v>
      </x:c>
      <x:c r="K649" s="95" t="str">
        <x:v>可支撑假设与模型比较，但不能仅凭EIS确认微观结构机制。</x:v>
      </x:c>
      <x:c r="L649" s="95" t="str">
        <x:v>M3 研究储备</x:v>
      </x:c>
      <x:c r="M649" s="95" t="str">
        <x:v>条件具备后</x:v>
      </x:c>
      <x:c r="N649" s="95" t="str">
        <x:v>P0</x:v>
      </x:c>
      <x:c r="O649" s="95" t="str">
        <x:v>https://www.nature.com/articles/s41586-021-03819-2</x:v>
      </x:c>
      <x:c r="P649" s="96" t="str">
        <x:v>待评审</x:v>
      </x:c>
    </x:row>
    <x:row r="650">
      <x:c r="A650" s="94" t="str">
        <x:v>T0646</x:v>
      </x:c>
      <x:c r="B650" s="95" t="str">
        <x:v>科学AI、仿真与数字孪生</x:v>
      </x:c>
      <x:c r="C650" s="95" t="str">
        <x:v>科学机器学习、仿真与数字孪生</x:v>
      </x:c>
      <x:c r="D650" s="95" t="str">
        <x:v>研究储备</x:v>
      </x:c>
      <x:c r="E650" s="100" t="n">
        <x:v>5</x:v>
      </x:c>
      <x:c r="F650" s="95" t="str">
        <x:v>迁移发现</x:v>
      </x:c>
      <x:c r="G650" s="95" t="str">
        <x:v>C 迁移发现与机理建模</x:v>
      </x:c>
      <x:c r="H650" s="95" t="str">
        <x:v>计算流体力学CFD</x:v>
      </x:c>
      <x:c r="I650" s="95" t="str">
        <x:v>用灰箱/潜变量模型连接传导曲线、热史与候选机理，同时显式保留模型偏差。</x:v>
      </x:c>
      <x:c r="J650" s="95" t="str">
        <x:v>用于酸–黏土知识图谱、桥接假设、预测签名、反例设计和层级贝叶斯更新。</x:v>
      </x:c>
      <x:c r="K650" s="95" t="str">
        <x:v>可支撑假设与模型比较，但不能仅凭EIS确认微观结构机制。</x:v>
      </x:c>
      <x:c r="L650" s="95" t="str">
        <x:v>M3 研究储备</x:v>
      </x:c>
      <x:c r="M650" s="95" t="str">
        <x:v>条件具备后</x:v>
      </x:c>
      <x:c r="N650" s="95" t="str">
        <x:v>P0</x:v>
      </x:c>
      <x:c r="O650" s="95" t="str">
        <x:v>https://www.nature.com/articles/s41586-023-06735-9</x:v>
      </x:c>
      <x:c r="P650" s="96" t="str">
        <x:v>待评审</x:v>
      </x:c>
    </x:row>
    <x:row r="651">
      <x:c r="A651" s="94" t="str">
        <x:v>T0647</x:v>
      </x:c>
      <x:c r="B651" s="95" t="str">
        <x:v>科学AI、仿真与数字孪生</x:v>
      </x:c>
      <x:c r="C651" s="95" t="str">
        <x:v>科学机器学习、仿真与数字孪生</x:v>
      </x:c>
      <x:c r="D651" s="95" t="str">
        <x:v>研究储备</x:v>
      </x:c>
      <x:c r="E651" s="100" t="n">
        <x:v>5</x:v>
      </x:c>
      <x:c r="F651" s="95" t="str">
        <x:v>迁移发现</x:v>
      </x:c>
      <x:c r="G651" s="95" t="str">
        <x:v>C 迁移发现与机理建模</x:v>
      </x:c>
      <x:c r="H651" s="95" t="str">
        <x:v>动力学蒙特卡洛</x:v>
      </x:c>
      <x:c r="I651" s="95" t="str">
        <x:v>用灰箱/潜变量模型连接传导曲线、热史与候选机理，同时显式保留模型偏差。</x:v>
      </x:c>
      <x:c r="J651" s="95" t="str">
        <x:v>用于酸–黏土知识图谱、桥接假设、预测签名、反例设计和层级贝叶斯更新。</x:v>
      </x:c>
      <x:c r="K651" s="95" t="str">
        <x:v>可支撑假设与模型比较，但不能仅凭EIS确认微观结构机制。</x:v>
      </x:c>
      <x:c r="L651" s="95" t="str">
        <x:v>M3 研究储备</x:v>
      </x:c>
      <x:c r="M651" s="95" t="str">
        <x:v>条件具备后</x:v>
      </x:c>
      <x:c r="N651" s="95" t="str">
        <x:v>P0</x:v>
      </x:c>
      <x:c r="O651" s="95" t="str">
        <x:v>https://arxiv.org/abs/1711.10561</x:v>
      </x:c>
      <x:c r="P651" s="96" t="str">
        <x:v>待评审</x:v>
      </x:c>
    </x:row>
    <x:row r="652">
      <x:c r="A652" s="94" t="str">
        <x:v>T0648</x:v>
      </x:c>
      <x:c r="B652" s="95" t="str">
        <x:v>科学AI、仿真与数字孪生</x:v>
      </x:c>
      <x:c r="C652" s="95" t="str">
        <x:v>科学机器学习、仿真与数字孪生</x:v>
      </x:c>
      <x:c r="D652" s="95" t="str">
        <x:v>研究储备</x:v>
      </x:c>
      <x:c r="E652" s="100" t="n">
        <x:v>5</x:v>
      </x:c>
      <x:c r="F652" s="95" t="str">
        <x:v>迁移发现</x:v>
      </x:c>
      <x:c r="G652" s="95" t="str">
        <x:v>C 迁移发现与机理建模</x:v>
      </x:c>
      <x:c r="H652" s="95" t="str">
        <x:v>相场模型</x:v>
      </x:c>
      <x:c r="I652" s="95" t="str">
        <x:v>用灰箱/潜变量模型连接传导曲线、热史与候选机理，同时显式保留模型偏差。</x:v>
      </x:c>
      <x:c r="J652" s="95" t="str">
        <x:v>用于酸–黏土知识图谱、桥接假设、预测签名、反例设计和层级贝叶斯更新。</x:v>
      </x:c>
      <x:c r="K652" s="95" t="str">
        <x:v>可支撑假设与模型比较，但不能仅凭EIS确认微观结构机制。</x:v>
      </x:c>
      <x:c r="L652" s="95" t="str">
        <x:v>M3 研究储备</x:v>
      </x:c>
      <x:c r="M652" s="95" t="str">
        <x:v>条件具备后</x:v>
      </x:c>
      <x:c r="N652" s="95" t="str">
        <x:v>P0</x:v>
      </x:c>
      <x:c r="O652" s="95" t="str">
        <x:v>https://www.nist.gov/digital-twins</x:v>
      </x:c>
      <x:c r="P652" s="96" t="str">
        <x:v>待评审</x:v>
      </x:c>
    </x:row>
    <x:row r="653">
      <x:c r="A653" s="94" t="str">
        <x:v>T0649</x:v>
      </x:c>
      <x:c r="B653" s="95" t="str">
        <x:v>科学AI、仿真与数字孪生</x:v>
      </x:c>
      <x:c r="C653" s="95" t="str">
        <x:v>科学机器学习、仿真与数字孪生</x:v>
      </x:c>
      <x:c r="D653" s="95" t="str">
        <x:v>研究储备</x:v>
      </x:c>
      <x:c r="E653" s="100" t="n">
        <x:v>5</x:v>
      </x:c>
      <x:c r="F653" s="95" t="str">
        <x:v>迁移发现</x:v>
      </x:c>
      <x:c r="G653" s="95" t="str">
        <x:v>C 迁移发现与机理建模</x:v>
      </x:c>
      <x:c r="H653" s="95" t="str">
        <x:v>群体平衡模型</x:v>
      </x:c>
      <x:c r="I653" s="95" t="str">
        <x:v>用灰箱/潜变量模型连接传导曲线、热史与候选机理，同时显式保留模型偏差。</x:v>
      </x:c>
      <x:c r="J653" s="95" t="str">
        <x:v>用于酸–黏土知识图谱、桥接假设、预测签名、反例设计和层级贝叶斯更新。</x:v>
      </x:c>
      <x:c r="K653" s="95" t="str">
        <x:v>可支撑假设与模型比较，但不能仅凭EIS确认微观结构机制。</x:v>
      </x:c>
      <x:c r="L653" s="95" t="str">
        <x:v>M3 研究储备</x:v>
      </x:c>
      <x:c r="M653" s="95" t="str">
        <x:v>条件具备后</x:v>
      </x:c>
      <x:c r="N653" s="95" t="str">
        <x:v>P0</x:v>
      </x:c>
      <x:c r="O653" s="95" t="str">
        <x:v>https://www.nature.com/articles/s41586-021-03819-2</x:v>
      </x:c>
      <x:c r="P653" s="96" t="str">
        <x:v>待评审</x:v>
      </x:c>
    </x:row>
    <x:row r="654">
      <x:c r="A654" s="94" t="str">
        <x:v>T0650</x:v>
      </x:c>
      <x:c r="B654" s="95" t="str">
        <x:v>科学AI、仿真与数字孪生</x:v>
      </x:c>
      <x:c r="C654" s="95" t="str">
        <x:v>科学机器学习、仿真与数字孪生</x:v>
      </x:c>
      <x:c r="D654" s="95" t="str">
        <x:v>研究储备</x:v>
      </x:c>
      <x:c r="E654" s="100" t="n">
        <x:v>5</x:v>
      </x:c>
      <x:c r="F654" s="95" t="str">
        <x:v>迁移发现</x:v>
      </x:c>
      <x:c r="G654" s="95" t="str">
        <x:v>C 迁移发现与机理建模</x:v>
      </x:c>
      <x:c r="H654" s="95" t="str">
        <x:v>热力学模型</x:v>
      </x:c>
      <x:c r="I654" s="95" t="str">
        <x:v>用灰箱/潜变量模型连接传导曲线、热史与候选机理，同时显式保留模型偏差。</x:v>
      </x:c>
      <x:c r="J654" s="95" t="str">
        <x:v>用于酸–黏土知识图谱、桥接假设、预测签名、反例设计和层级贝叶斯更新。</x:v>
      </x:c>
      <x:c r="K654" s="95" t="str">
        <x:v>可支撑假设与模型比较，但不能仅凭EIS确认微观结构机制。</x:v>
      </x:c>
      <x:c r="L654" s="95" t="str">
        <x:v>M3 研究储备</x:v>
      </x:c>
      <x:c r="M654" s="95" t="str">
        <x:v>条件具备后</x:v>
      </x:c>
      <x:c r="N654" s="95" t="str">
        <x:v>P0</x:v>
      </x:c>
      <x:c r="O654" s="95" t="str">
        <x:v>https://www.nature.com/articles/s41586-023-06735-9</x:v>
      </x:c>
      <x:c r="P654" s="96" t="str">
        <x:v>待评审</x:v>
      </x:c>
    </x:row>
    <x:row r="655">
      <x:c r="A655" s="94" t="str">
        <x:v>T0651</x:v>
      </x:c>
      <x:c r="B655" s="95" t="str">
        <x:v>科学AI、仿真与数字孪生</x:v>
      </x:c>
      <x:c r="C655" s="95" t="str">
        <x:v>科学机器学习、仿真与数字孪生</x:v>
      </x:c>
      <x:c r="D655" s="95" t="str">
        <x:v>研究储备</x:v>
      </x:c>
      <x:c r="E655" s="100" t="n">
        <x:v>5</x:v>
      </x:c>
      <x:c r="F655" s="95" t="str">
        <x:v>迁移发现</x:v>
      </x:c>
      <x:c r="G655" s="95" t="str">
        <x:v>C 迁移发现与机理建模</x:v>
      </x:c>
      <x:c r="H655" s="95" t="str">
        <x:v>反应动力学模型</x:v>
      </x:c>
      <x:c r="I655" s="95" t="str">
        <x:v>用灰箱/潜变量模型连接传导曲线、热史与候选机理，同时显式保留模型偏差。</x:v>
      </x:c>
      <x:c r="J655" s="95" t="str">
        <x:v>用于酸–黏土知识图谱、桥接假设、预测签名、反例设计和层级贝叶斯更新。</x:v>
      </x:c>
      <x:c r="K655" s="95" t="str">
        <x:v>可支撑假设与模型比较，但不能仅凭EIS确认微观结构机制。</x:v>
      </x:c>
      <x:c r="L655" s="95" t="str">
        <x:v>M3 研究储备</x:v>
      </x:c>
      <x:c r="M655" s="95" t="str">
        <x:v>条件具备后</x:v>
      </x:c>
      <x:c r="N655" s="95" t="str">
        <x:v>P1</x:v>
      </x:c>
      <x:c r="O655" s="95" t="str">
        <x:v>https://arxiv.org/abs/1711.10561</x:v>
      </x:c>
      <x:c r="P655" s="96" t="str">
        <x:v>待评审</x:v>
      </x:c>
    </x:row>
    <x:row r="656">
      <x:c r="A656" s="94" t="str">
        <x:v>T0652</x:v>
      </x:c>
      <x:c r="B656" s="95" t="str">
        <x:v>科学AI、仿真与数字孪生</x:v>
      </x:c>
      <x:c r="C656" s="95" t="str">
        <x:v>科学机器学习、仿真与数字孪生</x:v>
      </x:c>
      <x:c r="D656" s="95" t="str">
        <x:v>研究储备</x:v>
      </x:c>
      <x:c r="E656" s="100" t="n">
        <x:v>5</x:v>
      </x:c>
      <x:c r="F656" s="95" t="str">
        <x:v>迁移发现</x:v>
      </x:c>
      <x:c r="G656" s="95" t="str">
        <x:v>C 迁移发现与机理建模</x:v>
      </x:c>
      <x:c r="H656" s="95" t="str">
        <x:v>反应网络</x:v>
      </x:c>
      <x:c r="I656" s="95" t="str">
        <x:v>用灰箱/潜变量模型连接传导曲线、热史与候选机理，同时显式保留模型偏差。</x:v>
      </x:c>
      <x:c r="J656" s="95" t="str">
        <x:v>用于酸–黏土知识图谱、桥接假设、预测签名、反例设计和层级贝叶斯更新。</x:v>
      </x:c>
      <x:c r="K656" s="95" t="str">
        <x:v>可支撑假设与模型比较，但不能仅凭EIS确认微观结构机制。</x:v>
      </x:c>
      <x:c r="L656" s="95" t="str">
        <x:v>M3 研究储备</x:v>
      </x:c>
      <x:c r="M656" s="95" t="str">
        <x:v>条件具备后</x:v>
      </x:c>
      <x:c r="N656" s="95" t="str">
        <x:v>P1</x:v>
      </x:c>
      <x:c r="O656" s="95" t="str">
        <x:v>https://www.nist.gov/digital-twins</x:v>
      </x:c>
      <x:c r="P656" s="96" t="str">
        <x:v>待评审</x:v>
      </x:c>
    </x:row>
    <x:row r="657">
      <x:c r="A657" s="94" t="str">
        <x:v>T0653</x:v>
      </x:c>
      <x:c r="B657" s="95" t="str">
        <x:v>科学AI、仿真与数字孪生</x:v>
      </x:c>
      <x:c r="C657" s="95" t="str">
        <x:v>科学机器学习、仿真与数字孪生</x:v>
      </x:c>
      <x:c r="D657" s="95" t="str">
        <x:v>研究储备</x:v>
      </x:c>
      <x:c r="E657" s="100" t="n">
        <x:v>5</x:v>
      </x:c>
      <x:c r="F657" s="95" t="str">
        <x:v>迁移发现</x:v>
      </x:c>
      <x:c r="G657" s="95" t="str">
        <x:v>C 迁移发现与机理建模</x:v>
      </x:c>
      <x:c r="H657" s="95" t="str">
        <x:v>系统生物学模型</x:v>
      </x:c>
      <x:c r="I657" s="95" t="str">
        <x:v>用灰箱/潜变量模型连接传导曲线、热史与候选机理，同时显式保留模型偏差。</x:v>
      </x:c>
      <x:c r="J657" s="95" t="str">
        <x:v>用于酸–黏土知识图谱、桥接假设、预测签名、反例设计和层级贝叶斯更新。</x:v>
      </x:c>
      <x:c r="K657" s="95" t="str">
        <x:v>可支撑假设与模型比较，但不能仅凭EIS确认微观结构机制。</x:v>
      </x:c>
      <x:c r="L657" s="95" t="str">
        <x:v>M3 研究储备</x:v>
      </x:c>
      <x:c r="M657" s="95" t="str">
        <x:v>条件具备后</x:v>
      </x:c>
      <x:c r="N657" s="95" t="str">
        <x:v>P1</x:v>
      </x:c>
      <x:c r="O657" s="95" t="str">
        <x:v>https://www.nature.com/articles/s41586-021-03819-2</x:v>
      </x:c>
      <x:c r="P657" s="96" t="str">
        <x:v>待评审</x:v>
      </x:c>
    </x:row>
    <x:row r="658">
      <x:c r="A658" s="94" t="str">
        <x:v>T0654</x:v>
      </x:c>
      <x:c r="B658" s="95" t="str">
        <x:v>科学AI、仿真与数字孪生</x:v>
      </x:c>
      <x:c r="C658" s="95" t="str">
        <x:v>科学机器学习、仿真与数字孪生</x:v>
      </x:c>
      <x:c r="D658" s="95" t="str">
        <x:v>研究储备</x:v>
      </x:c>
      <x:c r="E658" s="100" t="n">
        <x:v>5</x:v>
      </x:c>
      <x:c r="F658" s="95" t="str">
        <x:v>迁移发现</x:v>
      </x:c>
      <x:c r="G658" s="95" t="str">
        <x:v>C 迁移发现与机理建模</x:v>
      </x:c>
      <x:c r="H658" s="95" t="str">
        <x:v>多尺度耦合</x:v>
      </x:c>
      <x:c r="I658" s="95" t="str">
        <x:v>用灰箱/潜变量模型连接传导曲线、热史与候选机理，同时显式保留模型偏差。</x:v>
      </x:c>
      <x:c r="J658" s="95" t="str">
        <x:v>用于酸–黏土知识图谱、桥接假设、预测签名、反例设计和层级贝叶斯更新。</x:v>
      </x:c>
      <x:c r="K658" s="95" t="str">
        <x:v>可支撑假设与模型比较，但不能仅凭EIS确认微观结构机制。</x:v>
      </x:c>
      <x:c r="L658" s="95" t="str">
        <x:v>M3 研究储备</x:v>
      </x:c>
      <x:c r="M658" s="95" t="str">
        <x:v>条件具备后</x:v>
      </x:c>
      <x:c r="N658" s="95" t="str">
        <x:v>P1</x:v>
      </x:c>
      <x:c r="O658" s="95" t="str">
        <x:v>https://www.nature.com/articles/s41586-023-06735-9</x:v>
      </x:c>
      <x:c r="P658" s="96" t="str">
        <x:v>待评审</x:v>
      </x:c>
    </x:row>
    <x:row r="659">
      <x:c r="A659" s="94" t="str">
        <x:v>T0655</x:v>
      </x:c>
      <x:c r="B659" s="95" t="str">
        <x:v>科学AI、仿真与数字孪生</x:v>
      </x:c>
      <x:c r="C659" s="95" t="str">
        <x:v>科学机器学习、仿真与数字孪生</x:v>
      </x:c>
      <x:c r="D659" s="95" t="str">
        <x:v>研究储备</x:v>
      </x:c>
      <x:c r="E659" s="100" t="n">
        <x:v>5</x:v>
      </x:c>
      <x:c r="F659" s="95" t="str">
        <x:v>迁移发现</x:v>
      </x:c>
      <x:c r="G659" s="95" t="str">
        <x:v>C 迁移发现与机理建模</x:v>
      </x:c>
      <x:c r="H659" s="95" t="str">
        <x:v>联合仿真</x:v>
      </x:c>
      <x:c r="I659" s="95" t="str">
        <x:v>用灰箱/潜变量模型连接传导曲线、热史与候选机理，同时显式保留模型偏差。</x:v>
      </x:c>
      <x:c r="J659" s="95" t="str">
        <x:v>用于酸–黏土知识图谱、桥接假设、预测签名、反例设计和层级贝叶斯更新。</x:v>
      </x:c>
      <x:c r="K659" s="95" t="str">
        <x:v>可支撑假设与模型比较，但不能仅凭EIS确认微观结构机制。</x:v>
      </x:c>
      <x:c r="L659" s="95" t="str">
        <x:v>M3 研究储备</x:v>
      </x:c>
      <x:c r="M659" s="95" t="str">
        <x:v>条件具备后</x:v>
      </x:c>
      <x:c r="N659" s="95" t="str">
        <x:v>P1</x:v>
      </x:c>
      <x:c r="O659" s="95" t="str">
        <x:v>https://arxiv.org/abs/1711.10561</x:v>
      </x:c>
      <x:c r="P659" s="96" t="str">
        <x:v>待评审</x:v>
      </x:c>
    </x:row>
    <x:row r="660">
      <x:c r="A660" s="94" t="str">
        <x:v>T0656</x:v>
      </x:c>
      <x:c r="B660" s="95" t="str">
        <x:v>科学AI、仿真与数字孪生</x:v>
      </x:c>
      <x:c r="C660" s="95" t="str">
        <x:v>科学机器学习、仿真与数字孪生</x:v>
      </x:c>
      <x:c r="D660" s="95" t="str">
        <x:v>研究储备</x:v>
      </x:c>
      <x:c r="E660" s="100" t="n">
        <x:v>6</x:v>
      </x:c>
      <x:c r="F660" s="95" t="str">
        <x:v>迁移发现</x:v>
      </x:c>
      <x:c r="G660" s="95" t="str">
        <x:v>C 迁移发现与机理建模</x:v>
      </x:c>
      <x:c r="H660" s="95" t="str">
        <x:v>降阶模型</x:v>
      </x:c>
      <x:c r="I660" s="95" t="str">
        <x:v>用灰箱/潜变量模型连接传导曲线、热史与候选机理，同时显式保留模型偏差。</x:v>
      </x:c>
      <x:c r="J660" s="95" t="str">
        <x:v>用于酸–黏土知识图谱、桥接假设、预测签名、反例设计和层级贝叶斯更新。</x:v>
      </x:c>
      <x:c r="K660" s="95" t="str">
        <x:v>可支撑假设与模型比较，但不能仅凭EIS确认微观结构机制。</x:v>
      </x:c>
      <x:c r="L660" s="95" t="str">
        <x:v>M3 研究储备</x:v>
      </x:c>
      <x:c r="M660" s="95" t="str">
        <x:v>条件具备后</x:v>
      </x:c>
      <x:c r="N660" s="95" t="str">
        <x:v>P1</x:v>
      </x:c>
      <x:c r="O660" s="95" t="str">
        <x:v>https://www.nist.gov/digital-twins</x:v>
      </x:c>
      <x:c r="P660" s="96" t="str">
        <x:v>待评审</x:v>
      </x:c>
    </x:row>
    <x:row r="661">
      <x:c r="A661" s="94" t="str">
        <x:v>T0657</x:v>
      </x:c>
      <x:c r="B661" s="95" t="str">
        <x:v>科学AI、仿真与数字孪生</x:v>
      </x:c>
      <x:c r="C661" s="95" t="str">
        <x:v>科学机器学习、仿真与数字孪生</x:v>
      </x:c>
      <x:c r="D661" s="95" t="str">
        <x:v>研究储备</x:v>
      </x:c>
      <x:c r="E661" s="100" t="n">
        <x:v>6</x:v>
      </x:c>
      <x:c r="F661" s="95" t="str">
        <x:v>迁移发现</x:v>
      </x:c>
      <x:c r="G661" s="95" t="str">
        <x:v>C 迁移发现与机理建模</x:v>
      </x:c>
      <x:c r="H661" s="95" t="str">
        <x:v>仿真代理模型</x:v>
      </x:c>
      <x:c r="I661" s="95" t="str">
        <x:v>用灰箱/潜变量模型连接传导曲线、热史与候选机理，同时显式保留模型偏差。</x:v>
      </x:c>
      <x:c r="J661" s="95" t="str">
        <x:v>用于酸–黏土知识图谱、桥接假设、预测签名、反例设计和层级贝叶斯更新。</x:v>
      </x:c>
      <x:c r="K661" s="95" t="str">
        <x:v>可支撑假设与模型比较，但不能仅凭EIS确认微观结构机制。</x:v>
      </x:c>
      <x:c r="L661" s="95" t="str">
        <x:v>M3 研究储备</x:v>
      </x:c>
      <x:c r="M661" s="95" t="str">
        <x:v>条件具备后</x:v>
      </x:c>
      <x:c r="N661" s="95" t="str">
        <x:v>P1</x:v>
      </x:c>
      <x:c r="O661" s="95" t="str">
        <x:v>https://www.nature.com/articles/s41586-021-03819-2</x:v>
      </x:c>
      <x:c r="P661" s="96" t="str">
        <x:v>待评审</x:v>
      </x:c>
    </x:row>
    <x:row r="662">
      <x:c r="A662" s="94" t="str">
        <x:v>T0658</x:v>
      </x:c>
      <x:c r="B662" s="95" t="str">
        <x:v>科学AI、仿真与数字孪生</x:v>
      </x:c>
      <x:c r="C662" s="95" t="str">
        <x:v>科学机器学习、仿真与数字孪生</x:v>
      </x:c>
      <x:c r="D662" s="95" t="str">
        <x:v>研究储备</x:v>
      </x:c>
      <x:c r="E662" s="100" t="n">
        <x:v>5</x:v>
      </x:c>
      <x:c r="F662" s="95" t="str">
        <x:v>迁移发现</x:v>
      </x:c>
      <x:c r="G662" s="95" t="str">
        <x:v>C 迁移发现与机理建模</x:v>
      </x:c>
      <x:c r="H662" s="95" t="str">
        <x:v>神经算子</x:v>
      </x:c>
      <x:c r="I662" s="95" t="str">
        <x:v>用灰箱/潜变量模型连接传导曲线、热史与候选机理，同时显式保留模型偏差。</x:v>
      </x:c>
      <x:c r="J662" s="95" t="str">
        <x:v>用于酸–黏土知识图谱、桥接假设、预测签名、反例设计和层级贝叶斯更新。</x:v>
      </x:c>
      <x:c r="K662" s="95" t="str">
        <x:v>可支撑假设与模型比较，但不能仅凭EIS确认微观结构机制。</x:v>
      </x:c>
      <x:c r="L662" s="95" t="str">
        <x:v>M3 研究储备</x:v>
      </x:c>
      <x:c r="M662" s="95" t="str">
        <x:v>条件具备后</x:v>
      </x:c>
      <x:c r="N662" s="95" t="str">
        <x:v>P1</x:v>
      </x:c>
      <x:c r="O662" s="95" t="str">
        <x:v>https://www.nature.com/articles/s41586-023-06735-9</x:v>
      </x:c>
      <x:c r="P662" s="96" t="str">
        <x:v>待评审</x:v>
      </x:c>
    </x:row>
    <x:row r="663">
      <x:c r="A663" s="94" t="str">
        <x:v>T0659</x:v>
      </x:c>
      <x:c r="B663" s="95" t="str">
        <x:v>科学AI、仿真与数字孪生</x:v>
      </x:c>
      <x:c r="C663" s="95" t="str">
        <x:v>科学机器学习、仿真与数字孪生</x:v>
      </x:c>
      <x:c r="D663" s="95" t="str">
        <x:v>研究储备</x:v>
      </x:c>
      <x:c r="E663" s="100" t="n">
        <x:v>5</x:v>
      </x:c>
      <x:c r="F663" s="95" t="str">
        <x:v>迁移发现</x:v>
      </x:c>
      <x:c r="G663" s="95" t="str">
        <x:v>C 迁移发现与机理建模</x:v>
      </x:c>
      <x:c r="H663" s="95" t="str">
        <x:v>物理信息神经网络PINN</x:v>
      </x:c>
      <x:c r="I663" s="95" t="str">
        <x:v>用灰箱/潜变量模型连接传导曲线、热史与候选机理，同时显式保留模型偏差。</x:v>
      </x:c>
      <x:c r="J663" s="95" t="str">
        <x:v>用于酸–黏土知识图谱、桥接假设、预测签名、反例设计和层级贝叶斯更新。</x:v>
      </x:c>
      <x:c r="K663" s="95" t="str">
        <x:v>可支撑假设与模型比较，但不能仅凭EIS确认微观结构机制。</x:v>
      </x:c>
      <x:c r="L663" s="95" t="str">
        <x:v>M3 研究储备</x:v>
      </x:c>
      <x:c r="M663" s="95" t="str">
        <x:v>条件具备后</x:v>
      </x:c>
      <x:c r="N663" s="95" t="str">
        <x:v>P1</x:v>
      </x:c>
      <x:c r="O663" s="95" t="str">
        <x:v>https://arxiv.org/abs/1711.10561</x:v>
      </x:c>
      <x:c r="P663" s="96" t="str">
        <x:v>待评审</x:v>
      </x:c>
    </x:row>
    <x:row r="664">
      <x:c r="A664" s="94" t="str">
        <x:v>T0660</x:v>
      </x:c>
      <x:c r="B664" s="95" t="str">
        <x:v>科学AI、仿真与数字孪生</x:v>
      </x:c>
      <x:c r="C664" s="95" t="str">
        <x:v>科学机器学习、仿真与数字孪生</x:v>
      </x:c>
      <x:c r="D664" s="95" t="str">
        <x:v>研究储备</x:v>
      </x:c>
      <x:c r="E664" s="100" t="n">
        <x:v>5</x:v>
      </x:c>
      <x:c r="F664" s="95" t="str">
        <x:v>迁移发现</x:v>
      </x:c>
      <x:c r="G664" s="95" t="str">
        <x:v>C 迁移发现与机理建模</x:v>
      </x:c>
      <x:c r="H664" s="95" t="str">
        <x:v>通用微分方程</x:v>
      </x:c>
      <x:c r="I664" s="95" t="str">
        <x:v>用灰箱/潜变量模型连接传导曲线、热史与候选机理，同时显式保留模型偏差。</x:v>
      </x:c>
      <x:c r="J664" s="95" t="str">
        <x:v>用于酸–黏土知识图谱、桥接假设、预测签名、反例设计和层级贝叶斯更新。</x:v>
      </x:c>
      <x:c r="K664" s="95" t="str">
        <x:v>可支撑假设与模型比较，但不能仅凭EIS确认微观结构机制。</x:v>
      </x:c>
      <x:c r="L664" s="95" t="str">
        <x:v>M3 研究储备</x:v>
      </x:c>
      <x:c r="M664" s="95" t="str">
        <x:v>条件具备后</x:v>
      </x:c>
      <x:c r="N664" s="95" t="str">
        <x:v>P1</x:v>
      </x:c>
      <x:c r="O664" s="95" t="str">
        <x:v>https://www.nist.gov/digital-twins</x:v>
      </x:c>
      <x:c r="P664" s="96" t="str">
        <x:v>待评审</x:v>
      </x:c>
    </x:row>
    <x:row r="665">
      <x:c r="A665" s="94" t="str">
        <x:v>T0661</x:v>
      </x:c>
      <x:c r="B665" s="95" t="str">
        <x:v>科学AI、仿真与数字孪生</x:v>
      </x:c>
      <x:c r="C665" s="95" t="str">
        <x:v>科学机器学习、仿真与数字孪生</x:v>
      </x:c>
      <x:c r="D665" s="95" t="str">
        <x:v>研究储备</x:v>
      </x:c>
      <x:c r="E665" s="100" t="n">
        <x:v>5</x:v>
      </x:c>
      <x:c r="F665" s="95" t="str">
        <x:v>迁移发现</x:v>
      </x:c>
      <x:c r="G665" s="95" t="str">
        <x:v>C 迁移发现与机理建模</x:v>
      </x:c>
      <x:c r="H665" s="95" t="str">
        <x:v>可微物理</x:v>
      </x:c>
      <x:c r="I665" s="95" t="str">
        <x:v>用灰箱/潜变量模型连接传导曲线、热史与候选机理，同时显式保留模型偏差。</x:v>
      </x:c>
      <x:c r="J665" s="95" t="str">
        <x:v>用于酸–黏土知识图谱、桥接假设、预测签名、反例设计和层级贝叶斯更新。</x:v>
      </x:c>
      <x:c r="K665" s="95" t="str">
        <x:v>可支撑假设与模型比较，但不能仅凭EIS确认微观结构机制。</x:v>
      </x:c>
      <x:c r="L665" s="95" t="str">
        <x:v>M3 研究储备</x:v>
      </x:c>
      <x:c r="M665" s="95" t="str">
        <x:v>条件具备后</x:v>
      </x:c>
      <x:c r="N665" s="95" t="str">
        <x:v>P1</x:v>
      </x:c>
      <x:c r="O665" s="95" t="str">
        <x:v>https://www.nature.com/articles/s41586-021-03819-2</x:v>
      </x:c>
      <x:c r="P665" s="96" t="str">
        <x:v>待评审</x:v>
      </x:c>
    </x:row>
    <x:row r="666">
      <x:c r="A666" s="94" t="str">
        <x:v>T0662</x:v>
      </x:c>
      <x:c r="B666" s="95" t="str">
        <x:v>科学AI、仿真与数字孪生</x:v>
      </x:c>
      <x:c r="C666" s="95" t="str">
        <x:v>科学机器学习、仿真与数字孪生</x:v>
      </x:c>
      <x:c r="D666" s="95" t="str">
        <x:v>研究储备</x:v>
      </x:c>
      <x:c r="E666" s="100" t="n">
        <x:v>5</x:v>
      </x:c>
      <x:c r="F666" s="95" t="str">
        <x:v>迁移发现</x:v>
      </x:c>
      <x:c r="G666" s="95" t="str">
        <x:v>C 迁移发现与机理建模</x:v>
      </x:c>
      <x:c r="H666" s="95" t="str">
        <x:v>自动微分</x:v>
      </x:c>
      <x:c r="I666" s="95" t="str">
        <x:v>用灰箱/潜变量模型连接传导曲线、热史与候选机理，同时显式保留模型偏差。</x:v>
      </x:c>
      <x:c r="J666" s="95" t="str">
        <x:v>用于酸–黏土知识图谱、桥接假设、预测签名、反例设计和层级贝叶斯更新。</x:v>
      </x:c>
      <x:c r="K666" s="95" t="str">
        <x:v>可支撑假设与模型比较，但不能仅凭EIS确认微观结构机制。</x:v>
      </x:c>
      <x:c r="L666" s="95" t="str">
        <x:v>M3 研究储备</x:v>
      </x:c>
      <x:c r="M666" s="95" t="str">
        <x:v>条件具备后</x:v>
      </x:c>
      <x:c r="N666" s="95" t="str">
        <x:v>P1</x:v>
      </x:c>
      <x:c r="O666" s="95" t="str">
        <x:v>https://www.nature.com/articles/s41586-023-06735-9</x:v>
      </x:c>
      <x:c r="P666" s="96" t="str">
        <x:v>待评审</x:v>
      </x:c>
    </x:row>
    <x:row r="667">
      <x:c r="A667" s="94" t="str">
        <x:v>T0663</x:v>
      </x:c>
      <x:c r="B667" s="95" t="str">
        <x:v>科学AI、仿真与数字孪生</x:v>
      </x:c>
      <x:c r="C667" s="95" t="str">
        <x:v>科学机器学习、仿真与数字孪生</x:v>
      </x:c>
      <x:c r="D667" s="95" t="str">
        <x:v>关键支撑</x:v>
      </x:c>
      <x:c r="E667" s="100" t="n">
        <x:v>8</x:v>
      </x:c>
      <x:c r="F667" s="95" t="str">
        <x:v>迁移发现</x:v>
      </x:c>
      <x:c r="G667" s="95" t="str">
        <x:v>C 迁移发现与机理建模</x:v>
      </x:c>
      <x:c r="H667" s="95" t="str">
        <x:v>逆问题</x:v>
      </x:c>
      <x:c r="I667" s="95" t="str">
        <x:v>用灰箱/潜变量模型连接传导曲线、热史与候选机理，同时显式保留模型偏差。</x:v>
      </x:c>
      <x:c r="J667" s="95" t="str">
        <x:v>用于酸–黏土知识图谱、桥接假设、预测签名、反例设计和层级贝叶斯更新。</x:v>
      </x:c>
      <x:c r="K667" s="95" t="str">
        <x:v>可支撑假设与模型比较，但不能仅凭EIS确认微观结构机制。</x:v>
      </x:c>
      <x:c r="L667" s="95" t="str">
        <x:v>M2 扩展与复现（5–12月）</x:v>
      </x:c>
      <x:c r="M667" s="95" t="str">
        <x:v>按瓶颈接入</x:v>
      </x:c>
      <x:c r="N667" s="95" t="str">
        <x:v>P1</x:v>
      </x:c>
      <x:c r="O667" s="95" t="str">
        <x:v>https://arxiv.org/abs/1711.10561</x:v>
      </x:c>
      <x:c r="P667" s="96" t="str">
        <x:v>待评审</x:v>
      </x:c>
    </x:row>
    <x:row r="668">
      <x:c r="A668" s="94" t="str">
        <x:v>T0664</x:v>
      </x:c>
      <x:c r="B668" s="95" t="str">
        <x:v>科学AI、仿真与数字孪生</x:v>
      </x:c>
      <x:c r="C668" s="95" t="str">
        <x:v>科学机器学习、仿真与数字孪生</x:v>
      </x:c>
      <x:c r="D668" s="95" t="str">
        <x:v>关键支撑</x:v>
      </x:c>
      <x:c r="E668" s="100" t="n">
        <x:v>8</x:v>
      </x:c>
      <x:c r="F668" s="95" t="str">
        <x:v>迁移发现</x:v>
      </x:c>
      <x:c r="G668" s="95" t="str">
        <x:v>C 迁移发现与机理建模</x:v>
      </x:c>
      <x:c r="H668" s="95" t="str">
        <x:v>参数估计</x:v>
      </x:c>
      <x:c r="I668" s="95" t="str">
        <x:v>用灰箱/潜变量模型连接传导曲线、热史与候选机理，同时显式保留模型偏差。</x:v>
      </x:c>
      <x:c r="J668" s="95" t="str">
        <x:v>用于酸–黏土知识图谱、桥接假设、预测签名、反例设计和层级贝叶斯更新。</x:v>
      </x:c>
      <x:c r="K668" s="95" t="str">
        <x:v>可支撑假设与模型比较，但不能仅凭EIS确认微观结构机制。</x:v>
      </x:c>
      <x:c r="L668" s="95" t="str">
        <x:v>M2 扩展与复现（5–12月）</x:v>
      </x:c>
      <x:c r="M668" s="95" t="str">
        <x:v>按瓶颈接入</x:v>
      </x:c>
      <x:c r="N668" s="95" t="str">
        <x:v>P1</x:v>
      </x:c>
      <x:c r="O668" s="95" t="str">
        <x:v>https://www.nist.gov/digital-twins</x:v>
      </x:c>
      <x:c r="P668" s="96" t="str">
        <x:v>待评审</x:v>
      </x:c>
    </x:row>
    <x:row r="669">
      <x:c r="A669" s="94" t="str">
        <x:v>T0665</x:v>
      </x:c>
      <x:c r="B669" s="95" t="str">
        <x:v>科学AI、仿真与数字孪生</x:v>
      </x:c>
      <x:c r="C669" s="95" t="str">
        <x:v>科学机器学习、仿真与数字孪生</x:v>
      </x:c>
      <x:c r="D669" s="95" t="str">
        <x:v>关键支撑</x:v>
      </x:c>
      <x:c r="E669" s="100" t="n">
        <x:v>8</x:v>
      </x:c>
      <x:c r="F669" s="95" t="str">
        <x:v>迁移发现</x:v>
      </x:c>
      <x:c r="G669" s="95" t="str">
        <x:v>C 迁移发现与机理建模</x:v>
      </x:c>
      <x:c r="H669" s="95" t="str">
        <x:v>数据同化</x:v>
      </x:c>
      <x:c r="I669" s="95" t="str">
        <x:v>用灰箱/潜变量模型连接传导曲线、热史与候选机理，同时显式保留模型偏差。</x:v>
      </x:c>
      <x:c r="J669" s="95" t="str">
        <x:v>用于酸–黏土知识图谱、桥接假设、预测签名、反例设计和层级贝叶斯更新。</x:v>
      </x:c>
      <x:c r="K669" s="95" t="str">
        <x:v>可支撑假设与模型比较，但不能仅凭EIS确认微观结构机制。</x:v>
      </x:c>
      <x:c r="L669" s="95" t="str">
        <x:v>M2 扩展与复现（5–12月）</x:v>
      </x:c>
      <x:c r="M669" s="95" t="str">
        <x:v>按瓶颈接入</x:v>
      </x:c>
      <x:c r="N669" s="95" t="str">
        <x:v>P1</x:v>
      </x:c>
      <x:c r="O669" s="95" t="str">
        <x:v>https://www.nature.com/articles/s41586-021-03819-2</x:v>
      </x:c>
      <x:c r="P669" s="96" t="str">
        <x:v>待评审</x:v>
      </x:c>
    </x:row>
    <x:row r="670">
      <x:c r="A670" s="94" t="str">
        <x:v>T0666</x:v>
      </x:c>
      <x:c r="B670" s="95" t="str">
        <x:v>科学AI、仿真与数字孪生</x:v>
      </x:c>
      <x:c r="C670" s="95" t="str">
        <x:v>科学机器学习、仿真与数字孪生</x:v>
      </x:c>
      <x:c r="D670" s="95" t="str">
        <x:v>研究储备</x:v>
      </x:c>
      <x:c r="E670" s="100" t="n">
        <x:v>5</x:v>
      </x:c>
      <x:c r="F670" s="95" t="str">
        <x:v>迁移发现</x:v>
      </x:c>
      <x:c r="G670" s="95" t="str">
        <x:v>C 迁移发现与机理建模</x:v>
      </x:c>
      <x:c r="H670" s="95" t="str">
        <x:v>卡尔曼滤波</x:v>
      </x:c>
      <x:c r="I670" s="95" t="str">
        <x:v>用灰箱/潜变量模型连接传导曲线、热史与候选机理，同时显式保留模型偏差。</x:v>
      </x:c>
      <x:c r="J670" s="95" t="str">
        <x:v>用于酸–黏土知识图谱、桥接假设、预测签名、反例设计和层级贝叶斯更新。</x:v>
      </x:c>
      <x:c r="K670" s="95" t="str">
        <x:v>可支撑假设与模型比较，但不能仅凭EIS确认微观结构机制。</x:v>
      </x:c>
      <x:c r="L670" s="95" t="str">
        <x:v>M3 研究储备</x:v>
      </x:c>
      <x:c r="M670" s="95" t="str">
        <x:v>条件具备后</x:v>
      </x:c>
      <x:c r="N670" s="95" t="str">
        <x:v>P1</x:v>
      </x:c>
      <x:c r="O670" s="95" t="str">
        <x:v>https://www.nature.com/articles/s41586-023-06735-9</x:v>
      </x:c>
      <x:c r="P670" s="96" t="str">
        <x:v>待评审</x:v>
      </x:c>
    </x:row>
    <x:row r="671">
      <x:c r="A671" s="94" t="str">
        <x:v>T0667</x:v>
      </x:c>
      <x:c r="B671" s="95" t="str">
        <x:v>科学AI、仿真与数字孪生</x:v>
      </x:c>
      <x:c r="C671" s="95" t="str">
        <x:v>科学机器学习、仿真与数字孪生</x:v>
      </x:c>
      <x:c r="D671" s="95" t="str">
        <x:v>研究储备</x:v>
      </x:c>
      <x:c r="E671" s="100" t="n">
        <x:v>5</x:v>
      </x:c>
      <x:c r="F671" s="95" t="str">
        <x:v>迁移发现</x:v>
      </x:c>
      <x:c r="G671" s="95" t="str">
        <x:v>C 迁移发现与机理建模</x:v>
      </x:c>
      <x:c r="H671" s="95" t="str">
        <x:v>粒子滤波</x:v>
      </x:c>
      <x:c r="I671" s="95" t="str">
        <x:v>用灰箱/潜变量模型连接传导曲线、热史与候选机理，同时显式保留模型偏差。</x:v>
      </x:c>
      <x:c r="J671" s="95" t="str">
        <x:v>用于酸–黏土知识图谱、桥接假设、预测签名、反例设计和层级贝叶斯更新。</x:v>
      </x:c>
      <x:c r="K671" s="95" t="str">
        <x:v>可支撑假设与模型比较，但不能仅凭EIS确认微观结构机制。</x:v>
      </x:c>
      <x:c r="L671" s="95" t="str">
        <x:v>M3 研究储备</x:v>
      </x:c>
      <x:c r="M671" s="95" t="str">
        <x:v>条件具备后</x:v>
      </x:c>
      <x:c r="N671" s="95" t="str">
        <x:v>P1</x:v>
      </x:c>
      <x:c r="O671" s="95" t="str">
        <x:v>https://arxiv.org/abs/1711.10561</x:v>
      </x:c>
      <x:c r="P671" s="96" t="str">
        <x:v>待评审</x:v>
      </x:c>
    </x:row>
    <x:row r="672">
      <x:c r="A672" s="94" t="str">
        <x:v>T0668</x:v>
      </x:c>
      <x:c r="B672" s="95" t="str">
        <x:v>科学AI、仿真与数字孪生</x:v>
      </x:c>
      <x:c r="C672" s="95" t="str">
        <x:v>科学机器学习、仿真与数字孪生</x:v>
      </x:c>
      <x:c r="D672" s="95" t="str">
        <x:v>研究储备</x:v>
      </x:c>
      <x:c r="E672" s="100" t="n">
        <x:v>6</x:v>
      </x:c>
      <x:c r="F672" s="95" t="str">
        <x:v>迁移发现</x:v>
      </x:c>
      <x:c r="G672" s="95" t="str">
        <x:v>C 迁移发现与机理建模</x:v>
      </x:c>
      <x:c r="H672" s="95" t="str">
        <x:v>数字孪生</x:v>
      </x:c>
      <x:c r="I672" s="95" t="str">
        <x:v>用灰箱/潜变量模型连接传导曲线、热史与候选机理，同时显式保留模型偏差。</x:v>
      </x:c>
      <x:c r="J672" s="95" t="str">
        <x:v>用于酸–黏土知识图谱、桥接假设、预测签名、反例设计和层级贝叶斯更新。</x:v>
      </x:c>
      <x:c r="K672" s="95" t="str">
        <x:v>可支撑假设与模型比较，但不能仅凭EIS确认微观结构机制。</x:v>
      </x:c>
      <x:c r="L672" s="95" t="str">
        <x:v>M3 研究储备</x:v>
      </x:c>
      <x:c r="M672" s="95" t="str">
        <x:v>条件具备后</x:v>
      </x:c>
      <x:c r="N672" s="95" t="str">
        <x:v>P1</x:v>
      </x:c>
      <x:c r="O672" s="95" t="str">
        <x:v>https://www.nist.gov/digital-twins</x:v>
      </x:c>
      <x:c r="P672" s="96" t="str">
        <x:v>待评审</x:v>
      </x:c>
    </x:row>
    <x:row r="673">
      <x:c r="A673" s="94" t="str">
        <x:v>T0669</x:v>
      </x:c>
      <x:c r="B673" s="95" t="str">
        <x:v>科学AI、仿真与数字孪生</x:v>
      </x:c>
      <x:c r="C673" s="95" t="str">
        <x:v>科学机器学习、仿真与数字孪生</x:v>
      </x:c>
      <x:c r="D673" s="95" t="str">
        <x:v>研究储备</x:v>
      </x:c>
      <x:c r="E673" s="100" t="n">
        <x:v>5</x:v>
      </x:c>
      <x:c r="F673" s="95" t="str">
        <x:v>迁移发现</x:v>
      </x:c>
      <x:c r="G673" s="95" t="str">
        <x:v>C 迁移发现与机理建模</x:v>
      </x:c>
      <x:c r="H673" s="95" t="str">
        <x:v>实时同步</x:v>
      </x:c>
      <x:c r="I673" s="95" t="str">
        <x:v>用灰箱/潜变量模型连接传导曲线、热史与候选机理，同时显式保留模型偏差。</x:v>
      </x:c>
      <x:c r="J673" s="95" t="str">
        <x:v>用于酸–黏土知识图谱、桥接假设、预测签名、反例设计和层级贝叶斯更新。</x:v>
      </x:c>
      <x:c r="K673" s="95" t="str">
        <x:v>可支撑假设与模型比较，但不能仅凭EIS确认微观结构机制。</x:v>
      </x:c>
      <x:c r="L673" s="95" t="str">
        <x:v>M3 研究储备</x:v>
      </x:c>
      <x:c r="M673" s="95" t="str">
        <x:v>条件具备后</x:v>
      </x:c>
      <x:c r="N673" s="95" t="str">
        <x:v>P2</x:v>
      </x:c>
      <x:c r="O673" s="95" t="str">
        <x:v>https://www.nature.com/articles/s41586-021-03819-2</x:v>
      </x:c>
      <x:c r="P673" s="96" t="str">
        <x:v>待评审</x:v>
      </x:c>
    </x:row>
    <x:row r="674">
      <x:c r="A674" s="94" t="str">
        <x:v>T0670</x:v>
      </x:c>
      <x:c r="B674" s="95" t="str">
        <x:v>科学AI、仿真与数字孪生</x:v>
      </x:c>
      <x:c r="C674" s="95" t="str">
        <x:v>科学机器学习、仿真与数字孪生</x:v>
      </x:c>
      <x:c r="D674" s="95" t="str">
        <x:v>研究储备</x:v>
      </x:c>
      <x:c r="E674" s="100" t="n">
        <x:v>5</x:v>
      </x:c>
      <x:c r="F674" s="95" t="str">
        <x:v>迁移发现</x:v>
      </x:c>
      <x:c r="G674" s="95" t="str">
        <x:v>C 迁移发现与机理建模</x:v>
      </x:c>
      <x:c r="H674" s="95" t="str">
        <x:v>状态估计</x:v>
      </x:c>
      <x:c r="I674" s="95" t="str">
        <x:v>用灰箱/潜变量模型连接传导曲线、热史与候选机理，同时显式保留模型偏差。</x:v>
      </x:c>
      <x:c r="J674" s="95" t="str">
        <x:v>用于酸–黏土知识图谱、桥接假设、预测签名、反例设计和层级贝叶斯更新。</x:v>
      </x:c>
      <x:c r="K674" s="95" t="str">
        <x:v>可支撑假设与模型比较，但不能仅凭EIS确认微观结构机制。</x:v>
      </x:c>
      <x:c r="L674" s="95" t="str">
        <x:v>M3 研究储备</x:v>
      </x:c>
      <x:c r="M674" s="95" t="str">
        <x:v>条件具备后</x:v>
      </x:c>
      <x:c r="N674" s="95" t="str">
        <x:v>P2</x:v>
      </x:c>
      <x:c r="O674" s="95" t="str">
        <x:v>https://www.nature.com/articles/s41586-023-06735-9</x:v>
      </x:c>
      <x:c r="P674" s="96" t="str">
        <x:v>待评审</x:v>
      </x:c>
    </x:row>
    <x:row r="675">
      <x:c r="A675" s="94" t="str">
        <x:v>T0671</x:v>
      </x:c>
      <x:c r="B675" s="95" t="str">
        <x:v>科学AI、仿真与数字孪生</x:v>
      </x:c>
      <x:c r="C675" s="95" t="str">
        <x:v>科学机器学习、仿真与数字孪生</x:v>
      </x:c>
      <x:c r="D675" s="95" t="str">
        <x:v>关键支撑</x:v>
      </x:c>
      <x:c r="E675" s="100" t="n">
        <x:v>8</x:v>
      </x:c>
      <x:c r="F675" s="95" t="str">
        <x:v>迁移发现</x:v>
      </x:c>
      <x:c r="G675" s="95" t="str">
        <x:v>C 迁移发现与机理建模</x:v>
      </x:c>
      <x:c r="H675" s="95" t="str">
        <x:v>系统辨识</x:v>
      </x:c>
      <x:c r="I675" s="95" t="str">
        <x:v>用灰箱/潜变量模型连接传导曲线、热史与候选机理，同时显式保留模型偏差。</x:v>
      </x:c>
      <x:c r="J675" s="95" t="str">
        <x:v>用于酸–黏土知识图谱、桥接假设、预测签名、反例设计和层级贝叶斯更新。</x:v>
      </x:c>
      <x:c r="K675" s="95" t="str">
        <x:v>可支撑假设与模型比较，但不能仅凭EIS确认微观结构机制。</x:v>
      </x:c>
      <x:c r="L675" s="95" t="str">
        <x:v>M2 扩展与复现（5–12月）</x:v>
      </x:c>
      <x:c r="M675" s="95" t="str">
        <x:v>按瓶颈接入</x:v>
      </x:c>
      <x:c r="N675" s="95" t="str">
        <x:v>P2</x:v>
      </x:c>
      <x:c r="O675" s="95" t="str">
        <x:v>https://arxiv.org/abs/1711.10561</x:v>
      </x:c>
      <x:c r="P675" s="96" t="str">
        <x:v>待评审</x:v>
      </x:c>
    </x:row>
    <x:row r="676">
      <x:c r="A676" s="94" t="str">
        <x:v>T0672</x:v>
      </x:c>
      <x:c r="B676" s="95" t="str">
        <x:v>科学AI、仿真与数字孪生</x:v>
      </x:c>
      <x:c r="C676" s="95" t="str">
        <x:v>科学机器学习、仿真与数字孪生</x:v>
      </x:c>
      <x:c r="D676" s="95" t="str">
        <x:v>关键支撑</x:v>
      </x:c>
      <x:c r="E676" s="100" t="n">
        <x:v>8</x:v>
      </x:c>
      <x:c r="F676" s="95" t="str">
        <x:v>迁移发现</x:v>
      </x:c>
      <x:c r="G676" s="95" t="str">
        <x:v>C 迁移发现与机理建模</x:v>
      </x:c>
      <x:c r="H676" s="95" t="str">
        <x:v>模型偏差</x:v>
      </x:c>
      <x:c r="I676" s="95" t="str">
        <x:v>用灰箱/潜变量模型连接传导曲线、热史与候选机理，同时显式保留模型偏差。</x:v>
      </x:c>
      <x:c r="J676" s="95" t="str">
        <x:v>用于酸–黏土知识图谱、桥接假设、预测签名、反例设计和层级贝叶斯更新。</x:v>
      </x:c>
      <x:c r="K676" s="95" t="str">
        <x:v>可支撑假设与模型比较，但不能仅凭EIS确认微观结构机制。</x:v>
      </x:c>
      <x:c r="L676" s="95" t="str">
        <x:v>M2 扩展与复现（5–12月）</x:v>
      </x:c>
      <x:c r="M676" s="95" t="str">
        <x:v>按瓶颈接入</x:v>
      </x:c>
      <x:c r="N676" s="95" t="str">
        <x:v>P2</x:v>
      </x:c>
      <x:c r="O676" s="95" t="str">
        <x:v>https://www.nist.gov/digital-twins</x:v>
      </x:c>
      <x:c r="P676" s="96" t="str">
        <x:v>待评审</x:v>
      </x:c>
    </x:row>
    <x:row r="677">
      <x:c r="A677" s="94" t="str">
        <x:v>T0673</x:v>
      </x:c>
      <x:c r="B677" s="95" t="str">
        <x:v>科学AI、仿真与数字孪生</x:v>
      </x:c>
      <x:c r="C677" s="95" t="str">
        <x:v>科学机器学习、仿真与数字孪生</x:v>
      </x:c>
      <x:c r="D677" s="95" t="str">
        <x:v>研究储备</x:v>
      </x:c>
      <x:c r="E677" s="100" t="n">
        <x:v>5</x:v>
      </x:c>
      <x:c r="F677" s="95" t="str">
        <x:v>迁移发现</x:v>
      </x:c>
      <x:c r="G677" s="95" t="str">
        <x:v>C 迁移发现与机理建模</x:v>
      </x:c>
      <x:c r="H677" s="95" t="str">
        <x:v>灰盒模型</x:v>
      </x:c>
      <x:c r="I677" s="95" t="str">
        <x:v>用灰箱/潜变量模型连接传导曲线、热史与候选机理，同时显式保留模型偏差。</x:v>
      </x:c>
      <x:c r="J677" s="95" t="str">
        <x:v>用于酸–黏土知识图谱、桥接假设、预测签名、反例设计和层级贝叶斯更新。</x:v>
      </x:c>
      <x:c r="K677" s="95" t="str">
        <x:v>可支撑假设与模型比较，但不能仅凭EIS确认微观结构机制。</x:v>
      </x:c>
      <x:c r="L677" s="95" t="str">
        <x:v>M3 研究储备</x:v>
      </x:c>
      <x:c r="M677" s="95" t="str">
        <x:v>条件具备后</x:v>
      </x:c>
      <x:c r="N677" s="95" t="str">
        <x:v>P2</x:v>
      </x:c>
      <x:c r="O677" s="95" t="str">
        <x:v>https://www.nature.com/articles/s41586-021-03819-2</x:v>
      </x:c>
      <x:c r="P677" s="96" t="str">
        <x:v>待评审</x:v>
      </x:c>
    </x:row>
    <x:row r="678">
      <x:c r="A678" s="94" t="str">
        <x:v>T0674</x:v>
      </x:c>
      <x:c r="B678" s="95" t="str">
        <x:v>科学AI、仿真与数字孪生</x:v>
      </x:c>
      <x:c r="C678" s="95" t="str">
        <x:v>科学机器学习、仿真与数字孪生</x:v>
      </x:c>
      <x:c r="D678" s="95" t="str">
        <x:v>关键支撑</x:v>
      </x:c>
      <x:c r="E678" s="100" t="n">
        <x:v>8</x:v>
      </x:c>
      <x:c r="F678" s="95" t="str">
        <x:v>迁移发现</x:v>
      </x:c>
      <x:c r="G678" s="95" t="str">
        <x:v>C 迁移发现与机理建模</x:v>
      </x:c>
      <x:c r="H678" s="95" t="str">
        <x:v>混合机理—数据模型</x:v>
      </x:c>
      <x:c r="I678" s="95" t="str">
        <x:v>用灰箱/潜变量模型连接传导曲线、热史与候选机理，同时显式保留模型偏差。</x:v>
      </x:c>
      <x:c r="J678" s="95" t="str">
        <x:v>用于酸–黏土知识图谱、桥接假设、预测签名、反例设计和层级贝叶斯更新。</x:v>
      </x:c>
      <x:c r="K678" s="95" t="str">
        <x:v>可支撑假设与模型比较，但不能仅凭EIS确认微观结构机制。</x:v>
      </x:c>
      <x:c r="L678" s="95" t="str">
        <x:v>M2 扩展与复现（5–12月）</x:v>
      </x:c>
      <x:c r="M678" s="95" t="str">
        <x:v>按瓶颈接入</x:v>
      </x:c>
      <x:c r="N678" s="95" t="str">
        <x:v>P2</x:v>
      </x:c>
      <x:c r="O678" s="95" t="str">
        <x:v>https://www.nature.com/articles/s41586-023-06735-9</x:v>
      </x:c>
      <x:c r="P678" s="96" t="str">
        <x:v>待评审</x:v>
      </x:c>
    </x:row>
    <x:row r="679">
      <x:c r="A679" s="94" t="str">
        <x:v>T0675</x:v>
      </x:c>
      <x:c r="B679" s="95" t="str">
        <x:v>科学AI、仿真与数字孪生</x:v>
      </x:c>
      <x:c r="C679" s="95" t="str">
        <x:v>科学机器学习、仿真与数字孪生</x:v>
      </x:c>
      <x:c r="D679" s="95" t="str">
        <x:v>关键支撑</x:v>
      </x:c>
      <x:c r="E679" s="100" t="n">
        <x:v>8</x:v>
      </x:c>
      <x:c r="F679" s="95" t="str">
        <x:v>迁移发现</x:v>
      </x:c>
      <x:c r="G679" s="95" t="str">
        <x:v>C 迁移发现与机理建模</x:v>
      </x:c>
      <x:c r="H679" s="95" t="str">
        <x:v>多保真仿真</x:v>
      </x:c>
      <x:c r="I679" s="95" t="str">
        <x:v>用灰箱/潜变量模型连接传导曲线、热史与候选机理，同时显式保留模型偏差。</x:v>
      </x:c>
      <x:c r="J679" s="95" t="str">
        <x:v>用于酸–黏土知识图谱、桥接假设、预测签名、反例设计和层级贝叶斯更新。</x:v>
      </x:c>
      <x:c r="K679" s="95" t="str">
        <x:v>可支撑假设与模型比较，但不能仅凭EIS确认微观结构机制。</x:v>
      </x:c>
      <x:c r="L679" s="95" t="str">
        <x:v>M2 扩展与复现（5–12月）</x:v>
      </x:c>
      <x:c r="M679" s="95" t="str">
        <x:v>按瓶颈接入</x:v>
      </x:c>
      <x:c r="N679" s="95" t="str">
        <x:v>P2</x:v>
      </x:c>
      <x:c r="O679" s="95" t="str">
        <x:v>https://arxiv.org/abs/1711.10561</x:v>
      </x:c>
      <x:c r="P679" s="96" t="str">
        <x:v>待评审</x:v>
      </x:c>
    </x:row>
    <x:row r="680">
      <x:c r="A680" s="94" t="str">
        <x:v>T0676</x:v>
      </x:c>
      <x:c r="B680" s="95" t="str">
        <x:v>科学AI、仿真与数字孪生</x:v>
      </x:c>
      <x:c r="C680" s="95" t="str">
        <x:v>科学机器学习、仿真与数字孪生</x:v>
      </x:c>
      <x:c r="D680" s="95" t="str">
        <x:v>研究储备</x:v>
      </x:c>
      <x:c r="E680" s="100" t="n">
        <x:v>5</x:v>
      </x:c>
      <x:c r="F680" s="95" t="str">
        <x:v>迁移发现</x:v>
      </x:c>
      <x:c r="G680" s="95" t="str">
        <x:v>C 迁移发现与机理建模</x:v>
      </x:c>
      <x:c r="H680" s="95" t="str">
        <x:v>仿真推断</x:v>
      </x:c>
      <x:c r="I680" s="95" t="str">
        <x:v>用灰箱/潜变量模型连接传导曲线、热史与候选机理，同时显式保留模型偏差。</x:v>
      </x:c>
      <x:c r="J680" s="95" t="str">
        <x:v>用于酸–黏土知识图谱、桥接假设、预测签名、反例设计和层级贝叶斯更新。</x:v>
      </x:c>
      <x:c r="K680" s="95" t="str">
        <x:v>可支撑假设与模型比较，但不能仅凭EIS确认微观结构机制。</x:v>
      </x:c>
      <x:c r="L680" s="95" t="str">
        <x:v>M3 研究储备</x:v>
      </x:c>
      <x:c r="M680" s="95" t="str">
        <x:v>条件具备后</x:v>
      </x:c>
      <x:c r="N680" s="95" t="str">
        <x:v>P2</x:v>
      </x:c>
      <x:c r="O680" s="95" t="str">
        <x:v>https://www.nist.gov/digital-twins</x:v>
      </x:c>
      <x:c r="P680" s="96" t="str">
        <x:v>待评审</x:v>
      </x:c>
    </x:row>
    <x:row r="681">
      <x:c r="A681" s="94" t="str">
        <x:v>T0677</x:v>
      </x:c>
      <x:c r="B681" s="95" t="str">
        <x:v>科学AI、仿真与数字孪生</x:v>
      </x:c>
      <x:c r="C681" s="95" t="str">
        <x:v>科学机器学习、仿真与数字孪生</x:v>
      </x:c>
      <x:c r="D681" s="95" t="str">
        <x:v>研究储备</x:v>
      </x:c>
      <x:c r="E681" s="100" t="n">
        <x:v>5</x:v>
      </x:c>
      <x:c r="F681" s="95" t="str">
        <x:v>迁移发现</x:v>
      </x:c>
      <x:c r="G681" s="95" t="str">
        <x:v>C 迁移发现与机理建模</x:v>
      </x:c>
      <x:c r="H681" s="95" t="str">
        <x:v>合成数据</x:v>
      </x:c>
      <x:c r="I681" s="95" t="str">
        <x:v>用灰箱/潜变量模型连接传导曲线、热史与候选机理，同时显式保留模型偏差。</x:v>
      </x:c>
      <x:c r="J681" s="95" t="str">
        <x:v>用于酸–黏土知识图谱、桥接假设、预测签名、反例设计和层级贝叶斯更新。</x:v>
      </x:c>
      <x:c r="K681" s="95" t="str">
        <x:v>可支撑假设与模型比较，但不能仅凭EIS确认微观结构机制。</x:v>
      </x:c>
      <x:c r="L681" s="95" t="str">
        <x:v>M3 研究储备</x:v>
      </x:c>
      <x:c r="M681" s="95" t="str">
        <x:v>条件具备后</x:v>
      </x:c>
      <x:c r="N681" s="95" t="str">
        <x:v>P2</x:v>
      </x:c>
      <x:c r="O681" s="95" t="str">
        <x:v>https://www.nature.com/articles/s41586-021-03819-2</x:v>
      </x:c>
      <x:c r="P681" s="96" t="str">
        <x:v>待评审</x:v>
      </x:c>
    </x:row>
    <x:row r="682">
      <x:c r="A682" s="94" t="str">
        <x:v>T0678</x:v>
      </x:c>
      <x:c r="B682" s="95" t="str">
        <x:v>科学AI、仿真与数字孪生</x:v>
      </x:c>
      <x:c r="C682" s="95" t="str">
        <x:v>科学机器学习、仿真与数字孪生</x:v>
      </x:c>
      <x:c r="D682" s="95" t="str">
        <x:v>关键支撑</x:v>
      </x:c>
      <x:c r="E682" s="100" t="n">
        <x:v>8</x:v>
      </x:c>
      <x:c r="F682" s="95" t="str">
        <x:v>迁移发现</x:v>
      </x:c>
      <x:c r="G682" s="95" t="str">
        <x:v>C 迁移发现与机理建模</x:v>
      </x:c>
      <x:c r="H682" s="95" t="str">
        <x:v>域随机化</x:v>
      </x:c>
      <x:c r="I682" s="95" t="str">
        <x:v>用灰箱/潜变量模型连接传导曲线、热史与候选机理，同时显式保留模型偏差。</x:v>
      </x:c>
      <x:c r="J682" s="95" t="str">
        <x:v>用于酸–黏土知识图谱、桥接假设、预测签名、反例设计和层级贝叶斯更新。</x:v>
      </x:c>
      <x:c r="K682" s="95" t="str">
        <x:v>可支撑假设与模型比较，但不能仅凭EIS确认微观结构机制。</x:v>
      </x:c>
      <x:c r="L682" s="95" t="str">
        <x:v>M2 扩展与复现（5–12月）</x:v>
      </x:c>
      <x:c r="M682" s="95" t="str">
        <x:v>按瓶颈接入</x:v>
      </x:c>
      <x:c r="N682" s="95" t="str">
        <x:v>P2</x:v>
      </x:c>
      <x:c r="O682" s="95" t="str">
        <x:v>https://www.nature.com/articles/s41586-023-06735-9</x:v>
      </x:c>
      <x:c r="P682" s="96" t="str">
        <x:v>待评审</x:v>
      </x:c>
    </x:row>
    <x:row r="683">
      <x:c r="A683" s="94" t="str">
        <x:v>T0679</x:v>
      </x:c>
      <x:c r="B683" s="95" t="str">
        <x:v>科学AI、仿真与数字孪生</x:v>
      </x:c>
      <x:c r="C683" s="95" t="str">
        <x:v>科学机器学习、仿真与数字孪生</x:v>
      </x:c>
      <x:c r="D683" s="95" t="str">
        <x:v>研究储备</x:v>
      </x:c>
      <x:c r="E683" s="100" t="n">
        <x:v>5</x:v>
      </x:c>
      <x:c r="F683" s="95" t="str">
        <x:v>迁移发现</x:v>
      </x:c>
      <x:c r="G683" s="95" t="str">
        <x:v>C 迁移发现与机理建模</x:v>
      </x:c>
      <x:c r="H683" s="95" t="str">
        <x:v>Sim-to-Real</x:v>
      </x:c>
      <x:c r="I683" s="95" t="str">
        <x:v>用灰箱/潜变量模型连接传导曲线、热史与候选机理，同时显式保留模型偏差。</x:v>
      </x:c>
      <x:c r="J683" s="95" t="str">
        <x:v>用于酸–黏土知识图谱、桥接假设、预测签名、反例设计和层级贝叶斯更新。</x:v>
      </x:c>
      <x:c r="K683" s="95" t="str">
        <x:v>可支撑假设与模型比较，但不能仅凭EIS确认微观结构机制。</x:v>
      </x:c>
      <x:c r="L683" s="95" t="str">
        <x:v>M3 研究储备</x:v>
      </x:c>
      <x:c r="M683" s="95" t="str">
        <x:v>条件具备后</x:v>
      </x:c>
      <x:c r="N683" s="95" t="str">
        <x:v>P2</x:v>
      </x:c>
      <x:c r="O683" s="95" t="str">
        <x:v>https://arxiv.org/abs/1711.10561</x:v>
      </x:c>
      <x:c r="P683" s="96" t="str">
        <x:v>待评审</x:v>
      </x:c>
    </x:row>
    <x:row r="684">
      <x:c r="A684" s="94" t="str">
        <x:v>T0680</x:v>
      </x:c>
      <x:c r="B684" s="95" t="str">
        <x:v>科学AI、仿真与数字孪生</x:v>
      </x:c>
      <x:c r="C684" s="95" t="str">
        <x:v>科学机器学习、仿真与数字孪生</x:v>
      </x:c>
      <x:c r="D684" s="95" t="str">
        <x:v>研究储备</x:v>
      </x:c>
      <x:c r="E684" s="100" t="n">
        <x:v>5</x:v>
      </x:c>
      <x:c r="F684" s="95" t="str">
        <x:v>迁移发现</x:v>
      </x:c>
      <x:c r="G684" s="95" t="str">
        <x:v>C 迁移发现与机理建模</x:v>
      </x:c>
      <x:c r="H684" s="95" t="str">
        <x:v>虚拟调试</x:v>
      </x:c>
      <x:c r="I684" s="95" t="str">
        <x:v>用灰箱/潜变量模型连接传导曲线、热史与候选机理，同时显式保留模型偏差。</x:v>
      </x:c>
      <x:c r="J684" s="95" t="str">
        <x:v>用于酸–黏土知识图谱、桥接假设、预测签名、反例设计和层级贝叶斯更新。</x:v>
      </x:c>
      <x:c r="K684" s="95" t="str">
        <x:v>可支撑假设与模型比较，但不能仅凭EIS确认微观结构机制。</x:v>
      </x:c>
      <x:c r="L684" s="95" t="str">
        <x:v>M3 研究储备</x:v>
      </x:c>
      <x:c r="M684" s="95" t="str">
        <x:v>条件具备后</x:v>
      </x:c>
      <x:c r="N684" s="95" t="str">
        <x:v>P2</x:v>
      </x:c>
      <x:c r="O684" s="95" t="str">
        <x:v>https://www.nist.gov/digital-twins</x:v>
      </x:c>
      <x:c r="P684" s="96" t="str">
        <x:v>待评审</x:v>
      </x:c>
    </x:row>
    <x:row r="685">
      <x:c r="A685" s="94" t="str">
        <x:v>T0681</x:v>
      </x:c>
      <x:c r="B685" s="95" t="str">
        <x:v>科学AI、仿真与数字孪生</x:v>
      </x:c>
      <x:c r="C685" s="95" t="str">
        <x:v>分子/材料表征、生成式与逆向设计</x:v>
      </x:c>
      <x:c r="D685" s="95" t="str">
        <x:v>当前低优先</x:v>
      </x:c>
      <x:c r="E685" s="100" t="n">
        <x:v>2</x:v>
      </x:c>
      <x:c r="F685" s="95" t="str">
        <x:v>未来扩展</x:v>
      </x:c>
      <x:c r="G685" s="95" t="str">
        <x:v>H 未来表征与生成扩展</x:v>
      </x:c>
      <x:c r="H685" s="95" t="str">
        <x:v>SMILES表示</x:v>
      </x:c>
      <x:c r="I685" s="95" t="str">
        <x:v>未来扩展结构证据和更大候选空间；当前不应成为主线依赖。</x:v>
      </x:c>
      <x:c r="J685" s="95" t="str">
        <x:v>作为后续正交证据或扩大搜索空间的研究储备，不进入当前最小闭环。</x:v>
      </x:c>
      <x:c r="K685" s="95" t="str">
        <x:v>当前缺少结构表征，不作为结论前提。</x:v>
      </x:c>
      <x:c r="L685" s="95" t="str">
        <x:v>暂缓</x:v>
      </x:c>
      <x:c r="M685" s="95" t="str">
        <x:v>当前不投入</x:v>
      </x:c>
      <x:c r="N685" s="95" t="str">
        <x:v>P0</x:v>
      </x:c>
      <x:c r="O685" s="95" t="str">
        <x:v>https://www.nature.com/articles/s42256-024-00832-8</x:v>
      </x:c>
      <x:c r="P685" s="96" t="str">
        <x:v>待评审</x:v>
      </x:c>
    </x:row>
    <x:row r="686">
      <x:c r="A686" s="94" t="str">
        <x:v>T0682</x:v>
      </x:c>
      <x:c r="B686" s="95" t="str">
        <x:v>科学AI、仿真与数字孪生</x:v>
      </x:c>
      <x:c r="C686" s="95" t="str">
        <x:v>分子/材料表征、生成式与逆向设计</x:v>
      </x:c>
      <x:c r="D686" s="95" t="str">
        <x:v>当前低优先</x:v>
      </x:c>
      <x:c r="E686" s="100" t="n">
        <x:v>2</x:v>
      </x:c>
      <x:c r="F686" s="95" t="str">
        <x:v>未来扩展</x:v>
      </x:c>
      <x:c r="G686" s="95" t="str">
        <x:v>H 未来表征与生成扩展</x:v>
      </x:c>
      <x:c r="H686" s="95" t="str">
        <x:v>SELFIES表示</x:v>
      </x:c>
      <x:c r="I686" s="95" t="str">
        <x:v>未来扩展结构证据和更大候选空间；当前不应成为主线依赖。</x:v>
      </x:c>
      <x:c r="J686" s="95" t="str">
        <x:v>作为后续正交证据或扩大搜索空间的研究储备，不进入当前最小闭环。</x:v>
      </x:c>
      <x:c r="K686" s="95" t="str">
        <x:v>当前缺少结构表征，不作为结论前提。</x:v>
      </x:c>
      <x:c r="L686" s="95" t="str">
        <x:v>暂缓</x:v>
      </x:c>
      <x:c r="M686" s="95" t="str">
        <x:v>当前不投入</x:v>
      </x:c>
      <x:c r="N686" s="95" t="str">
        <x:v>P0</x:v>
      </x:c>
      <x:c r="O686" s="95" t="str">
        <x:v>https://www.nature.com/articles/s41586-021-03819-2</x:v>
      </x:c>
      <x:c r="P686" s="96" t="str">
        <x:v>待评审</x:v>
      </x:c>
    </x:row>
    <x:row r="687">
      <x:c r="A687" s="94" t="str">
        <x:v>T0683</x:v>
      </x:c>
      <x:c r="B687" s="95" t="str">
        <x:v>科学AI、仿真与数字孪生</x:v>
      </x:c>
      <x:c r="C687" s="95" t="str">
        <x:v>分子/材料表征、生成式与逆向设计</x:v>
      </x:c>
      <x:c r="D687" s="95" t="str">
        <x:v>当前低优先</x:v>
      </x:c>
      <x:c r="E687" s="100" t="n">
        <x:v>2</x:v>
      </x:c>
      <x:c r="F687" s="95" t="str">
        <x:v>未来扩展</x:v>
      </x:c>
      <x:c r="G687" s="95" t="str">
        <x:v>H 未来表征与生成扩展</x:v>
      </x:c>
      <x:c r="H687" s="95" t="str">
        <x:v>分子图</x:v>
      </x:c>
      <x:c r="I687" s="95" t="str">
        <x:v>未来扩展结构证据和更大候选空间；当前不应成为主线依赖。</x:v>
      </x:c>
      <x:c r="J687" s="95" t="str">
        <x:v>作为后续正交证据或扩大搜索空间的研究储备，不进入当前最小闭环。</x:v>
      </x:c>
      <x:c r="K687" s="95" t="str">
        <x:v>当前缺少结构表征，不作为结论前提。</x:v>
      </x:c>
      <x:c r="L687" s="95" t="str">
        <x:v>暂缓</x:v>
      </x:c>
      <x:c r="M687" s="95" t="str">
        <x:v>当前不投入</x:v>
      </x:c>
      <x:c r="N687" s="95" t="str">
        <x:v>P0</x:v>
      </x:c>
      <x:c r="O687" s="95" t="str">
        <x:v>https://www.nature.com/articles/s41586-023-06735-9</x:v>
      </x:c>
      <x:c r="P687" s="96" t="str">
        <x:v>待评审</x:v>
      </x:c>
    </x:row>
    <x:row r="688">
      <x:c r="A688" s="94" t="str">
        <x:v>T0684</x:v>
      </x:c>
      <x:c r="B688" s="95" t="str">
        <x:v>科学AI、仿真与数字孪生</x:v>
      </x:c>
      <x:c r="C688" s="95" t="str">
        <x:v>分子/材料表征、生成式与逆向设计</x:v>
      </x:c>
      <x:c r="D688" s="95" t="str">
        <x:v>当前低优先</x:v>
      </x:c>
      <x:c r="E688" s="100" t="n">
        <x:v>2</x:v>
      </x:c>
      <x:c r="F688" s="95" t="str">
        <x:v>未来扩展</x:v>
      </x:c>
      <x:c r="G688" s="95" t="str">
        <x:v>H 未来表征与生成扩展</x:v>
      </x:c>
      <x:c r="H688" s="95" t="str">
        <x:v>三维构象</x:v>
      </x:c>
      <x:c r="I688" s="95" t="str">
        <x:v>未来扩展结构证据和更大候选空间；当前不应成为主线依赖。</x:v>
      </x:c>
      <x:c r="J688" s="95" t="str">
        <x:v>作为后续正交证据或扩大搜索空间的研究储备，不进入当前最小闭环。</x:v>
      </x:c>
      <x:c r="K688" s="95" t="str">
        <x:v>当前缺少结构表征，不作为结论前提。</x:v>
      </x:c>
      <x:c r="L688" s="95" t="str">
        <x:v>暂缓</x:v>
      </x:c>
      <x:c r="M688" s="95" t="str">
        <x:v>当前不投入</x:v>
      </x:c>
      <x:c r="N688" s="95" t="str">
        <x:v>P0</x:v>
      </x:c>
      <x:c r="O688" s="95" t="str">
        <x:v>https://www.nature.com/articles/s43246-022-00315-6</x:v>
      </x:c>
      <x:c r="P688" s="96" t="str">
        <x:v>待评审</x:v>
      </x:c>
    </x:row>
    <x:row r="689">
      <x:c r="A689" s="94" t="str">
        <x:v>T0685</x:v>
      </x:c>
      <x:c r="B689" s="95" t="str">
        <x:v>科学AI、仿真与数字孪生</x:v>
      </x:c>
      <x:c r="C689" s="95" t="str">
        <x:v>分子/材料表征、生成式与逆向设计</x:v>
      </x:c>
      <x:c r="D689" s="95" t="str">
        <x:v>当前低优先</x:v>
      </x:c>
      <x:c r="E689" s="100" t="n">
        <x:v>2</x:v>
      </x:c>
      <x:c r="F689" s="95" t="str">
        <x:v>未来扩展</x:v>
      </x:c>
      <x:c r="G689" s="95" t="str">
        <x:v>H 未来表征与生成扩展</x:v>
      </x:c>
      <x:c r="H689" s="95" t="str">
        <x:v>分子指纹</x:v>
      </x:c>
      <x:c r="I689" s="95" t="str">
        <x:v>未来扩展结构证据和更大候选空间；当前不应成为主线依赖。</x:v>
      </x:c>
      <x:c r="J689" s="95" t="str">
        <x:v>作为后续正交证据或扩大搜索空间的研究储备，不进入当前最小闭环。</x:v>
      </x:c>
      <x:c r="K689" s="95" t="str">
        <x:v>当前缺少结构表征，不作为结论前提。</x:v>
      </x:c>
      <x:c r="L689" s="95" t="str">
        <x:v>暂缓</x:v>
      </x:c>
      <x:c r="M689" s="95" t="str">
        <x:v>当前不投入</x:v>
      </x:c>
      <x:c r="N689" s="95" t="str">
        <x:v>P0</x:v>
      </x:c>
      <x:c r="O689" s="95" t="str">
        <x:v>https://www.nature.com/articles/s42256-024-00832-8</x:v>
      </x:c>
      <x:c r="P689" s="96" t="str">
        <x:v>待评审</x:v>
      </x:c>
    </x:row>
    <x:row r="690">
      <x:c r="A690" s="94" t="str">
        <x:v>T0686</x:v>
      </x:c>
      <x:c r="B690" s="95" t="str">
        <x:v>科学AI、仿真与数字孪生</x:v>
      </x:c>
      <x:c r="C690" s="95" t="str">
        <x:v>分子/材料表征、生成式与逆向设计</x:v>
      </x:c>
      <x:c r="D690" s="95" t="str">
        <x:v>当前低优先</x:v>
      </x:c>
      <x:c r="E690" s="100" t="n">
        <x:v>2</x:v>
      </x:c>
      <x:c r="F690" s="95" t="str">
        <x:v>未来扩展</x:v>
      </x:c>
      <x:c r="G690" s="95" t="str">
        <x:v>H 未来表征与生成扩展</x:v>
      </x:c>
      <x:c r="H690" s="95" t="str">
        <x:v>物化描述符</x:v>
      </x:c>
      <x:c r="I690" s="95" t="str">
        <x:v>未来扩展结构证据和更大候选空间；当前不应成为主线依赖。</x:v>
      </x:c>
      <x:c r="J690" s="95" t="str">
        <x:v>作为后续正交证据或扩大搜索空间的研究储备，不进入当前最小闭环。</x:v>
      </x:c>
      <x:c r="K690" s="95" t="str">
        <x:v>当前缺少结构表征，不作为结论前提。</x:v>
      </x:c>
      <x:c r="L690" s="95" t="str">
        <x:v>暂缓</x:v>
      </x:c>
      <x:c r="M690" s="95" t="str">
        <x:v>当前不投入</x:v>
      </x:c>
      <x:c r="N690" s="95" t="str">
        <x:v>P0</x:v>
      </x:c>
      <x:c r="O690" s="95" t="str">
        <x:v>https://www.nature.com/articles/s41586-021-03819-2</x:v>
      </x:c>
      <x:c r="P690" s="96" t="str">
        <x:v>待评审</x:v>
      </x:c>
    </x:row>
    <x:row r="691">
      <x:c r="A691" s="94" t="str">
        <x:v>T0687</x:v>
      </x:c>
      <x:c r="B691" s="95" t="str">
        <x:v>科学AI、仿真与数字孪生</x:v>
      </x:c>
      <x:c r="C691" s="95" t="str">
        <x:v>分子/材料表征、生成式与逆向设计</x:v>
      </x:c>
      <x:c r="D691" s="95" t="str">
        <x:v>当前低优先</x:v>
      </x:c>
      <x:c r="E691" s="100" t="n">
        <x:v>2</x:v>
      </x:c>
      <x:c r="F691" s="95" t="str">
        <x:v>未来扩展</x:v>
      </x:c>
      <x:c r="G691" s="95" t="str">
        <x:v>H 未来表征与生成扩展</x:v>
      </x:c>
      <x:c r="H691" s="95" t="str">
        <x:v>晶体图</x:v>
      </x:c>
      <x:c r="I691" s="95" t="str">
        <x:v>未来扩展结构证据和更大候选空间；当前不应成为主线依赖。</x:v>
      </x:c>
      <x:c r="J691" s="95" t="str">
        <x:v>作为后续正交证据或扩大搜索空间的研究储备，不进入当前最小闭环。</x:v>
      </x:c>
      <x:c r="K691" s="95" t="str">
        <x:v>当前缺少结构表征，不作为结论前提。</x:v>
      </x:c>
      <x:c r="L691" s="95" t="str">
        <x:v>暂缓</x:v>
      </x:c>
      <x:c r="M691" s="95" t="str">
        <x:v>当前不投入</x:v>
      </x:c>
      <x:c r="N691" s="95" t="str">
        <x:v>P0</x:v>
      </x:c>
      <x:c r="O691" s="95" t="str">
        <x:v>https://www.nature.com/articles/s41586-023-06735-9</x:v>
      </x:c>
      <x:c r="P691" s="96" t="str">
        <x:v>待评审</x:v>
      </x:c>
    </x:row>
    <x:row r="692">
      <x:c r="A692" s="94" t="str">
        <x:v>T0688</x:v>
      </x:c>
      <x:c r="B692" s="95" t="str">
        <x:v>科学AI、仿真与数字孪生</x:v>
      </x:c>
      <x:c r="C692" s="95" t="str">
        <x:v>分子/材料表征、生成式与逆向设计</x:v>
      </x:c>
      <x:c r="D692" s="95" t="str">
        <x:v>当前低优先</x:v>
      </x:c>
      <x:c r="E692" s="100" t="n">
        <x:v>2</x:v>
      </x:c>
      <x:c r="F692" s="95" t="str">
        <x:v>未来扩展</x:v>
      </x:c>
      <x:c r="G692" s="95" t="str">
        <x:v>H 未来表征与生成扩展</x:v>
      </x:c>
      <x:c r="H692" s="95" t="str">
        <x:v>周期图网络</x:v>
      </x:c>
      <x:c r="I692" s="95" t="str">
        <x:v>未来扩展结构证据和更大候选空间；当前不应成为主线依赖。</x:v>
      </x:c>
      <x:c r="J692" s="95" t="str">
        <x:v>作为后续正交证据或扩大搜索空间的研究储备，不进入当前最小闭环。</x:v>
      </x:c>
      <x:c r="K692" s="95" t="str">
        <x:v>当前缺少结构表征，不作为结论前提。</x:v>
      </x:c>
      <x:c r="L692" s="95" t="str">
        <x:v>暂缓</x:v>
      </x:c>
      <x:c r="M692" s="95" t="str">
        <x:v>当前不投入</x:v>
      </x:c>
      <x:c r="N692" s="95" t="str">
        <x:v>P0</x:v>
      </x:c>
      <x:c r="O692" s="95" t="str">
        <x:v>https://www.nature.com/articles/s43246-022-00315-6</x:v>
      </x:c>
      <x:c r="P692" s="96" t="str">
        <x:v>待评审</x:v>
      </x:c>
    </x:row>
    <x:row r="693">
      <x:c r="A693" s="94" t="str">
        <x:v>T0689</x:v>
      </x:c>
      <x:c r="B693" s="95" t="str">
        <x:v>科学AI、仿真与数字孪生</x:v>
      </x:c>
      <x:c r="C693" s="95" t="str">
        <x:v>分子/材料表征、生成式与逆向设计</x:v>
      </x:c>
      <x:c r="D693" s="95" t="str">
        <x:v>当前低优先</x:v>
      </x:c>
      <x:c r="E693" s="100" t="n">
        <x:v>2</x:v>
      </x:c>
      <x:c r="F693" s="95" t="str">
        <x:v>未来扩展</x:v>
      </x:c>
      <x:c r="G693" s="95" t="str">
        <x:v>H 未来表征与生成扩展</x:v>
      </x:c>
      <x:c r="H693" s="95" t="str">
        <x:v>组成向量</x:v>
      </x:c>
      <x:c r="I693" s="95" t="str">
        <x:v>未来扩展结构证据和更大候选空间；当前不应成为主线依赖。</x:v>
      </x:c>
      <x:c r="J693" s="95" t="str">
        <x:v>作为后续正交证据或扩大搜索空间的研究储备，不进入当前最小闭环。</x:v>
      </x:c>
      <x:c r="K693" s="95" t="str">
        <x:v>当前缺少结构表征，不作为结论前提。</x:v>
      </x:c>
      <x:c r="L693" s="95" t="str">
        <x:v>暂缓</x:v>
      </x:c>
      <x:c r="M693" s="95" t="str">
        <x:v>当前不投入</x:v>
      </x:c>
      <x:c r="N693" s="95" t="str">
        <x:v>P0</x:v>
      </x:c>
      <x:c r="O693" s="95" t="str">
        <x:v>https://www.nature.com/articles/s42256-024-00832-8</x:v>
      </x:c>
      <x:c r="P693" s="96" t="str">
        <x:v>待评审</x:v>
      </x:c>
    </x:row>
    <x:row r="694">
      <x:c r="A694" s="94" t="str">
        <x:v>T0690</x:v>
      </x:c>
      <x:c r="B694" s="95" t="str">
        <x:v>科学AI、仿真与数字孪生</x:v>
      </x:c>
      <x:c r="C694" s="95" t="str">
        <x:v>分子/材料表征、生成式与逆向设计</x:v>
      </x:c>
      <x:c r="D694" s="95" t="str">
        <x:v>当前低优先</x:v>
      </x:c>
      <x:c r="E694" s="100" t="n">
        <x:v>2</x:v>
      </x:c>
      <x:c r="F694" s="95" t="str">
        <x:v>未来扩展</x:v>
      </x:c>
      <x:c r="G694" s="95" t="str">
        <x:v>H 未来表征与生成扩展</x:v>
      </x:c>
      <x:c r="H694" s="95" t="str">
        <x:v>光谱嵌入</x:v>
      </x:c>
      <x:c r="I694" s="95" t="str">
        <x:v>未来扩展结构证据和更大候选空间；当前不应成为主线依赖。</x:v>
      </x:c>
      <x:c r="J694" s="95" t="str">
        <x:v>作为后续正交证据或扩大搜索空间的研究储备，不进入当前最小闭环。</x:v>
      </x:c>
      <x:c r="K694" s="95" t="str">
        <x:v>当前缺少结构表征，不作为结论前提。</x:v>
      </x:c>
      <x:c r="L694" s="95" t="str">
        <x:v>暂缓</x:v>
      </x:c>
      <x:c r="M694" s="95" t="str">
        <x:v>当前不投入</x:v>
      </x:c>
      <x:c r="N694" s="95" t="str">
        <x:v>P0</x:v>
      </x:c>
      <x:c r="O694" s="95" t="str">
        <x:v>https://www.nature.com/articles/s41586-021-03819-2</x:v>
      </x:c>
      <x:c r="P694" s="96" t="str">
        <x:v>待评审</x:v>
      </x:c>
    </x:row>
    <x:row r="695">
      <x:c r="A695" s="94" t="str">
        <x:v>T0691</x:v>
      </x:c>
      <x:c r="B695" s="95" t="str">
        <x:v>科学AI、仿真与数字孪生</x:v>
      </x:c>
      <x:c r="C695" s="95" t="str">
        <x:v>分子/材料表征、生成式与逆向设计</x:v>
      </x:c>
      <x:c r="D695" s="95" t="str">
        <x:v>当前低优先</x:v>
      </x:c>
      <x:c r="E695" s="100" t="n">
        <x:v>2</x:v>
      </x:c>
      <x:c r="F695" s="95" t="str">
        <x:v>未来扩展</x:v>
      </x:c>
      <x:c r="G695" s="95" t="str">
        <x:v>H 未来表征与生成扩展</x:v>
      </x:c>
      <x:c r="H695" s="95" t="str">
        <x:v>图像嵌入</x:v>
      </x:c>
      <x:c r="I695" s="95" t="str">
        <x:v>未来扩展结构证据和更大候选空间；当前不应成为主线依赖。</x:v>
      </x:c>
      <x:c r="J695" s="95" t="str">
        <x:v>作为后续正交证据或扩大搜索空间的研究储备，不进入当前最小闭环。</x:v>
      </x:c>
      <x:c r="K695" s="95" t="str">
        <x:v>当前缺少结构表征，不作为结论前提。</x:v>
      </x:c>
      <x:c r="L695" s="95" t="str">
        <x:v>暂缓</x:v>
      </x:c>
      <x:c r="M695" s="95" t="str">
        <x:v>当前不投入</x:v>
      </x:c>
      <x:c r="N695" s="95" t="str">
        <x:v>P1</x:v>
      </x:c>
      <x:c r="O695" s="95" t="str">
        <x:v>https://www.nature.com/articles/s41586-023-06735-9</x:v>
      </x:c>
      <x:c r="P695" s="96" t="str">
        <x:v>待评审</x:v>
      </x:c>
    </x:row>
    <x:row r="696">
      <x:c r="A696" s="94" t="str">
        <x:v>T0692</x:v>
      </x:c>
      <x:c r="B696" s="95" t="str">
        <x:v>科学AI、仿真与数字孪生</x:v>
      </x:c>
      <x:c r="C696" s="95" t="str">
        <x:v>分子/材料表征、生成式与逆向设计</x:v>
      </x:c>
      <x:c r="D696" s="95" t="str">
        <x:v>当前低优先</x:v>
      </x:c>
      <x:c r="E696" s="100" t="n">
        <x:v>2</x:v>
      </x:c>
      <x:c r="F696" s="95" t="str">
        <x:v>未来扩展</x:v>
      </x:c>
      <x:c r="G696" s="95" t="str">
        <x:v>H 未来表征与生成扩展</x:v>
      </x:c>
      <x:c r="H696" s="95" t="str">
        <x:v>多模态表征</x:v>
      </x:c>
      <x:c r="I696" s="95" t="str">
        <x:v>未来扩展结构证据和更大候选空间；当前不应成为主线依赖。</x:v>
      </x:c>
      <x:c r="J696" s="95" t="str">
        <x:v>作为后续正交证据或扩大搜索空间的研究储备，不进入当前最小闭环。</x:v>
      </x:c>
      <x:c r="K696" s="95" t="str">
        <x:v>当前缺少结构表征，不作为结论前提。</x:v>
      </x:c>
      <x:c r="L696" s="95" t="str">
        <x:v>暂缓</x:v>
      </x:c>
      <x:c r="M696" s="95" t="str">
        <x:v>当前不投入</x:v>
      </x:c>
      <x:c r="N696" s="95" t="str">
        <x:v>P1</x:v>
      </x:c>
      <x:c r="O696" s="95" t="str">
        <x:v>https://www.nature.com/articles/s43246-022-00315-6</x:v>
      </x:c>
      <x:c r="P696" s="96" t="str">
        <x:v>待评审</x:v>
      </x:c>
    </x:row>
    <x:row r="697">
      <x:c r="A697" s="94" t="str">
        <x:v>T0693</x:v>
      </x:c>
      <x:c r="B697" s="95" t="str">
        <x:v>科学AI、仿真与数字孪生</x:v>
      </x:c>
      <x:c r="C697" s="95" t="str">
        <x:v>分子/材料表征、生成式与逆向设计</x:v>
      </x:c>
      <x:c r="D697" s="95" t="str">
        <x:v>当前低优先</x:v>
      </x:c>
      <x:c r="E697" s="100" t="n">
        <x:v>2</x:v>
      </x:c>
      <x:c r="F697" s="95" t="str">
        <x:v>未来扩展</x:v>
      </x:c>
      <x:c r="G697" s="95" t="str">
        <x:v>H 未来表征与生成扩展</x:v>
      </x:c>
      <x:c r="H697" s="95" t="str">
        <x:v>Transformer</x:v>
      </x:c>
      <x:c r="I697" s="95" t="str">
        <x:v>未来扩展结构证据和更大候选空间；当前不应成为主线依赖。</x:v>
      </x:c>
      <x:c r="J697" s="95" t="str">
        <x:v>作为后续正交证据或扩大搜索空间的研究储备，不进入当前最小闭环。</x:v>
      </x:c>
      <x:c r="K697" s="95" t="str">
        <x:v>当前缺少结构表征，不作为结论前提。</x:v>
      </x:c>
      <x:c r="L697" s="95" t="str">
        <x:v>暂缓</x:v>
      </x:c>
      <x:c r="M697" s="95" t="str">
        <x:v>当前不投入</x:v>
      </x:c>
      <x:c r="N697" s="95" t="str">
        <x:v>P1</x:v>
      </x:c>
      <x:c r="O697" s="95" t="str">
        <x:v>https://www.nature.com/articles/s42256-024-00832-8</x:v>
      </x:c>
      <x:c r="P697" s="96" t="str">
        <x:v>待评审</x:v>
      </x:c>
    </x:row>
    <x:row r="698">
      <x:c r="A698" s="94" t="str">
        <x:v>T0694</x:v>
      </x:c>
      <x:c r="B698" s="95" t="str">
        <x:v>科学AI、仿真与数字孪生</x:v>
      </x:c>
      <x:c r="C698" s="95" t="str">
        <x:v>分子/材料表征、生成式与逆向设计</x:v>
      </x:c>
      <x:c r="D698" s="95" t="str">
        <x:v>当前低优先</x:v>
      </x:c>
      <x:c r="E698" s="100" t="n">
        <x:v>2</x:v>
      </x:c>
      <x:c r="F698" s="95" t="str">
        <x:v>未来扩展</x:v>
      </x:c>
      <x:c r="G698" s="95" t="str">
        <x:v>H 未来表征与生成扩展</x:v>
      </x:c>
      <x:c r="H698" s="95" t="str">
        <x:v>图神经网络</x:v>
      </x:c>
      <x:c r="I698" s="95" t="str">
        <x:v>未来扩展结构证据和更大候选空间；当前不应成为主线依赖。</x:v>
      </x:c>
      <x:c r="J698" s="95" t="str">
        <x:v>作为后续正交证据或扩大搜索空间的研究储备，不进入当前最小闭环。</x:v>
      </x:c>
      <x:c r="K698" s="95" t="str">
        <x:v>当前缺少结构表征，不作为结论前提。</x:v>
      </x:c>
      <x:c r="L698" s="95" t="str">
        <x:v>暂缓</x:v>
      </x:c>
      <x:c r="M698" s="95" t="str">
        <x:v>当前不投入</x:v>
      </x:c>
      <x:c r="N698" s="95" t="str">
        <x:v>P1</x:v>
      </x:c>
      <x:c r="O698" s="95" t="str">
        <x:v>https://www.nature.com/articles/s41586-021-03819-2</x:v>
      </x:c>
      <x:c r="P698" s="96" t="str">
        <x:v>待评审</x:v>
      </x:c>
    </x:row>
    <x:row r="699">
      <x:c r="A699" s="94" t="str">
        <x:v>T0695</x:v>
      </x:c>
      <x:c r="B699" s="95" t="str">
        <x:v>科学AI、仿真与数字孪生</x:v>
      </x:c>
      <x:c r="C699" s="95" t="str">
        <x:v>分子/材料表征、生成式与逆向设计</x:v>
      </x:c>
      <x:c r="D699" s="95" t="str">
        <x:v>当前低优先</x:v>
      </x:c>
      <x:c r="E699" s="100" t="n">
        <x:v>2</x:v>
      </x:c>
      <x:c r="F699" s="95" t="str">
        <x:v>未来扩展</x:v>
      </x:c>
      <x:c r="G699" s="95" t="str">
        <x:v>H 未来表征与生成扩展</x:v>
      </x:c>
      <x:c r="H699" s="95" t="str">
        <x:v>等变图神经网络</x:v>
      </x:c>
      <x:c r="I699" s="95" t="str">
        <x:v>未来扩展结构证据和更大候选空间；当前不应成为主线依赖。</x:v>
      </x:c>
      <x:c r="J699" s="95" t="str">
        <x:v>作为后续正交证据或扩大搜索空间的研究储备，不进入当前最小闭环。</x:v>
      </x:c>
      <x:c r="K699" s="95" t="str">
        <x:v>当前缺少结构表征，不作为结论前提。</x:v>
      </x:c>
      <x:c r="L699" s="95" t="str">
        <x:v>暂缓</x:v>
      </x:c>
      <x:c r="M699" s="95" t="str">
        <x:v>当前不投入</x:v>
      </x:c>
      <x:c r="N699" s="95" t="str">
        <x:v>P1</x:v>
      </x:c>
      <x:c r="O699" s="95" t="str">
        <x:v>https://www.nature.com/articles/s41586-023-06735-9</x:v>
      </x:c>
      <x:c r="P699" s="96" t="str">
        <x:v>待评审</x:v>
      </x:c>
    </x:row>
    <x:row r="700">
      <x:c r="A700" s="94" t="str">
        <x:v>T0696</x:v>
      </x:c>
      <x:c r="B700" s="95" t="str">
        <x:v>科学AI、仿真与数字孪生</x:v>
      </x:c>
      <x:c r="C700" s="95" t="str">
        <x:v>分子/材料表征、生成式与逆向设计</x:v>
      </x:c>
      <x:c r="D700" s="95" t="str">
        <x:v>当前低优先</x:v>
      </x:c>
      <x:c r="E700" s="100" t="n">
        <x:v>2</x:v>
      </x:c>
      <x:c r="F700" s="95" t="str">
        <x:v>未来扩展</x:v>
      </x:c>
      <x:c r="G700" s="95" t="str">
        <x:v>H 未来表征与生成扩展</x:v>
      </x:c>
      <x:c r="H700" s="95" t="str">
        <x:v>消息传递网络</x:v>
      </x:c>
      <x:c r="I700" s="95" t="str">
        <x:v>未来扩展结构证据和更大候选空间；当前不应成为主线依赖。</x:v>
      </x:c>
      <x:c r="J700" s="95" t="str">
        <x:v>作为后续正交证据或扩大搜索空间的研究储备，不进入当前最小闭环。</x:v>
      </x:c>
      <x:c r="K700" s="95" t="str">
        <x:v>当前缺少结构表征，不作为结论前提。</x:v>
      </x:c>
      <x:c r="L700" s="95" t="str">
        <x:v>暂缓</x:v>
      </x:c>
      <x:c r="M700" s="95" t="str">
        <x:v>当前不投入</x:v>
      </x:c>
      <x:c r="N700" s="95" t="str">
        <x:v>P1</x:v>
      </x:c>
      <x:c r="O700" s="95" t="str">
        <x:v>https://www.nature.com/articles/s43246-022-00315-6</x:v>
      </x:c>
      <x:c r="P700" s="96" t="str">
        <x:v>待评审</x:v>
      </x:c>
    </x:row>
    <x:row r="701">
      <x:c r="A701" s="94" t="str">
        <x:v>T0697</x:v>
      </x:c>
      <x:c r="B701" s="95" t="str">
        <x:v>科学AI、仿真与数字孪生</x:v>
      </x:c>
      <x:c r="C701" s="95" t="str">
        <x:v>分子/材料表征、生成式与逆向设计</x:v>
      </x:c>
      <x:c r="D701" s="95" t="str">
        <x:v>当前低优先</x:v>
      </x:c>
      <x:c r="E701" s="100" t="n">
        <x:v>2</x:v>
      </x:c>
      <x:c r="F701" s="95" t="str">
        <x:v>未来扩展</x:v>
      </x:c>
      <x:c r="G701" s="95" t="str">
        <x:v>H 未来表征与生成扩展</x:v>
      </x:c>
      <x:c r="H701" s="95" t="str">
        <x:v>几何深度学习</x:v>
      </x:c>
      <x:c r="I701" s="95" t="str">
        <x:v>未来扩展结构证据和更大候选空间；当前不应成为主线依赖。</x:v>
      </x:c>
      <x:c r="J701" s="95" t="str">
        <x:v>作为后续正交证据或扩大搜索空间的研究储备，不进入当前最小闭环。</x:v>
      </x:c>
      <x:c r="K701" s="95" t="str">
        <x:v>当前缺少结构表征，不作为结论前提。</x:v>
      </x:c>
      <x:c r="L701" s="95" t="str">
        <x:v>暂缓</x:v>
      </x:c>
      <x:c r="M701" s="95" t="str">
        <x:v>当前不投入</x:v>
      </x:c>
      <x:c r="N701" s="95" t="str">
        <x:v>P1</x:v>
      </x:c>
      <x:c r="O701" s="95" t="str">
        <x:v>https://www.nature.com/articles/s42256-024-00832-8</x:v>
      </x:c>
      <x:c r="P701" s="96" t="str">
        <x:v>待评审</x:v>
      </x:c>
    </x:row>
    <x:row r="702">
      <x:c r="A702" s="94" t="str">
        <x:v>T0698</x:v>
      </x:c>
      <x:c r="B702" s="95" t="str">
        <x:v>科学AI、仿真与数字孪生</x:v>
      </x:c>
      <x:c r="C702" s="95" t="str">
        <x:v>分子/材料表征、生成式与逆向设计</x:v>
      </x:c>
      <x:c r="D702" s="95" t="str">
        <x:v>当前低优先</x:v>
      </x:c>
      <x:c r="E702" s="100" t="n">
        <x:v>2</x:v>
      </x:c>
      <x:c r="F702" s="95" t="str">
        <x:v>未来扩展</x:v>
      </x:c>
      <x:c r="G702" s="95" t="str">
        <x:v>H 未来表征与生成扩展</x:v>
      </x:c>
      <x:c r="H702" s="95" t="str">
        <x:v>对比学习</x:v>
      </x:c>
      <x:c r="I702" s="95" t="str">
        <x:v>未来扩展结构证据和更大候选空间；当前不应成为主线依赖。</x:v>
      </x:c>
      <x:c r="J702" s="95" t="str">
        <x:v>作为后续正交证据或扩大搜索空间的研究储备，不进入当前最小闭环。</x:v>
      </x:c>
      <x:c r="K702" s="95" t="str">
        <x:v>当前缺少结构表征，不作为结论前提。</x:v>
      </x:c>
      <x:c r="L702" s="95" t="str">
        <x:v>暂缓</x:v>
      </x:c>
      <x:c r="M702" s="95" t="str">
        <x:v>当前不投入</x:v>
      </x:c>
      <x:c r="N702" s="95" t="str">
        <x:v>P1</x:v>
      </x:c>
      <x:c r="O702" s="95" t="str">
        <x:v>https://www.nature.com/articles/s41586-021-03819-2</x:v>
      </x:c>
      <x:c r="P702" s="96" t="str">
        <x:v>待评审</x:v>
      </x:c>
    </x:row>
    <x:row r="703">
      <x:c r="A703" s="94" t="str">
        <x:v>T0699</x:v>
      </x:c>
      <x:c r="B703" s="95" t="str">
        <x:v>科学AI、仿真与数字孪生</x:v>
      </x:c>
      <x:c r="C703" s="95" t="str">
        <x:v>分子/材料表征、生成式与逆向设计</x:v>
      </x:c>
      <x:c r="D703" s="95" t="str">
        <x:v>当前低优先</x:v>
      </x:c>
      <x:c r="E703" s="100" t="n">
        <x:v>2</x:v>
      </x:c>
      <x:c r="F703" s="95" t="str">
        <x:v>未来扩展</x:v>
      </x:c>
      <x:c r="G703" s="95" t="str">
        <x:v>H 未来表征与生成扩展</x:v>
      </x:c>
      <x:c r="H703" s="95" t="str">
        <x:v>自监督预训练</x:v>
      </x:c>
      <x:c r="I703" s="95" t="str">
        <x:v>未来扩展结构证据和更大候选空间；当前不应成为主线依赖。</x:v>
      </x:c>
      <x:c r="J703" s="95" t="str">
        <x:v>作为后续正交证据或扩大搜索空间的研究储备，不进入当前最小闭环。</x:v>
      </x:c>
      <x:c r="K703" s="95" t="str">
        <x:v>当前缺少结构表征，不作为结论前提。</x:v>
      </x:c>
      <x:c r="L703" s="95" t="str">
        <x:v>暂缓</x:v>
      </x:c>
      <x:c r="M703" s="95" t="str">
        <x:v>当前不投入</x:v>
      </x:c>
      <x:c r="N703" s="95" t="str">
        <x:v>P1</x:v>
      </x:c>
      <x:c r="O703" s="95" t="str">
        <x:v>https://www.nature.com/articles/s41586-023-06735-9</x:v>
      </x:c>
      <x:c r="P703" s="96" t="str">
        <x:v>待评审</x:v>
      </x:c>
    </x:row>
    <x:row r="704">
      <x:c r="A704" s="94" t="str">
        <x:v>T0700</x:v>
      </x:c>
      <x:c r="B704" s="95" t="str">
        <x:v>科学AI、仿真与数字孪生</x:v>
      </x:c>
      <x:c r="C704" s="95" t="str">
        <x:v>分子/材料表征、生成式与逆向设计</x:v>
      </x:c>
      <x:c r="D704" s="95" t="str">
        <x:v>当前低优先</x:v>
      </x:c>
      <x:c r="E704" s="100" t="n">
        <x:v>2</x:v>
      </x:c>
      <x:c r="F704" s="95" t="str">
        <x:v>未来扩展</x:v>
      </x:c>
      <x:c r="G704" s="95" t="str">
        <x:v>H 未来表征与生成扩展</x:v>
      </x:c>
      <x:c r="H704" s="95" t="str">
        <x:v>科学基础模型</x:v>
      </x:c>
      <x:c r="I704" s="95" t="str">
        <x:v>未来扩展结构证据和更大候选空间；当前不应成为主线依赖。</x:v>
      </x:c>
      <x:c r="J704" s="95" t="str">
        <x:v>作为后续正交证据或扩大搜索空间的研究储备，不进入当前最小闭环。</x:v>
      </x:c>
      <x:c r="K704" s="95" t="str">
        <x:v>当前缺少结构表征，不作为结论前提。</x:v>
      </x:c>
      <x:c r="L704" s="95" t="str">
        <x:v>暂缓</x:v>
      </x:c>
      <x:c r="M704" s="95" t="str">
        <x:v>当前不投入</x:v>
      </x:c>
      <x:c r="N704" s="95" t="str">
        <x:v>P1</x:v>
      </x:c>
      <x:c r="O704" s="95" t="str">
        <x:v>https://www.nature.com/articles/s43246-022-00315-6</x:v>
      </x:c>
      <x:c r="P704" s="96" t="str">
        <x:v>待评审</x:v>
      </x:c>
    </x:row>
    <x:row r="705">
      <x:c r="A705" s="94" t="str">
        <x:v>T0701</x:v>
      </x:c>
      <x:c r="B705" s="95" t="str">
        <x:v>科学AI、仿真与数字孪生</x:v>
      </x:c>
      <x:c r="C705" s="95" t="str">
        <x:v>分子/材料表征、生成式与逆向设计</x:v>
      </x:c>
      <x:c r="D705" s="95" t="str">
        <x:v>当前低优先</x:v>
      </x:c>
      <x:c r="E705" s="100" t="n">
        <x:v>2</x:v>
      </x:c>
      <x:c r="F705" s="95" t="str">
        <x:v>未来扩展</x:v>
      </x:c>
      <x:c r="G705" s="95" t="str">
        <x:v>H 未来表征与生成扩展</x:v>
      </x:c>
      <x:c r="H705" s="95" t="str">
        <x:v>性质预测</x:v>
      </x:c>
      <x:c r="I705" s="95" t="str">
        <x:v>未来扩展结构证据和更大候选空间；当前不应成为主线依赖。</x:v>
      </x:c>
      <x:c r="J705" s="95" t="str">
        <x:v>作为后续正交证据或扩大搜索空间的研究储备，不进入当前最小闭环。</x:v>
      </x:c>
      <x:c r="K705" s="95" t="str">
        <x:v>当前缺少结构表征，不作为结论前提。</x:v>
      </x:c>
      <x:c r="L705" s="95" t="str">
        <x:v>暂缓</x:v>
      </x:c>
      <x:c r="M705" s="95" t="str">
        <x:v>当前不投入</x:v>
      </x:c>
      <x:c r="N705" s="95" t="str">
        <x:v>P1</x:v>
      </x:c>
      <x:c r="O705" s="95" t="str">
        <x:v>https://www.nature.com/articles/s42256-024-00832-8</x:v>
      </x:c>
      <x:c r="P705" s="96" t="str">
        <x:v>待评审</x:v>
      </x:c>
    </x:row>
    <x:row r="706">
      <x:c r="A706" s="94" t="str">
        <x:v>T0702</x:v>
      </x:c>
      <x:c r="B706" s="95" t="str">
        <x:v>科学AI、仿真与数字孪生</x:v>
      </x:c>
      <x:c r="C706" s="95" t="str">
        <x:v>分子/材料表征、生成式与逆向设计</x:v>
      </x:c>
      <x:c r="D706" s="95" t="str">
        <x:v>当前低优先</x:v>
      </x:c>
      <x:c r="E706" s="100" t="n">
        <x:v>2</x:v>
      </x:c>
      <x:c r="F706" s="95" t="str">
        <x:v>未来扩展</x:v>
      </x:c>
      <x:c r="G706" s="95" t="str">
        <x:v>H 未来表征与生成扩展</x:v>
      </x:c>
      <x:c r="H706" s="95" t="str">
        <x:v>反应预测</x:v>
      </x:c>
      <x:c r="I706" s="95" t="str">
        <x:v>未来扩展结构证据和更大候选空间；当前不应成为主线依赖。</x:v>
      </x:c>
      <x:c r="J706" s="95" t="str">
        <x:v>作为后续正交证据或扩大搜索空间的研究储备，不进入当前最小闭环。</x:v>
      </x:c>
      <x:c r="K706" s="95" t="str">
        <x:v>当前缺少结构表征，不作为结论前提。</x:v>
      </x:c>
      <x:c r="L706" s="95" t="str">
        <x:v>暂缓</x:v>
      </x:c>
      <x:c r="M706" s="95" t="str">
        <x:v>当前不投入</x:v>
      </x:c>
      <x:c r="N706" s="95" t="str">
        <x:v>P1</x:v>
      </x:c>
      <x:c r="O706" s="95" t="str">
        <x:v>https://www.nature.com/articles/s41586-021-03819-2</x:v>
      </x:c>
      <x:c r="P706" s="96" t="str">
        <x:v>待评审</x:v>
      </x:c>
    </x:row>
    <x:row r="707">
      <x:c r="A707" s="94" t="str">
        <x:v>T0703</x:v>
      </x:c>
      <x:c r="B707" s="95" t="str">
        <x:v>科学AI、仿真与数字孪生</x:v>
      </x:c>
      <x:c r="C707" s="95" t="str">
        <x:v>分子/材料表征、生成式与逆向设计</x:v>
      </x:c>
      <x:c r="D707" s="95" t="str">
        <x:v>当前低优先</x:v>
      </x:c>
      <x:c r="E707" s="100" t="n">
        <x:v>2</x:v>
      </x:c>
      <x:c r="F707" s="95" t="str">
        <x:v>未来扩展</x:v>
      </x:c>
      <x:c r="G707" s="95" t="str">
        <x:v>H 未来表征与生成扩展</x:v>
      </x:c>
      <x:c r="H707" s="95" t="str">
        <x:v>逆合成</x:v>
      </x:c>
      <x:c r="I707" s="95" t="str">
        <x:v>未来扩展结构证据和更大候选空间；当前不应成为主线依赖。</x:v>
      </x:c>
      <x:c r="J707" s="95" t="str">
        <x:v>作为后续正交证据或扩大搜索空间的研究储备，不进入当前最小闭环。</x:v>
      </x:c>
      <x:c r="K707" s="95" t="str">
        <x:v>当前缺少结构表征，不作为结论前提。</x:v>
      </x:c>
      <x:c r="L707" s="95" t="str">
        <x:v>暂缓</x:v>
      </x:c>
      <x:c r="M707" s="95" t="str">
        <x:v>当前不投入</x:v>
      </x:c>
      <x:c r="N707" s="95" t="str">
        <x:v>P1</x:v>
      </x:c>
      <x:c r="O707" s="95" t="str">
        <x:v>https://www.nature.com/articles/s41586-023-06735-9</x:v>
      </x:c>
      <x:c r="P707" s="96" t="str">
        <x:v>待评审</x:v>
      </x:c>
    </x:row>
    <x:row r="708">
      <x:c r="A708" s="94" t="str">
        <x:v>T0704</x:v>
      </x:c>
      <x:c r="B708" s="95" t="str">
        <x:v>科学AI、仿真与数字孪生</x:v>
      </x:c>
      <x:c r="C708" s="95" t="str">
        <x:v>分子/材料表征、生成式与逆向设计</x:v>
      </x:c>
      <x:c r="D708" s="95" t="str">
        <x:v>当前低优先</x:v>
      </x:c>
      <x:c r="E708" s="100" t="n">
        <x:v>2</x:v>
      </x:c>
      <x:c r="F708" s="95" t="str">
        <x:v>未来扩展</x:v>
      </x:c>
      <x:c r="G708" s="95" t="str">
        <x:v>H 未来表征与生成扩展</x:v>
      </x:c>
      <x:c r="H708" s="95" t="str">
        <x:v>合成路线规划</x:v>
      </x:c>
      <x:c r="I708" s="95" t="str">
        <x:v>未来扩展结构证据和更大候选空间；当前不应成为主线依赖。</x:v>
      </x:c>
      <x:c r="J708" s="95" t="str">
        <x:v>作为后续正交证据或扩大搜索空间的研究储备，不进入当前最小闭环。</x:v>
      </x:c>
      <x:c r="K708" s="95" t="str">
        <x:v>当前缺少结构表征，不作为结论前提。</x:v>
      </x:c>
      <x:c r="L708" s="95" t="str">
        <x:v>暂缓</x:v>
      </x:c>
      <x:c r="M708" s="95" t="str">
        <x:v>当前不投入</x:v>
      </x:c>
      <x:c r="N708" s="95" t="str">
        <x:v>P1</x:v>
      </x:c>
      <x:c r="O708" s="95" t="str">
        <x:v>https://www.nature.com/articles/s43246-022-00315-6</x:v>
      </x:c>
      <x:c r="P708" s="96" t="str">
        <x:v>待评审</x:v>
      </x:c>
    </x:row>
    <x:row r="709">
      <x:c r="A709" s="94" t="str">
        <x:v>T0705</x:v>
      </x:c>
      <x:c r="B709" s="95" t="str">
        <x:v>科学AI、仿真与数字孪生</x:v>
      </x:c>
      <x:c r="C709" s="95" t="str">
        <x:v>分子/材料表征、生成式与逆向设计</x:v>
      </x:c>
      <x:c r="D709" s="95" t="str">
        <x:v>当前低优先</x:v>
      </x:c>
      <x:c r="E709" s="100" t="n">
        <x:v>2</x:v>
      </x:c>
      <x:c r="F709" s="95" t="str">
        <x:v>未来扩展</x:v>
      </x:c>
      <x:c r="G709" s="95" t="str">
        <x:v>H 未来表征与生成扩展</x:v>
      </x:c>
      <x:c r="H709" s="95" t="str">
        <x:v>收率预测</x:v>
      </x:c>
      <x:c r="I709" s="95" t="str">
        <x:v>未来扩展结构证据和更大候选空间；当前不应成为主线依赖。</x:v>
      </x:c>
      <x:c r="J709" s="95" t="str">
        <x:v>作为后续正交证据或扩大搜索空间的研究储备，不进入当前最小闭环。</x:v>
      </x:c>
      <x:c r="K709" s="95" t="str">
        <x:v>当前缺少结构表征，不作为结论前提。</x:v>
      </x:c>
      <x:c r="L709" s="95" t="str">
        <x:v>暂缓</x:v>
      </x:c>
      <x:c r="M709" s="95" t="str">
        <x:v>当前不投入</x:v>
      </x:c>
      <x:c r="N709" s="95" t="str">
        <x:v>P1</x:v>
      </x:c>
      <x:c r="O709" s="95" t="str">
        <x:v>https://www.nature.com/articles/s42256-024-00832-8</x:v>
      </x:c>
      <x:c r="P709" s="96" t="str">
        <x:v>待评审</x:v>
      </x:c>
    </x:row>
    <x:row r="710">
      <x:c r="A710" s="94" t="str">
        <x:v>T0706</x:v>
      </x:c>
      <x:c r="B710" s="95" t="str">
        <x:v>科学AI、仿真与数字孪生</x:v>
      </x:c>
      <x:c r="C710" s="95" t="str">
        <x:v>分子/材料表征、生成式与逆向设计</x:v>
      </x:c>
      <x:c r="D710" s="95" t="str">
        <x:v>当前低优先</x:v>
      </x:c>
      <x:c r="E710" s="100" t="n">
        <x:v>2</x:v>
      </x:c>
      <x:c r="F710" s="95" t="str">
        <x:v>未来扩展</x:v>
      </x:c>
      <x:c r="G710" s="95" t="str">
        <x:v>H 未来表征与生成扩展</x:v>
      </x:c>
      <x:c r="H710" s="95" t="str">
        <x:v>反应条件推荐</x:v>
      </x:c>
      <x:c r="I710" s="95" t="str">
        <x:v>未来扩展结构证据和更大候选空间；当前不应成为主线依赖。</x:v>
      </x:c>
      <x:c r="J710" s="95" t="str">
        <x:v>作为后续正交证据或扩大搜索空间的研究储备，不进入当前最小闭环。</x:v>
      </x:c>
      <x:c r="K710" s="95" t="str">
        <x:v>当前缺少结构表征，不作为结论前提。</x:v>
      </x:c>
      <x:c r="L710" s="95" t="str">
        <x:v>暂缓</x:v>
      </x:c>
      <x:c r="M710" s="95" t="str">
        <x:v>当前不投入</x:v>
      </x:c>
      <x:c r="N710" s="95" t="str">
        <x:v>P1</x:v>
      </x:c>
      <x:c r="O710" s="95" t="str">
        <x:v>https://www.nature.com/articles/s41586-021-03819-2</x:v>
      </x:c>
      <x:c r="P710" s="96" t="str">
        <x:v>待评审</x:v>
      </x:c>
    </x:row>
    <x:row r="711">
      <x:c r="A711" s="94" t="str">
        <x:v>T0707</x:v>
      </x:c>
      <x:c r="B711" s="95" t="str">
        <x:v>科学AI、仿真与数字孪生</x:v>
      </x:c>
      <x:c r="C711" s="95" t="str">
        <x:v>分子/材料表征、生成式与逆向设计</x:v>
      </x:c>
      <x:c r="D711" s="95" t="str">
        <x:v>当前低优先</x:v>
      </x:c>
      <x:c r="E711" s="100" t="n">
        <x:v>2</x:v>
      </x:c>
      <x:c r="F711" s="95" t="str">
        <x:v>未来扩展</x:v>
      </x:c>
      <x:c r="G711" s="95" t="str">
        <x:v>H 未来表征与生成扩展</x:v>
      </x:c>
      <x:c r="H711" s="95" t="str">
        <x:v>逆向设计</x:v>
      </x:c>
      <x:c r="I711" s="95" t="str">
        <x:v>未来扩展结构证据和更大候选空间；当前不应成为主线依赖。</x:v>
      </x:c>
      <x:c r="J711" s="95" t="str">
        <x:v>作为后续正交证据或扩大搜索空间的研究储备，不进入当前最小闭环。</x:v>
      </x:c>
      <x:c r="K711" s="95" t="str">
        <x:v>当前缺少结构表征，不作为结论前提。</x:v>
      </x:c>
      <x:c r="L711" s="95" t="str">
        <x:v>暂缓</x:v>
      </x:c>
      <x:c r="M711" s="95" t="str">
        <x:v>当前不投入</x:v>
      </x:c>
      <x:c r="N711" s="95" t="str">
        <x:v>P1</x:v>
      </x:c>
      <x:c r="O711" s="95" t="str">
        <x:v>https://www.nature.com/articles/s41586-023-06735-9</x:v>
      </x:c>
      <x:c r="P711" s="96" t="str">
        <x:v>待评审</x:v>
      </x:c>
    </x:row>
    <x:row r="712">
      <x:c r="A712" s="94" t="str">
        <x:v>T0708</x:v>
      </x:c>
      <x:c r="B712" s="95" t="str">
        <x:v>科学AI、仿真与数字孪生</x:v>
      </x:c>
      <x:c r="C712" s="95" t="str">
        <x:v>分子/材料表征、生成式与逆向设计</x:v>
      </x:c>
      <x:c r="D712" s="95" t="str">
        <x:v>当前低优先</x:v>
      </x:c>
      <x:c r="E712" s="100" t="n">
        <x:v>2</x:v>
      </x:c>
      <x:c r="F712" s="95" t="str">
        <x:v>未来扩展</x:v>
      </x:c>
      <x:c r="G712" s="95" t="str">
        <x:v>H 未来表征与生成扩展</x:v>
      </x:c>
      <x:c r="H712" s="95" t="str">
        <x:v>变分自编码器</x:v>
      </x:c>
      <x:c r="I712" s="95" t="str">
        <x:v>未来扩展结构证据和更大候选空间；当前不应成为主线依赖。</x:v>
      </x:c>
      <x:c r="J712" s="95" t="str">
        <x:v>作为后续正交证据或扩大搜索空间的研究储备，不进入当前最小闭环。</x:v>
      </x:c>
      <x:c r="K712" s="95" t="str">
        <x:v>当前缺少结构表征，不作为结论前提。</x:v>
      </x:c>
      <x:c r="L712" s="95" t="str">
        <x:v>暂缓</x:v>
      </x:c>
      <x:c r="M712" s="95" t="str">
        <x:v>当前不投入</x:v>
      </x:c>
      <x:c r="N712" s="95" t="str">
        <x:v>P1</x:v>
      </x:c>
      <x:c r="O712" s="95" t="str">
        <x:v>https://www.nature.com/articles/s43246-022-00315-6</x:v>
      </x:c>
      <x:c r="P712" s="96" t="str">
        <x:v>待评审</x:v>
      </x:c>
    </x:row>
    <x:row r="713">
      <x:c r="A713" s="94" t="str">
        <x:v>T0709</x:v>
      </x:c>
      <x:c r="B713" s="95" t="str">
        <x:v>科学AI、仿真与数字孪生</x:v>
      </x:c>
      <x:c r="C713" s="95" t="str">
        <x:v>分子/材料表征、生成式与逆向设计</x:v>
      </x:c>
      <x:c r="D713" s="95" t="str">
        <x:v>当前低优先</x:v>
      </x:c>
      <x:c r="E713" s="100" t="n">
        <x:v>2</x:v>
      </x:c>
      <x:c r="F713" s="95" t="str">
        <x:v>未来扩展</x:v>
      </x:c>
      <x:c r="G713" s="95" t="str">
        <x:v>H 未来表征与生成扩展</x:v>
      </x:c>
      <x:c r="H713" s="95" t="str">
        <x:v>生成对抗网络</x:v>
      </x:c>
      <x:c r="I713" s="95" t="str">
        <x:v>未来扩展结构证据和更大候选空间；当前不应成为主线依赖。</x:v>
      </x:c>
      <x:c r="J713" s="95" t="str">
        <x:v>作为后续正交证据或扩大搜索空间的研究储备，不进入当前最小闭环。</x:v>
      </x:c>
      <x:c r="K713" s="95" t="str">
        <x:v>当前缺少结构表征，不作为结论前提。</x:v>
      </x:c>
      <x:c r="L713" s="95" t="str">
        <x:v>暂缓</x:v>
      </x:c>
      <x:c r="M713" s="95" t="str">
        <x:v>当前不投入</x:v>
      </x:c>
      <x:c r="N713" s="95" t="str">
        <x:v>P2</x:v>
      </x:c>
      <x:c r="O713" s="95" t="str">
        <x:v>https://www.nature.com/articles/s42256-024-00832-8</x:v>
      </x:c>
      <x:c r="P713" s="96" t="str">
        <x:v>待评审</x:v>
      </x:c>
    </x:row>
    <x:row r="714">
      <x:c r="A714" s="94" t="str">
        <x:v>T0710</x:v>
      </x:c>
      <x:c r="B714" s="95" t="str">
        <x:v>科学AI、仿真与数字孪生</x:v>
      </x:c>
      <x:c r="C714" s="95" t="str">
        <x:v>分子/材料表征、生成式与逆向设计</x:v>
      </x:c>
      <x:c r="D714" s="95" t="str">
        <x:v>当前低优先</x:v>
      </x:c>
      <x:c r="E714" s="100" t="n">
        <x:v>2</x:v>
      </x:c>
      <x:c r="F714" s="95" t="str">
        <x:v>未来扩展</x:v>
      </x:c>
      <x:c r="G714" s="95" t="str">
        <x:v>H 未来表征与生成扩展</x:v>
      </x:c>
      <x:c r="H714" s="95" t="str">
        <x:v>扩散模型</x:v>
      </x:c>
      <x:c r="I714" s="95" t="str">
        <x:v>未来扩展结构证据和更大候选空间；当前不应成为主线依赖。</x:v>
      </x:c>
      <x:c r="J714" s="95" t="str">
        <x:v>作为后续正交证据或扩大搜索空间的研究储备，不进入当前最小闭环。</x:v>
      </x:c>
      <x:c r="K714" s="95" t="str">
        <x:v>当前缺少结构表征，不作为结论前提。</x:v>
      </x:c>
      <x:c r="L714" s="95" t="str">
        <x:v>暂缓</x:v>
      </x:c>
      <x:c r="M714" s="95" t="str">
        <x:v>当前不投入</x:v>
      </x:c>
      <x:c r="N714" s="95" t="str">
        <x:v>P2</x:v>
      </x:c>
      <x:c r="O714" s="95" t="str">
        <x:v>https://www.nature.com/articles/s41586-021-03819-2</x:v>
      </x:c>
      <x:c r="P714" s="96" t="str">
        <x:v>待评审</x:v>
      </x:c>
    </x:row>
    <x:row r="715">
      <x:c r="A715" s="94" t="str">
        <x:v>T0711</x:v>
      </x:c>
      <x:c r="B715" s="95" t="str">
        <x:v>科学AI、仿真与数字孪生</x:v>
      </x:c>
      <x:c r="C715" s="95" t="str">
        <x:v>分子/材料表征、生成式与逆向设计</x:v>
      </x:c>
      <x:c r="D715" s="95" t="str">
        <x:v>当前低优先</x:v>
      </x:c>
      <x:c r="E715" s="100" t="n">
        <x:v>2</x:v>
      </x:c>
      <x:c r="F715" s="95" t="str">
        <x:v>未来扩展</x:v>
      </x:c>
      <x:c r="G715" s="95" t="str">
        <x:v>H 未来表征与生成扩展</x:v>
      </x:c>
      <x:c r="H715" s="95" t="str">
        <x:v>自回归生成</x:v>
      </x:c>
      <x:c r="I715" s="95" t="str">
        <x:v>未来扩展结构证据和更大候选空间；当前不应成为主线依赖。</x:v>
      </x:c>
      <x:c r="J715" s="95" t="str">
        <x:v>作为后续正交证据或扩大搜索空间的研究储备，不进入当前最小闭环。</x:v>
      </x:c>
      <x:c r="K715" s="95" t="str">
        <x:v>当前缺少结构表征，不作为结论前提。</x:v>
      </x:c>
      <x:c r="L715" s="95" t="str">
        <x:v>暂缓</x:v>
      </x:c>
      <x:c r="M715" s="95" t="str">
        <x:v>当前不投入</x:v>
      </x:c>
      <x:c r="N715" s="95" t="str">
        <x:v>P2</x:v>
      </x:c>
      <x:c r="O715" s="95" t="str">
        <x:v>https://www.nature.com/articles/s41586-023-06735-9</x:v>
      </x:c>
      <x:c r="P715" s="96" t="str">
        <x:v>待评审</x:v>
      </x:c>
    </x:row>
    <x:row r="716">
      <x:c r="A716" s="94" t="str">
        <x:v>T0712</x:v>
      </x:c>
      <x:c r="B716" s="95" t="str">
        <x:v>科学AI、仿真与数字孪生</x:v>
      </x:c>
      <x:c r="C716" s="95" t="str">
        <x:v>分子/材料表征、生成式与逆向设计</x:v>
      </x:c>
      <x:c r="D716" s="95" t="str">
        <x:v>当前低优先</x:v>
      </x:c>
      <x:c r="E716" s="100" t="n">
        <x:v>2</x:v>
      </x:c>
      <x:c r="F716" s="95" t="str">
        <x:v>未来扩展</x:v>
      </x:c>
      <x:c r="G716" s="95" t="str">
        <x:v>H 未来表征与生成扩展</x:v>
      </x:c>
      <x:c r="H716" s="95" t="str">
        <x:v>强化学习分子设计</x:v>
      </x:c>
      <x:c r="I716" s="95" t="str">
        <x:v>未来扩展结构证据和更大候选空间；当前不应成为主线依赖。</x:v>
      </x:c>
      <x:c r="J716" s="95" t="str">
        <x:v>作为后续正交证据或扩大搜索空间的研究储备，不进入当前最小闭环。</x:v>
      </x:c>
      <x:c r="K716" s="95" t="str">
        <x:v>当前缺少结构表征，不作为结论前提。</x:v>
      </x:c>
      <x:c r="L716" s="95" t="str">
        <x:v>暂缓</x:v>
      </x:c>
      <x:c r="M716" s="95" t="str">
        <x:v>当前不投入</x:v>
      </x:c>
      <x:c r="N716" s="95" t="str">
        <x:v>P2</x:v>
      </x:c>
      <x:c r="O716" s="95" t="str">
        <x:v>https://www.nature.com/articles/s43246-022-00315-6</x:v>
      </x:c>
      <x:c r="P716" s="96" t="str">
        <x:v>待评审</x:v>
      </x:c>
    </x:row>
    <x:row r="717">
      <x:c r="A717" s="94" t="str">
        <x:v>T0713</x:v>
      </x:c>
      <x:c r="B717" s="95" t="str">
        <x:v>科学AI、仿真与数字孪生</x:v>
      </x:c>
      <x:c r="C717" s="95" t="str">
        <x:v>分子/材料表征、生成式与逆向设计</x:v>
      </x:c>
      <x:c r="D717" s="95" t="str">
        <x:v>当前低优先</x:v>
      </x:c>
      <x:c r="E717" s="100" t="n">
        <x:v>2</x:v>
      </x:c>
      <x:c r="F717" s="95" t="str">
        <x:v>未来扩展</x:v>
      </x:c>
      <x:c r="G717" s="95" t="str">
        <x:v>H 未来表征与生成扩展</x:v>
      </x:c>
      <x:c r="H717" s="95" t="str">
        <x:v>贝叶斯分子优化</x:v>
      </x:c>
      <x:c r="I717" s="95" t="str">
        <x:v>未来扩展结构证据和更大候选空间；当前不应成为主线依赖。</x:v>
      </x:c>
      <x:c r="J717" s="95" t="str">
        <x:v>作为后续正交证据或扩大搜索空间的研究储备，不进入当前最小闭环。</x:v>
      </x:c>
      <x:c r="K717" s="95" t="str">
        <x:v>当前缺少结构表征，不作为结论前提。</x:v>
      </x:c>
      <x:c r="L717" s="95" t="str">
        <x:v>暂缓</x:v>
      </x:c>
      <x:c r="M717" s="95" t="str">
        <x:v>当前不投入</x:v>
      </x:c>
      <x:c r="N717" s="95" t="str">
        <x:v>P2</x:v>
      </x:c>
      <x:c r="O717" s="95" t="str">
        <x:v>https://www.nature.com/articles/s42256-024-00832-8</x:v>
      </x:c>
      <x:c r="P717" s="96" t="str">
        <x:v>待评审</x:v>
      </x:c>
    </x:row>
    <x:row r="718">
      <x:c r="A718" s="94" t="str">
        <x:v>T0714</x:v>
      </x:c>
      <x:c r="B718" s="95" t="str">
        <x:v>科学AI、仿真与数字孪生</x:v>
      </x:c>
      <x:c r="C718" s="95" t="str">
        <x:v>分子/材料表征、生成式与逆向设计</x:v>
      </x:c>
      <x:c r="D718" s="95" t="str">
        <x:v>当前低优先</x:v>
      </x:c>
      <x:c r="E718" s="100" t="n">
        <x:v>2</x:v>
      </x:c>
      <x:c r="F718" s="95" t="str">
        <x:v>未来扩展</x:v>
      </x:c>
      <x:c r="G718" s="95" t="str">
        <x:v>H 未来表征与生成扩展</x:v>
      </x:c>
      <x:c r="H718" s="95" t="str">
        <x:v>约束生成</x:v>
      </x:c>
      <x:c r="I718" s="95" t="str">
        <x:v>未来扩展结构证据和更大候选空间；当前不应成为主线依赖。</x:v>
      </x:c>
      <x:c r="J718" s="95" t="str">
        <x:v>作为后续正交证据或扩大搜索空间的研究储备，不进入当前最小闭环。</x:v>
      </x:c>
      <x:c r="K718" s="95" t="str">
        <x:v>当前缺少结构表征，不作为结论前提。</x:v>
      </x:c>
      <x:c r="L718" s="95" t="str">
        <x:v>暂缓</x:v>
      </x:c>
      <x:c r="M718" s="95" t="str">
        <x:v>当前不投入</x:v>
      </x:c>
      <x:c r="N718" s="95" t="str">
        <x:v>P2</x:v>
      </x:c>
      <x:c r="O718" s="95" t="str">
        <x:v>https://www.nature.com/articles/s41586-021-03819-2</x:v>
      </x:c>
      <x:c r="P718" s="96" t="str">
        <x:v>待评审</x:v>
      </x:c>
    </x:row>
    <x:row r="719">
      <x:c r="A719" s="94" t="str">
        <x:v>T0715</x:v>
      </x:c>
      <x:c r="B719" s="95" t="str">
        <x:v>科学AI、仿真与数字孪生</x:v>
      </x:c>
      <x:c r="C719" s="95" t="str">
        <x:v>分子/材料表征、生成式与逆向设计</x:v>
      </x:c>
      <x:c r="D719" s="95" t="str">
        <x:v>当前低优先</x:v>
      </x:c>
      <x:c r="E719" s="100" t="n">
        <x:v>2</x:v>
      </x:c>
      <x:c r="F719" s="95" t="str">
        <x:v>未来扩展</x:v>
      </x:c>
      <x:c r="G719" s="95" t="str">
        <x:v>H 未来表征与生成扩展</x:v>
      </x:c>
      <x:c r="H719" s="95" t="str">
        <x:v>骨架跃迁</x:v>
      </x:c>
      <x:c r="I719" s="95" t="str">
        <x:v>未来扩展结构证据和更大候选空间；当前不应成为主线依赖。</x:v>
      </x:c>
      <x:c r="J719" s="95" t="str">
        <x:v>作为后续正交证据或扩大搜索空间的研究储备，不进入当前最小闭环。</x:v>
      </x:c>
      <x:c r="K719" s="95" t="str">
        <x:v>当前缺少结构表征，不作为结论前提。</x:v>
      </x:c>
      <x:c r="L719" s="95" t="str">
        <x:v>暂缓</x:v>
      </x:c>
      <x:c r="M719" s="95" t="str">
        <x:v>当前不投入</x:v>
      </x:c>
      <x:c r="N719" s="95" t="str">
        <x:v>P2</x:v>
      </x:c>
      <x:c r="O719" s="95" t="str">
        <x:v>https://www.nature.com/articles/s41586-023-06735-9</x:v>
      </x:c>
      <x:c r="P719" s="96" t="str">
        <x:v>待评审</x:v>
      </x:c>
    </x:row>
    <x:row r="720">
      <x:c r="A720" s="94" t="str">
        <x:v>T0716</x:v>
      </x:c>
      <x:c r="B720" s="95" t="str">
        <x:v>科学AI、仿真与数字孪生</x:v>
      </x:c>
      <x:c r="C720" s="95" t="str">
        <x:v>分子/材料表征、生成式与逆向设计</x:v>
      </x:c>
      <x:c r="D720" s="95" t="str">
        <x:v>当前低优先</x:v>
      </x:c>
      <x:c r="E720" s="100" t="n">
        <x:v>0</x:v>
      </x:c>
      <x:c r="F720" s="95" t="str">
        <x:v>未来扩展</x:v>
      </x:c>
      <x:c r="G720" s="95" t="str">
        <x:v>H 未来表征与生成扩展</x:v>
      </x:c>
      <x:c r="H720" s="95" t="str">
        <x:v>蛋白质设计</x:v>
      </x:c>
      <x:c r="I720" s="95" t="str">
        <x:v>未来扩展结构证据和更大候选空间；当前不应成为主线依赖。</x:v>
      </x:c>
      <x:c r="J720" s="95" t="str">
        <x:v>作为后续正交证据或扩大搜索空间的研究储备，不进入当前最小闭环。</x:v>
      </x:c>
      <x:c r="K720" s="95" t="str">
        <x:v>当前缺少结构表征，不作为结论前提。</x:v>
      </x:c>
      <x:c r="L720" s="95" t="str">
        <x:v>暂缓</x:v>
      </x:c>
      <x:c r="M720" s="95" t="str">
        <x:v>当前不投入</x:v>
      </x:c>
      <x:c r="N720" s="95" t="str">
        <x:v>P2</x:v>
      </x:c>
      <x:c r="O720" s="95" t="str">
        <x:v>https://www.nature.com/articles/s43246-022-00315-6</x:v>
      </x:c>
      <x:c r="P720" s="96" t="str">
        <x:v>待评审</x:v>
      </x:c>
    </x:row>
    <x:row r="721">
      <x:c r="A721" s="94" t="str">
        <x:v>T0717</x:v>
      </x:c>
      <x:c r="B721" s="95" t="str">
        <x:v>科学AI、仿真与数字孪生</x:v>
      </x:c>
      <x:c r="C721" s="95" t="str">
        <x:v>分子/材料表征、生成式与逆向设计</x:v>
      </x:c>
      <x:c r="D721" s="95" t="str">
        <x:v>当前低优先</x:v>
      </x:c>
      <x:c r="E721" s="100" t="n">
        <x:v>0</x:v>
      </x:c>
      <x:c r="F721" s="95" t="str">
        <x:v>未来扩展</x:v>
      </x:c>
      <x:c r="G721" s="95" t="str">
        <x:v>H 未来表征与生成扩展</x:v>
      </x:c>
      <x:c r="H721" s="95" t="str">
        <x:v>晶体生成</x:v>
      </x:c>
      <x:c r="I721" s="95" t="str">
        <x:v>未来扩展结构证据和更大候选空间；当前不应成为主线依赖。</x:v>
      </x:c>
      <x:c r="J721" s="95" t="str">
        <x:v>作为后续正交证据或扩大搜索空间的研究储备，不进入当前最小闭环。</x:v>
      </x:c>
      <x:c r="K721" s="95" t="str">
        <x:v>当前缺少结构表征，不作为结论前提。</x:v>
      </x:c>
      <x:c r="L721" s="95" t="str">
        <x:v>暂缓</x:v>
      </x:c>
      <x:c r="M721" s="95" t="str">
        <x:v>当前不投入</x:v>
      </x:c>
      <x:c r="N721" s="95" t="str">
        <x:v>P2</x:v>
      </x:c>
      <x:c r="O721" s="95" t="str">
        <x:v>https://www.nature.com/articles/s42256-024-00832-8</x:v>
      </x:c>
      <x:c r="P721" s="96" t="str">
        <x:v>待评审</x:v>
      </x:c>
    </x:row>
    <x:row r="722">
      <x:c r="A722" s="94" t="str">
        <x:v>T0718</x:v>
      </x:c>
      <x:c r="B722" s="95" t="str">
        <x:v>科学AI、仿真与数字孪生</x:v>
      </x:c>
      <x:c r="C722" s="95" t="str">
        <x:v>分子/材料表征、生成式与逆向设计</x:v>
      </x:c>
      <x:c r="D722" s="95" t="str">
        <x:v>当前低优先</x:v>
      </x:c>
      <x:c r="E722" s="100" t="n">
        <x:v>2</x:v>
      </x:c>
      <x:c r="F722" s="95" t="str">
        <x:v>未来扩展</x:v>
      </x:c>
      <x:c r="G722" s="95" t="str">
        <x:v>H 未来表征与生成扩展</x:v>
      </x:c>
      <x:c r="H722" s="95" t="str">
        <x:v>拓扑优化</x:v>
      </x:c>
      <x:c r="I722" s="95" t="str">
        <x:v>未来扩展结构证据和更大候选空间；当前不应成为主线依赖。</x:v>
      </x:c>
      <x:c r="J722" s="95" t="str">
        <x:v>作为后续正交证据或扩大搜索空间的研究储备，不进入当前最小闭环。</x:v>
      </x:c>
      <x:c r="K722" s="95" t="str">
        <x:v>当前缺少结构表征，不作为结论前提。</x:v>
      </x:c>
      <x:c r="L722" s="95" t="str">
        <x:v>暂缓</x:v>
      </x:c>
      <x:c r="M722" s="95" t="str">
        <x:v>当前不投入</x:v>
      </x:c>
      <x:c r="N722" s="95" t="str">
        <x:v>P2</x:v>
      </x:c>
      <x:c r="O722" s="95" t="str">
        <x:v>https://www.nature.com/articles/s41586-021-03819-2</x:v>
      </x:c>
      <x:c r="P722" s="96" t="str">
        <x:v>待评审</x:v>
      </x:c>
    </x:row>
    <x:row r="723">
      <x:c r="A723" s="94" t="str">
        <x:v>T0719</x:v>
      </x:c>
      <x:c r="B723" s="95" t="str">
        <x:v>科学AI、仿真与数字孪生</x:v>
      </x:c>
      <x:c r="C723" s="95" t="str">
        <x:v>分子/材料表征、生成式与逆向设计</x:v>
      </x:c>
      <x:c r="D723" s="95" t="str">
        <x:v>当前低优先</x:v>
      </x:c>
      <x:c r="E723" s="100" t="n">
        <x:v>2</x:v>
      </x:c>
      <x:c r="F723" s="95" t="str">
        <x:v>未来扩展</x:v>
      </x:c>
      <x:c r="G723" s="95" t="str">
        <x:v>H 未来表征与生成扩展</x:v>
      </x:c>
      <x:c r="H723" s="95" t="str">
        <x:v>可合成性过滤</x:v>
      </x:c>
      <x:c r="I723" s="95" t="str">
        <x:v>未来扩展结构证据和更大候选空间；当前不应成为主线依赖。</x:v>
      </x:c>
      <x:c r="J723" s="95" t="str">
        <x:v>作为后续正交证据或扩大搜索空间的研究储备，不进入当前最小闭环。</x:v>
      </x:c>
      <x:c r="K723" s="95" t="str">
        <x:v>当前缺少结构表征，不作为结论前提。</x:v>
      </x:c>
      <x:c r="L723" s="95" t="str">
        <x:v>暂缓</x:v>
      </x:c>
      <x:c r="M723" s="95" t="str">
        <x:v>当前不投入</x:v>
      </x:c>
      <x:c r="N723" s="95" t="str">
        <x:v>P2</x:v>
      </x:c>
      <x:c r="O723" s="95" t="str">
        <x:v>https://www.nature.com/articles/s41586-023-06735-9</x:v>
      </x:c>
      <x:c r="P723" s="96" t="str">
        <x:v>待评审</x:v>
      </x:c>
    </x:row>
    <x:row r="724">
      <x:c r="A724" s="94" t="str">
        <x:v>T0720</x:v>
      </x:c>
      <x:c r="B724" s="95" t="str">
        <x:v>科学AI、仿真与数字孪生</x:v>
      </x:c>
      <x:c r="C724" s="95" t="str">
        <x:v>分子/材料表征、生成式与逆向设计</x:v>
      </x:c>
      <x:c r="D724" s="95" t="str">
        <x:v>当前低优先</x:v>
      </x:c>
      <x:c r="E724" s="100" t="n">
        <x:v>2</x:v>
      </x:c>
      <x:c r="F724" s="95" t="str">
        <x:v>未来扩展</x:v>
      </x:c>
      <x:c r="G724" s="95" t="str">
        <x:v>H 未来表征与生成扩展</x:v>
      </x:c>
      <x:c r="H724" s="95" t="str">
        <x:v>闭环生成—实验验证</x:v>
      </x:c>
      <x:c r="I724" s="95" t="str">
        <x:v>未来扩展结构证据和更大候选空间；当前不应成为主线依赖。</x:v>
      </x:c>
      <x:c r="J724" s="95" t="str">
        <x:v>作为后续正交证据或扩大搜索空间的研究储备，不进入当前最小闭环。</x:v>
      </x:c>
      <x:c r="K724" s="95" t="str">
        <x:v>当前缺少结构表征，不作为结论前提。</x:v>
      </x:c>
      <x:c r="L724" s="95" t="str">
        <x:v>暂缓</x:v>
      </x:c>
      <x:c r="M724" s="95" t="str">
        <x:v>当前不投入</x:v>
      </x:c>
      <x:c r="N724" s="95" t="str">
        <x:v>P2</x:v>
      </x:c>
      <x:c r="O724" s="95" t="str">
        <x:v>https://www.nature.com/articles/s43246-022-00315-6</x:v>
      </x:c>
      <x:c r="P724" s="96" t="str">
        <x:v>待评审</x:v>
      </x:c>
    </x:row>
    <x:row r="725">
      <x:c r="A725" s="94" t="str">
        <x:v>T0721</x:v>
      </x:c>
      <x:c r="B725" s="95" t="str">
        <x:v>科学智能体与多智能体</x:v>
      </x:c>
      <x:c r="C725" s="95" t="str">
        <x:v>科学大模型智能体：知识、检索与工具接地</x:v>
      </x:c>
      <x:c r="D725" s="95" t="str">
        <x:v>关键支撑</x:v>
      </x:c>
      <x:c r="E725" s="100" t="n">
        <x:v>8</x:v>
      </x:c>
      <x:c r="F725" s="95" t="str">
        <x:v>迁移发现</x:v>
      </x:c>
      <x:c r="G725" s="95" t="str">
        <x:v>C 迁移发现与机理建模</x:v>
      </x:c>
      <x:c r="H725" s="95" t="str">
        <x:v>领域科学大模型</x:v>
      </x:c>
      <x:c r="I725" s="95" t="str">
        <x:v>将文献主张绑定原文证据、条件和反例，降低迁移类比与幻觉。</x:v>
      </x:c>
      <x:c r="J725" s="95" t="str">
        <x:v>用于酸–黏土知识图谱、桥接假设、预测签名、反例设计和层级贝叶斯更新。</x:v>
      </x:c>
      <x:c r="K725" s="95" t="str">
        <x:v>可支撑假设与模型比较，但不能仅凭EIS确认微观结构机制。</x:v>
      </x:c>
      <x:c r="L725" s="95" t="str">
        <x:v>M2 扩展与复现（5–12月）</x:v>
      </x:c>
      <x:c r="M725" s="95" t="str">
        <x:v>按瓶颈接入</x:v>
      </x:c>
      <x:c r="N725" s="95" t="str">
        <x:v>P0</x:v>
      </x:c>
      <x:c r="O725" s="95" t="str">
        <x:v>https://www.nature.com/articles/s41586-023-06792-0</x:v>
      </x:c>
      <x:c r="P725" s="96" t="str">
        <x:v>待评审</x:v>
      </x:c>
    </x:row>
    <x:row r="726">
      <x:c r="A726" s="94" t="str">
        <x:v>T0722</x:v>
      </x:c>
      <x:c r="B726" s="95" t="str">
        <x:v>科学智能体与多智能体</x:v>
      </x:c>
      <x:c r="C726" s="95" t="str">
        <x:v>科学大模型智能体：知识、检索与工具接地</x:v>
      </x:c>
      <x:c r="D726" s="95" t="str">
        <x:v>关键支撑</x:v>
      </x:c>
      <x:c r="E726" s="100" t="n">
        <x:v>8</x:v>
      </x:c>
      <x:c r="F726" s="95" t="str">
        <x:v>迁移发现</x:v>
      </x:c>
      <x:c r="G726" s="95" t="str">
        <x:v>C 迁移发现与机理建模</x:v>
      </x:c>
      <x:c r="H726" s="95" t="str">
        <x:v>科学指令微调</x:v>
      </x:c>
      <x:c r="I726" s="95" t="str">
        <x:v>将文献主张绑定原文证据、条件和反例，降低迁移类比与幻觉。</x:v>
      </x:c>
      <x:c r="J726" s="95" t="str">
        <x:v>用于酸–黏土知识图谱、桥接假设、预测签名、反例设计和层级贝叶斯更新。</x:v>
      </x:c>
      <x:c r="K726" s="95" t="str">
        <x:v>可支撑假设与模型比较，但不能仅凭EIS确认微观结构机制。</x:v>
      </x:c>
      <x:c r="L726" s="95" t="str">
        <x:v>M2 扩展与复现（5–12月）</x:v>
      </x:c>
      <x:c r="M726" s="95" t="str">
        <x:v>按瓶颈接入</x:v>
      </x:c>
      <x:c r="N726" s="95" t="str">
        <x:v>P0</x:v>
      </x:c>
      <x:c r="O726" s="95" t="str">
        <x:v>https://www.nature.com/articles/s42256-024-00832-8</x:v>
      </x:c>
      <x:c r="P726" s="96" t="str">
        <x:v>待评审</x:v>
      </x:c>
    </x:row>
    <x:row r="727">
      <x:c r="A727" s="94" t="str">
        <x:v>T0723</x:v>
      </x:c>
      <x:c r="B727" s="95" t="str">
        <x:v>科学智能体与多智能体</x:v>
      </x:c>
      <x:c r="C727" s="95" t="str">
        <x:v>科学大模型智能体：知识、检索与工具接地</x:v>
      </x:c>
      <x:c r="D727" s="95" t="str">
        <x:v>核心必需</x:v>
      </x:c>
      <x:c r="E727" s="100" t="n">
        <x:v>11</x:v>
      </x:c>
      <x:c r="F727" s="95" t="str">
        <x:v>迁移发现</x:v>
      </x:c>
      <x:c r="G727" s="95" t="str">
        <x:v>C 迁移发现与机理建模</x:v>
      </x:c>
      <x:c r="H727" s="95" t="str">
        <x:v>科学RAG</x:v>
      </x:c>
      <x:c r="I727" s="95" t="str">
        <x:v>将文献主张绑定原文证据、条件和反例，降低迁移类比与幻觉。</x:v>
      </x:c>
      <x:c r="J727" s="95" t="str">
        <x:v>用于酸–黏土知识图谱、桥接假设、预测签名、反例设计和层级贝叶斯更新。</x:v>
      </x:c>
      <x:c r="K727" s="95" t="str">
        <x:v>可支撑假设与模型比较，但不能仅凭EIS确认微观结构机制。</x:v>
      </x:c>
      <x:c r="L727" s="95" t="str">
        <x:v>M1 前瞻验证（2–5月）</x:v>
      </x:c>
      <x:c r="M727" s="95" t="str">
        <x:v>第二批接入</x:v>
      </x:c>
      <x:c r="N727" s="95" t="str">
        <x:v>P0</x:v>
      </x:c>
      <x:c r="O727" s="95" t="str">
        <x:v>https://www.nature.com/articles/s41551-025-01463-z</x:v>
      </x:c>
      <x:c r="P727" s="96" t="str">
        <x:v>待评审</x:v>
      </x:c>
    </x:row>
    <x:row r="728">
      <x:c r="A728" s="94" t="str">
        <x:v>T0724</x:v>
      </x:c>
      <x:c r="B728" s="95" t="str">
        <x:v>科学智能体与多智能体</x:v>
      </x:c>
      <x:c r="C728" s="95" t="str">
        <x:v>科学大模型智能体：知识、检索与工具接地</x:v>
      </x:c>
      <x:c r="D728" s="95" t="str">
        <x:v>核心必需</x:v>
      </x:c>
      <x:c r="E728" s="100" t="n">
        <x:v>11</x:v>
      </x:c>
      <x:c r="F728" s="95" t="str">
        <x:v>迁移发现</x:v>
      </x:c>
      <x:c r="G728" s="95" t="str">
        <x:v>C 迁移发现与机理建模</x:v>
      </x:c>
      <x:c r="H728" s="95" t="str">
        <x:v>混合检索</x:v>
      </x:c>
      <x:c r="I728" s="95" t="str">
        <x:v>将文献主张绑定原文证据、条件和反例，降低迁移类比与幻觉。</x:v>
      </x:c>
      <x:c r="J728" s="95" t="str">
        <x:v>用于酸–黏土知识图谱、桥接假设、预测签名、反例设计和层级贝叶斯更新。</x:v>
      </x:c>
      <x:c r="K728" s="95" t="str">
        <x:v>可支撑假设与模型比较，但不能仅凭EIS确认微观结构机制。</x:v>
      </x:c>
      <x:c r="L728" s="95" t="str">
        <x:v>M1 前瞻验证（2–5月）</x:v>
      </x:c>
      <x:c r="M728" s="95" t="str">
        <x:v>第二批接入</x:v>
      </x:c>
      <x:c r="N728" s="95" t="str">
        <x:v>P0</x:v>
      </x:c>
      <x:c r="O728" s="95" t="str">
        <x:v>https://www.nature.com/articles/s43246-025-00994-x</x:v>
      </x:c>
      <x:c r="P728" s="96" t="str">
        <x:v>待评审</x:v>
      </x:c>
    </x:row>
    <x:row r="729">
      <x:c r="A729" s="94" t="str">
        <x:v>T0725</x:v>
      </x:c>
      <x:c r="B729" s="95" t="str">
        <x:v>科学智能体与多智能体</x:v>
      </x:c>
      <x:c r="C729" s="95" t="str">
        <x:v>科学大模型智能体：知识、检索与工具接地</x:v>
      </x:c>
      <x:c r="D729" s="95" t="str">
        <x:v>核心必需</x:v>
      </x:c>
      <x:c r="E729" s="100" t="n">
        <x:v>12</x:v>
      </x:c>
      <x:c r="F729" s="95" t="str">
        <x:v>迁移发现</x:v>
      </x:c>
      <x:c r="G729" s="95" t="str">
        <x:v>C 迁移发现与机理建模</x:v>
      </x:c>
      <x:c r="H729" s="95" t="str">
        <x:v>引文接地</x:v>
      </x:c>
      <x:c r="I729" s="95" t="str">
        <x:v>将文献主张绑定原文证据、条件和反例，降低迁移类比与幻觉。</x:v>
      </x:c>
      <x:c r="J729" s="95" t="str">
        <x:v>用于酸–黏土知识图谱、桥接假设、预测签名、反例设计和层级贝叶斯更新。</x:v>
      </x:c>
      <x:c r="K729" s="95" t="str">
        <x:v>可支撑假设与模型比较，但不能仅凭EIS确认微观结构机制。</x:v>
      </x:c>
      <x:c r="L729" s="95" t="str">
        <x:v>M0 主流程接入（0–2月）</x:v>
      </x:c>
      <x:c r="M729" s="95" t="str">
        <x:v>首批接入</x:v>
      </x:c>
      <x:c r="N729" s="95" t="str">
        <x:v>P0</x:v>
      </x:c>
      <x:c r="O729" s="95" t="str">
        <x:v>https://modelcontextprotocol.io/docs/getting-started/intro</x:v>
      </x:c>
      <x:c r="P729" s="96" t="str">
        <x:v>待评审</x:v>
      </x:c>
    </x:row>
    <x:row r="730">
      <x:c r="A730" s="94" t="str">
        <x:v>T0726</x:v>
      </x:c>
      <x:c r="B730" s="95" t="str">
        <x:v>科学智能体与多智能体</x:v>
      </x:c>
      <x:c r="C730" s="95" t="str">
        <x:v>科学大模型智能体：知识、检索与工具接地</x:v>
      </x:c>
      <x:c r="D730" s="95" t="str">
        <x:v>核心必需</x:v>
      </x:c>
      <x:c r="E730" s="100" t="n">
        <x:v>12</x:v>
      </x:c>
      <x:c r="F730" s="95" t="str">
        <x:v>迁移发现</x:v>
      </x:c>
      <x:c r="G730" s="95" t="str">
        <x:v>C 迁移发现与机理建模</x:v>
      </x:c>
      <x:c r="H730" s="95" t="str">
        <x:v>文献检索</x:v>
      </x:c>
      <x:c r="I730" s="95" t="str">
        <x:v>将文献主张绑定原文证据、条件和反例，降低迁移类比与幻觉。</x:v>
      </x:c>
      <x:c r="J730" s="95" t="str">
        <x:v>用于酸–黏土知识图谱、桥接假设、预测签名、反例设计和层级贝叶斯更新。</x:v>
      </x:c>
      <x:c r="K730" s="95" t="str">
        <x:v>可支撑假设与模型比较，但不能仅凭EIS确认微观结构机制。</x:v>
      </x:c>
      <x:c r="L730" s="95" t="str">
        <x:v>M0 主流程接入（0–2月）</x:v>
      </x:c>
      <x:c r="M730" s="95" t="str">
        <x:v>首批接入</x:v>
      </x:c>
      <x:c r="N730" s="95" t="str">
        <x:v>P0</x:v>
      </x:c>
      <x:c r="O730" s="95" t="str">
        <x:v>https://www.nature.com/articles/s41586-023-06792-0</x:v>
      </x:c>
      <x:c r="P730" s="96" t="str">
        <x:v>待评审</x:v>
      </x:c>
    </x:row>
    <x:row r="731">
      <x:c r="A731" s="94" t="str">
        <x:v>T0727</x:v>
      </x:c>
      <x:c r="B731" s="95" t="str">
        <x:v>科学智能体与多智能体</x:v>
      </x:c>
      <x:c r="C731" s="95" t="str">
        <x:v>科学大模型智能体：知识、检索与工具接地</x:v>
      </x:c>
      <x:c r="D731" s="95" t="str">
        <x:v>关键支撑</x:v>
      </x:c>
      <x:c r="E731" s="100" t="n">
        <x:v>8</x:v>
      </x:c>
      <x:c r="F731" s="95" t="str">
        <x:v>迁移发现</x:v>
      </x:c>
      <x:c r="G731" s="95" t="str">
        <x:v>C 迁移发现与机理建模</x:v>
      </x:c>
      <x:c r="H731" s="95" t="str">
        <x:v>专利检索</x:v>
      </x:c>
      <x:c r="I731" s="95" t="str">
        <x:v>将文献主张绑定原文证据、条件和反例，降低迁移类比与幻觉。</x:v>
      </x:c>
      <x:c r="J731" s="95" t="str">
        <x:v>用于酸–黏土知识图谱、桥接假设、预测签名、反例设计和层级贝叶斯更新。</x:v>
      </x:c>
      <x:c r="K731" s="95" t="str">
        <x:v>可支撑假设与模型比较，但不能仅凭EIS确认微观结构机制。</x:v>
      </x:c>
      <x:c r="L731" s="95" t="str">
        <x:v>M2 扩展与复现（5–12月）</x:v>
      </x:c>
      <x:c r="M731" s="95" t="str">
        <x:v>按瓶颈接入</x:v>
      </x:c>
      <x:c r="N731" s="95" t="str">
        <x:v>P0</x:v>
      </x:c>
      <x:c r="O731" s="95" t="str">
        <x:v>https://www.nature.com/articles/s42256-024-00832-8</x:v>
      </x:c>
      <x:c r="P731" s="96" t="str">
        <x:v>待评审</x:v>
      </x:c>
    </x:row>
    <x:row r="732">
      <x:c r="A732" s="94" t="str">
        <x:v>T0728</x:v>
      </x:c>
      <x:c r="B732" s="95" t="str">
        <x:v>科学智能体与多智能体</x:v>
      </x:c>
      <x:c r="C732" s="95" t="str">
        <x:v>科学大模型智能体：知识、检索与工具接地</x:v>
      </x:c>
      <x:c r="D732" s="95" t="str">
        <x:v>关键支撑</x:v>
      </x:c>
      <x:c r="E732" s="100" t="n">
        <x:v>8</x:v>
      </x:c>
      <x:c r="F732" s="95" t="str">
        <x:v>迁移发现</x:v>
      </x:c>
      <x:c r="G732" s="95" t="str">
        <x:v>C 迁移发现与机理建模</x:v>
      </x:c>
      <x:c r="H732" s="95" t="str">
        <x:v>科学数据库查询</x:v>
      </x:c>
      <x:c r="I732" s="95" t="str">
        <x:v>将文献主张绑定原文证据、条件和反例，降低迁移类比与幻觉。</x:v>
      </x:c>
      <x:c r="J732" s="95" t="str">
        <x:v>用于酸–黏土知识图谱、桥接假设、预测签名、反例设计和层级贝叶斯更新。</x:v>
      </x:c>
      <x:c r="K732" s="95" t="str">
        <x:v>可支撑假设与模型比较，但不能仅凭EIS确认微观结构机制。</x:v>
      </x:c>
      <x:c r="L732" s="95" t="str">
        <x:v>M2 扩展与复现（5–12月）</x:v>
      </x:c>
      <x:c r="M732" s="95" t="str">
        <x:v>按瓶颈接入</x:v>
      </x:c>
      <x:c r="N732" s="95" t="str">
        <x:v>P0</x:v>
      </x:c>
      <x:c r="O732" s="95" t="str">
        <x:v>https://www.nature.com/articles/s41551-025-01463-z</x:v>
      </x:c>
      <x:c r="P732" s="96" t="str">
        <x:v>待评审</x:v>
      </x:c>
    </x:row>
    <x:row r="733">
      <x:c r="A733" s="94" t="str">
        <x:v>T0729</x:v>
      </x:c>
      <x:c r="B733" s="95" t="str">
        <x:v>科学智能体与多智能体</x:v>
      </x:c>
      <x:c r="C733" s="95" t="str">
        <x:v>科学大模型智能体：知识、检索与工具接地</x:v>
      </x:c>
      <x:c r="D733" s="95" t="str">
        <x:v>核心必需</x:v>
      </x:c>
      <x:c r="E733" s="100" t="n">
        <x:v>11</x:v>
      </x:c>
      <x:c r="F733" s="95" t="str">
        <x:v>迁移发现</x:v>
      </x:c>
      <x:c r="G733" s="95" t="str">
        <x:v>C 迁移发现与机理建模</x:v>
      </x:c>
      <x:c r="H733" s="95" t="str">
        <x:v>知识图谱检索</x:v>
      </x:c>
      <x:c r="I733" s="95" t="str">
        <x:v>将文献主张绑定原文证据、条件和反例，降低迁移类比与幻觉。</x:v>
      </x:c>
      <x:c r="J733" s="95" t="str">
        <x:v>用于酸–黏土知识图谱、桥接假设、预测签名、反例设计和层级贝叶斯更新。</x:v>
      </x:c>
      <x:c r="K733" s="95" t="str">
        <x:v>可支撑假设与模型比较，但不能仅凭EIS确认微观结构机制。</x:v>
      </x:c>
      <x:c r="L733" s="95" t="str">
        <x:v>M1 前瞻验证（2–5月）</x:v>
      </x:c>
      <x:c r="M733" s="95" t="str">
        <x:v>第二批接入</x:v>
      </x:c>
      <x:c r="N733" s="95" t="str">
        <x:v>P0</x:v>
      </x:c>
      <x:c r="O733" s="95" t="str">
        <x:v>https://www.nature.com/articles/s43246-025-00994-x</x:v>
      </x:c>
      <x:c r="P733" s="96" t="str">
        <x:v>待评审</x:v>
      </x:c>
    </x:row>
    <x:row r="734">
      <x:c r="A734" s="94" t="str">
        <x:v>T0730</x:v>
      </x:c>
      <x:c r="B734" s="95" t="str">
        <x:v>科学智能体与多智能体</x:v>
      </x:c>
      <x:c r="C734" s="95" t="str">
        <x:v>科学大模型智能体：知识、检索与工具接地</x:v>
      </x:c>
      <x:c r="D734" s="95" t="str">
        <x:v>核心必需</x:v>
      </x:c>
      <x:c r="E734" s="100" t="n">
        <x:v>11</x:v>
      </x:c>
      <x:c r="F734" s="95" t="str">
        <x:v>迁移发现</x:v>
      </x:c>
      <x:c r="G734" s="95" t="str">
        <x:v>C 迁移发现与机理建模</x:v>
      </x:c>
      <x:c r="H734" s="95" t="str">
        <x:v>本体接地</x:v>
      </x:c>
      <x:c r="I734" s="95" t="str">
        <x:v>将文献主张绑定原文证据、条件和反例，降低迁移类比与幻觉。</x:v>
      </x:c>
      <x:c r="J734" s="95" t="str">
        <x:v>用于酸–黏土知识图谱、桥接假设、预测签名、反例设计和层级贝叶斯更新。</x:v>
      </x:c>
      <x:c r="K734" s="95" t="str">
        <x:v>可支撑假设与模型比较，但不能仅凭EIS确认微观结构机制。</x:v>
      </x:c>
      <x:c r="L734" s="95" t="str">
        <x:v>M1 前瞻验证（2–5月）</x:v>
      </x:c>
      <x:c r="M734" s="95" t="str">
        <x:v>第二批接入</x:v>
      </x:c>
      <x:c r="N734" s="95" t="str">
        <x:v>P0</x:v>
      </x:c>
      <x:c r="O734" s="95" t="str">
        <x:v>https://modelcontextprotocol.io/docs/getting-started/intro</x:v>
      </x:c>
      <x:c r="P734" s="96" t="str">
        <x:v>待评审</x:v>
      </x:c>
    </x:row>
    <x:row r="735">
      <x:c r="A735" s="94" t="str">
        <x:v>T0731</x:v>
      </x:c>
      <x:c r="B735" s="95" t="str">
        <x:v>科学智能体与多智能体</x:v>
      </x:c>
      <x:c r="C735" s="95" t="str">
        <x:v>科学大模型智能体：知识、检索与工具接地</x:v>
      </x:c>
      <x:c r="D735" s="95" t="str">
        <x:v>关键支撑</x:v>
      </x:c>
      <x:c r="E735" s="100" t="n">
        <x:v>8</x:v>
      </x:c>
      <x:c r="F735" s="95" t="str">
        <x:v>迁移发现</x:v>
      </x:c>
      <x:c r="G735" s="95" t="str">
        <x:v>C 迁移发现与机理建模</x:v>
      </x:c>
      <x:c r="H735" s="95" t="str">
        <x:v>语义解析</x:v>
      </x:c>
      <x:c r="I735" s="95" t="str">
        <x:v>将文献主张绑定原文证据、条件和反例，降低迁移类比与幻觉。</x:v>
      </x:c>
      <x:c r="J735" s="95" t="str">
        <x:v>用于酸–黏土知识图谱、桥接假设、预测签名、反例设计和层级贝叶斯更新。</x:v>
      </x:c>
      <x:c r="K735" s="95" t="str">
        <x:v>可支撑假设与模型比较，但不能仅凭EIS确认微观结构机制。</x:v>
      </x:c>
      <x:c r="L735" s="95" t="str">
        <x:v>M2 扩展与复现（5–12月）</x:v>
      </x:c>
      <x:c r="M735" s="95" t="str">
        <x:v>按瓶颈接入</x:v>
      </x:c>
      <x:c r="N735" s="95" t="str">
        <x:v>P1</x:v>
      </x:c>
      <x:c r="O735" s="95" t="str">
        <x:v>https://www.nature.com/articles/s41586-023-06792-0</x:v>
      </x:c>
      <x:c r="P735" s="96" t="str">
        <x:v>待评审</x:v>
      </x:c>
    </x:row>
    <x:row r="736">
      <x:c r="A736" s="94" t="str">
        <x:v>T0732</x:v>
      </x:c>
      <x:c r="B736" s="95" t="str">
        <x:v>科学智能体与多智能体</x:v>
      </x:c>
      <x:c r="C736" s="95" t="str">
        <x:v>科学大模型智能体：知识、检索与工具接地</x:v>
      </x:c>
      <x:c r="D736" s="95" t="str">
        <x:v>关键支撑</x:v>
      </x:c>
      <x:c r="E736" s="100" t="n">
        <x:v>8</x:v>
      </x:c>
      <x:c r="F736" s="95" t="str">
        <x:v>迁移发现</x:v>
      </x:c>
      <x:c r="G736" s="95" t="str">
        <x:v>C 迁移发现与机理建模</x:v>
      </x:c>
      <x:c r="H736" s="95" t="str">
        <x:v>表格理解</x:v>
      </x:c>
      <x:c r="I736" s="95" t="str">
        <x:v>将文献主张绑定原文证据、条件和反例，降低迁移类比与幻觉。</x:v>
      </x:c>
      <x:c r="J736" s="95" t="str">
        <x:v>用于酸–黏土知识图谱、桥接假设、预测签名、反例设计和层级贝叶斯更新。</x:v>
      </x:c>
      <x:c r="K736" s="95" t="str">
        <x:v>可支撑假设与模型比较，但不能仅凭EIS确认微观结构机制。</x:v>
      </x:c>
      <x:c r="L736" s="95" t="str">
        <x:v>M2 扩展与复现（5–12月）</x:v>
      </x:c>
      <x:c r="M736" s="95" t="str">
        <x:v>按瓶颈接入</x:v>
      </x:c>
      <x:c r="N736" s="95" t="str">
        <x:v>P1</x:v>
      </x:c>
      <x:c r="O736" s="95" t="str">
        <x:v>https://www.nature.com/articles/s42256-024-00832-8</x:v>
      </x:c>
      <x:c r="P736" s="96" t="str">
        <x:v>待评审</x:v>
      </x:c>
    </x:row>
    <x:row r="737">
      <x:c r="A737" s="94" t="str">
        <x:v>T0733</x:v>
      </x:c>
      <x:c r="B737" s="95" t="str">
        <x:v>科学智能体与多智能体</x:v>
      </x:c>
      <x:c r="C737" s="95" t="str">
        <x:v>科学大模型智能体：知识、检索与工具接地</x:v>
      </x:c>
      <x:c r="D737" s="95" t="str">
        <x:v>关键支撑</x:v>
      </x:c>
      <x:c r="E737" s="100" t="n">
        <x:v>8</x:v>
      </x:c>
      <x:c r="F737" s="95" t="str">
        <x:v>迁移发现</x:v>
      </x:c>
      <x:c r="G737" s="95" t="str">
        <x:v>C 迁移发现与机理建模</x:v>
      </x:c>
      <x:c r="H737" s="95" t="str">
        <x:v>公式理解</x:v>
      </x:c>
      <x:c r="I737" s="95" t="str">
        <x:v>将文献主张绑定原文证据、条件和反例，降低迁移类比与幻觉。</x:v>
      </x:c>
      <x:c r="J737" s="95" t="str">
        <x:v>用于酸–黏土知识图谱、桥接假设、预测签名、反例设计和层级贝叶斯更新。</x:v>
      </x:c>
      <x:c r="K737" s="95" t="str">
        <x:v>可支撑假设与模型比较，但不能仅凭EIS确认微观结构机制。</x:v>
      </x:c>
      <x:c r="L737" s="95" t="str">
        <x:v>M2 扩展与复现（5–12月）</x:v>
      </x:c>
      <x:c r="M737" s="95" t="str">
        <x:v>按瓶颈接入</x:v>
      </x:c>
      <x:c r="N737" s="95" t="str">
        <x:v>P1</x:v>
      </x:c>
      <x:c r="O737" s="95" t="str">
        <x:v>https://www.nature.com/articles/s41551-025-01463-z</x:v>
      </x:c>
      <x:c r="P737" s="96" t="str">
        <x:v>待评审</x:v>
      </x:c>
    </x:row>
    <x:row r="738">
      <x:c r="A738" s="94" t="str">
        <x:v>T0734</x:v>
      </x:c>
      <x:c r="B738" s="95" t="str">
        <x:v>科学智能体与多智能体</x:v>
      </x:c>
      <x:c r="C738" s="95" t="str">
        <x:v>科学大模型智能体：知识、检索与工具接地</x:v>
      </x:c>
      <x:c r="D738" s="95" t="str">
        <x:v>关键支撑</x:v>
      </x:c>
      <x:c r="E738" s="100" t="n">
        <x:v>8</x:v>
      </x:c>
      <x:c r="F738" s="95" t="str">
        <x:v>迁移发现</x:v>
      </x:c>
      <x:c r="G738" s="95" t="str">
        <x:v>C 迁移发现与机理建模</x:v>
      </x:c>
      <x:c r="H738" s="95" t="str">
        <x:v>多模态论文理解</x:v>
      </x:c>
      <x:c r="I738" s="95" t="str">
        <x:v>将文献主张绑定原文证据、条件和反例，降低迁移类比与幻觉。</x:v>
      </x:c>
      <x:c r="J738" s="95" t="str">
        <x:v>用于酸–黏土知识图谱、桥接假设、预测签名、反例设计和层级贝叶斯更新。</x:v>
      </x:c>
      <x:c r="K738" s="95" t="str">
        <x:v>可支撑假设与模型比较，但不能仅凭EIS确认微观结构机制。</x:v>
      </x:c>
      <x:c r="L738" s="95" t="str">
        <x:v>M2 扩展与复现（5–12月）</x:v>
      </x:c>
      <x:c r="M738" s="95" t="str">
        <x:v>按瓶颈接入</x:v>
      </x:c>
      <x:c r="N738" s="95" t="str">
        <x:v>P1</x:v>
      </x:c>
      <x:c r="O738" s="95" t="str">
        <x:v>https://www.nature.com/articles/s43246-025-00994-x</x:v>
      </x:c>
      <x:c r="P738" s="96" t="str">
        <x:v>待评审</x:v>
      </x:c>
    </x:row>
    <x:row r="739">
      <x:c r="A739" s="94" t="str">
        <x:v>T0735</x:v>
      </x:c>
      <x:c r="B739" s="95" t="str">
        <x:v>科学智能体与多智能体</x:v>
      </x:c>
      <x:c r="C739" s="95" t="str">
        <x:v>科学大模型智能体：知识、检索与工具接地</x:v>
      </x:c>
      <x:c r="D739" s="95" t="str">
        <x:v>关键支撑</x:v>
      </x:c>
      <x:c r="E739" s="100" t="n">
        <x:v>8</x:v>
      </x:c>
      <x:c r="F739" s="95" t="str">
        <x:v>迁移发现</x:v>
      </x:c>
      <x:c r="G739" s="95" t="str">
        <x:v>C 迁移发现与机理建模</x:v>
      </x:c>
      <x:c r="H739" s="95" t="str">
        <x:v>实验协议抽取</x:v>
      </x:c>
      <x:c r="I739" s="95" t="str">
        <x:v>将文献主张绑定原文证据、条件和反例，降低迁移类比与幻觉。</x:v>
      </x:c>
      <x:c r="J739" s="95" t="str">
        <x:v>用于酸–黏土知识图谱、桥接假设、预测签名、反例设计和层级贝叶斯更新。</x:v>
      </x:c>
      <x:c r="K739" s="95" t="str">
        <x:v>可支撑假设与模型比较，但不能仅凭EIS确认微观结构机制。</x:v>
      </x:c>
      <x:c r="L739" s="95" t="str">
        <x:v>M2 扩展与复现（5–12月）</x:v>
      </x:c>
      <x:c r="M739" s="95" t="str">
        <x:v>按瓶颈接入</x:v>
      </x:c>
      <x:c r="N739" s="95" t="str">
        <x:v>P1</x:v>
      </x:c>
      <x:c r="O739" s="95" t="str">
        <x:v>https://modelcontextprotocol.io/docs/getting-started/intro</x:v>
      </x:c>
      <x:c r="P739" s="96" t="str">
        <x:v>待评审</x:v>
      </x:c>
    </x:row>
    <x:row r="740">
      <x:c r="A740" s="94" t="str">
        <x:v>T0736</x:v>
      </x:c>
      <x:c r="B740" s="95" t="str">
        <x:v>科学智能体与多智能体</x:v>
      </x:c>
      <x:c r="C740" s="95" t="str">
        <x:v>科学大模型智能体：知识、检索与工具接地</x:v>
      </x:c>
      <x:c r="D740" s="95" t="str">
        <x:v>关键支撑</x:v>
      </x:c>
      <x:c r="E740" s="100" t="n">
        <x:v>8</x:v>
      </x:c>
      <x:c r="F740" s="95" t="str">
        <x:v>迁移发现</x:v>
      </x:c>
      <x:c r="G740" s="95" t="str">
        <x:v>C 迁移发现与机理建模</x:v>
      </x:c>
      <x:c r="H740" s="95" t="str">
        <x:v>实体标准化</x:v>
      </x:c>
      <x:c r="I740" s="95" t="str">
        <x:v>将文献主张绑定原文证据、条件和反例，降低迁移类比与幻觉。</x:v>
      </x:c>
      <x:c r="J740" s="95" t="str">
        <x:v>用于酸–黏土知识图谱、桥接假设、预测签名、反例设计和层级贝叶斯更新。</x:v>
      </x:c>
      <x:c r="K740" s="95" t="str">
        <x:v>可支撑假设与模型比较，但不能仅凭EIS确认微观结构机制。</x:v>
      </x:c>
      <x:c r="L740" s="95" t="str">
        <x:v>M2 扩展与复现（5–12月）</x:v>
      </x:c>
      <x:c r="M740" s="95" t="str">
        <x:v>按瓶颈接入</x:v>
      </x:c>
      <x:c r="N740" s="95" t="str">
        <x:v>P1</x:v>
      </x:c>
      <x:c r="O740" s="95" t="str">
        <x:v>https://www.nature.com/articles/s41586-023-06792-0</x:v>
      </x:c>
      <x:c r="P740" s="96" t="str">
        <x:v>待评审</x:v>
      </x:c>
    </x:row>
    <x:row r="741">
      <x:c r="A741" s="94" t="str">
        <x:v>T0737</x:v>
      </x:c>
      <x:c r="B741" s="95" t="str">
        <x:v>科学智能体与多智能体</x:v>
      </x:c>
      <x:c r="C741" s="95" t="str">
        <x:v>科学大模型智能体：知识、检索与工具接地</x:v>
      </x:c>
      <x:c r="D741" s="95" t="str">
        <x:v>关键支撑</x:v>
      </x:c>
      <x:c r="E741" s="100" t="n">
        <x:v>8</x:v>
      </x:c>
      <x:c r="F741" s="95" t="str">
        <x:v>迁移发现</x:v>
      </x:c>
      <x:c r="G741" s="95" t="str">
        <x:v>C 迁移发现与机理建模</x:v>
      </x:c>
      <x:c r="H741" s="95" t="str">
        <x:v>单位标准化</x:v>
      </x:c>
      <x:c r="I741" s="95" t="str">
        <x:v>将文献主张绑定原文证据、条件和反例，降低迁移类比与幻觉。</x:v>
      </x:c>
      <x:c r="J741" s="95" t="str">
        <x:v>用于酸–黏土知识图谱、桥接假设、预测签名、反例设计和层级贝叶斯更新。</x:v>
      </x:c>
      <x:c r="K741" s="95" t="str">
        <x:v>可支撑假设与模型比较，但不能仅凭EIS确认微观结构机制。</x:v>
      </x:c>
      <x:c r="L741" s="95" t="str">
        <x:v>M2 扩展与复现（5–12月）</x:v>
      </x:c>
      <x:c r="M741" s="95" t="str">
        <x:v>按瓶颈接入</x:v>
      </x:c>
      <x:c r="N741" s="95" t="str">
        <x:v>P1</x:v>
      </x:c>
      <x:c r="O741" s="95" t="str">
        <x:v>https://www.nature.com/articles/s42256-024-00832-8</x:v>
      </x:c>
      <x:c r="P741" s="96" t="str">
        <x:v>待评审</x:v>
      </x:c>
    </x:row>
    <x:row r="742">
      <x:c r="A742" s="94" t="str">
        <x:v>T0738</x:v>
      </x:c>
      <x:c r="B742" s="95" t="str">
        <x:v>科学智能体与多智能体</x:v>
      </x:c>
      <x:c r="C742" s="95" t="str">
        <x:v>科学大模型智能体：知识、检索与工具接地</x:v>
      </x:c>
      <x:c r="D742" s="95" t="str">
        <x:v>核心必需</x:v>
      </x:c>
      <x:c r="E742" s="100" t="n">
        <x:v>12</x:v>
      </x:c>
      <x:c r="F742" s="95" t="str">
        <x:v>迁移发现</x:v>
      </x:c>
      <x:c r="G742" s="95" t="str">
        <x:v>C 迁移发现与机理建模</x:v>
      </x:c>
      <x:c r="H742" s="95" t="str">
        <x:v>主张—证据链接</x:v>
      </x:c>
      <x:c r="I742" s="95" t="str">
        <x:v>将文献主张绑定原文证据、条件和反例，降低迁移类比与幻觉。</x:v>
      </x:c>
      <x:c r="J742" s="95" t="str">
        <x:v>用于酸–黏土知识图谱、桥接假设、预测签名、反例设计和层级贝叶斯更新。</x:v>
      </x:c>
      <x:c r="K742" s="95" t="str">
        <x:v>可支撑假设与模型比较，但不能仅凭EIS确认微观结构机制。</x:v>
      </x:c>
      <x:c r="L742" s="95" t="str">
        <x:v>M0 主流程接入（0–2月）</x:v>
      </x:c>
      <x:c r="M742" s="95" t="str">
        <x:v>首批接入</x:v>
      </x:c>
      <x:c r="N742" s="95" t="str">
        <x:v>P1</x:v>
      </x:c>
      <x:c r="O742" s="95" t="str">
        <x:v>https://www.nature.com/articles/s41551-025-01463-z</x:v>
      </x:c>
      <x:c r="P742" s="96" t="str">
        <x:v>待评审</x:v>
      </x:c>
    </x:row>
    <x:row r="743">
      <x:c r="A743" s="94" t="str">
        <x:v>T0739</x:v>
      </x:c>
      <x:c r="B743" s="95" t="str">
        <x:v>科学智能体与多智能体</x:v>
      </x:c>
      <x:c r="C743" s="95" t="str">
        <x:v>科学大模型智能体：知识、检索与工具接地</x:v>
      </x:c>
      <x:c r="D743" s="95" t="str">
        <x:v>核心必需</x:v>
      </x:c>
      <x:c r="E743" s="100" t="n">
        <x:v>12</x:v>
      </x:c>
      <x:c r="F743" s="95" t="str">
        <x:v>迁移发现</x:v>
      </x:c>
      <x:c r="G743" s="95" t="str">
        <x:v>C 迁移发现与机理建模</x:v>
      </x:c>
      <x:c r="H743" s="95" t="str">
        <x:v>矛盾检测</x:v>
      </x:c>
      <x:c r="I743" s="95" t="str">
        <x:v>将文献主张绑定原文证据、条件和反例，降低迁移类比与幻觉。</x:v>
      </x:c>
      <x:c r="J743" s="95" t="str">
        <x:v>用于酸–黏土知识图谱、桥接假设、预测签名、反例设计和层级贝叶斯更新。</x:v>
      </x:c>
      <x:c r="K743" s="95" t="str">
        <x:v>可支撑假设与模型比较，但不能仅凭EIS确认微观结构机制。</x:v>
      </x:c>
      <x:c r="L743" s="95" t="str">
        <x:v>M0 主流程接入（0–2月）</x:v>
      </x:c>
      <x:c r="M743" s="95" t="str">
        <x:v>首批接入</x:v>
      </x:c>
      <x:c r="N743" s="95" t="str">
        <x:v>P1</x:v>
      </x:c>
      <x:c r="O743" s="95" t="str">
        <x:v>https://www.nature.com/articles/s43246-025-00994-x</x:v>
      </x:c>
      <x:c r="P743" s="96" t="str">
        <x:v>待评审</x:v>
      </x:c>
    </x:row>
    <x:row r="744">
      <x:c r="A744" s="94" t="str">
        <x:v>T0740</x:v>
      </x:c>
      <x:c r="B744" s="95" t="str">
        <x:v>科学智能体与多智能体</x:v>
      </x:c>
      <x:c r="C744" s="95" t="str">
        <x:v>科学大模型智能体：知识、检索与工具接地</x:v>
      </x:c>
      <x:c r="D744" s="95" t="str">
        <x:v>核心必需</x:v>
      </x:c>
      <x:c r="E744" s="100" t="n">
        <x:v>12</x:v>
      </x:c>
      <x:c r="F744" s="95" t="str">
        <x:v>迁移发现</x:v>
      </x:c>
      <x:c r="G744" s="95" t="str">
        <x:v>C 迁移发现与机理建模</x:v>
      </x:c>
      <x:c r="H744" s="95" t="str">
        <x:v>证据等级评估</x:v>
      </x:c>
      <x:c r="I744" s="95" t="str">
        <x:v>将文献主张绑定原文证据、条件和反例，降低迁移类比与幻觉。</x:v>
      </x:c>
      <x:c r="J744" s="95" t="str">
        <x:v>用于酸–黏土知识图谱、桥接假设、预测签名、反例设计和层级贝叶斯更新。</x:v>
      </x:c>
      <x:c r="K744" s="95" t="str">
        <x:v>可支撑假设与模型比较，但不能仅凭EIS确认微观结构机制。</x:v>
      </x:c>
      <x:c r="L744" s="95" t="str">
        <x:v>M0 主流程接入（0–2月）</x:v>
      </x:c>
      <x:c r="M744" s="95" t="str">
        <x:v>首批接入</x:v>
      </x:c>
      <x:c r="N744" s="95" t="str">
        <x:v>P1</x:v>
      </x:c>
      <x:c r="O744" s="95" t="str">
        <x:v>https://modelcontextprotocol.io/docs/getting-started/intro</x:v>
      </x:c>
      <x:c r="P744" s="96" t="str">
        <x:v>待评审</x:v>
      </x:c>
    </x:row>
    <x:row r="745">
      <x:c r="A745" s="94" t="str">
        <x:v>T0741</x:v>
      </x:c>
      <x:c r="B745" s="95" t="str">
        <x:v>科学智能体与多智能体</x:v>
      </x:c>
      <x:c r="C745" s="95" t="str">
        <x:v>科学大模型智能体：知识、检索与工具接地</x:v>
      </x:c>
      <x:c r="D745" s="95" t="str">
        <x:v>关键支撑</x:v>
      </x:c>
      <x:c r="E745" s="100" t="n">
        <x:v>8</x:v>
      </x:c>
      <x:c r="F745" s="95" t="str">
        <x:v>迁移发现</x:v>
      </x:c>
      <x:c r="G745" s="95" t="str">
        <x:v>C 迁移发现与机理建模</x:v>
      </x:c>
      <x:c r="H745" s="95" t="str">
        <x:v>来源时效管理</x:v>
      </x:c>
      <x:c r="I745" s="95" t="str">
        <x:v>将文献主张绑定原文证据、条件和反例，降低迁移类比与幻觉。</x:v>
      </x:c>
      <x:c r="J745" s="95" t="str">
        <x:v>用于酸–黏土知识图谱、桥接假设、预测签名、反例设计和层级贝叶斯更新。</x:v>
      </x:c>
      <x:c r="K745" s="95" t="str">
        <x:v>可支撑假设与模型比较，但不能仅凭EIS确认微观结构机制。</x:v>
      </x:c>
      <x:c r="L745" s="95" t="str">
        <x:v>M2 扩展与复现（5–12月）</x:v>
      </x:c>
      <x:c r="M745" s="95" t="str">
        <x:v>按瓶颈接入</x:v>
      </x:c>
      <x:c r="N745" s="95" t="str">
        <x:v>P1</x:v>
      </x:c>
      <x:c r="O745" s="95" t="str">
        <x:v>https://www.nature.com/articles/s41586-023-06792-0</x:v>
      </x:c>
      <x:c r="P745" s="96" t="str">
        <x:v>待评审</x:v>
      </x:c>
    </x:row>
    <x:row r="746">
      <x:c r="A746" s="94" t="str">
        <x:v>T0742</x:v>
      </x:c>
      <x:c r="B746" s="95" t="str">
        <x:v>科学智能体与多智能体</x:v>
      </x:c>
      <x:c r="C746" s="95" t="str">
        <x:v>科学大模型智能体：知识、检索与工具接地</x:v>
      </x:c>
      <x:c r="D746" s="95" t="str">
        <x:v>核心必需</x:v>
      </x:c>
      <x:c r="E746" s="100" t="n">
        <x:v>12</x:v>
      </x:c>
      <x:c r="F746" s="95" t="str">
        <x:v>迁移发现</x:v>
      </x:c>
      <x:c r="G746" s="95" t="str">
        <x:v>C 迁移发现与机理建模</x:v>
      </x:c>
      <x:c r="H746" s="95" t="str">
        <x:v>溯源感知生成</x:v>
      </x:c>
      <x:c r="I746" s="95" t="str">
        <x:v>将文献主张绑定原文证据、条件和反例，降低迁移类比与幻觉。</x:v>
      </x:c>
      <x:c r="J746" s="95" t="str">
        <x:v>用于酸–黏土知识图谱、桥接假设、预测签名、反例设计和层级贝叶斯更新。</x:v>
      </x:c>
      <x:c r="K746" s="95" t="str">
        <x:v>可支撑假设与模型比较，但不能仅凭EIS确认微观结构机制。</x:v>
      </x:c>
      <x:c r="L746" s="95" t="str">
        <x:v>M0 主流程接入（0–2月）</x:v>
      </x:c>
      <x:c r="M746" s="95" t="str">
        <x:v>首批接入</x:v>
      </x:c>
      <x:c r="N746" s="95" t="str">
        <x:v>P1</x:v>
      </x:c>
      <x:c r="O746" s="95" t="str">
        <x:v>https://www.nature.com/articles/s42256-024-00832-8</x:v>
      </x:c>
      <x:c r="P746" s="96" t="str">
        <x:v>待评审</x:v>
      </x:c>
    </x:row>
    <x:row r="747">
      <x:c r="A747" s="94" t="str">
        <x:v>T0743</x:v>
      </x:c>
      <x:c r="B747" s="95" t="str">
        <x:v>科学智能体与多智能体</x:v>
      </x:c>
      <x:c r="C747" s="95" t="str">
        <x:v>科学大模型智能体：知识、检索与工具接地</x:v>
      </x:c>
      <x:c r="D747" s="95" t="str">
        <x:v>核心必需</x:v>
      </x:c>
      <x:c r="E747" s="100" t="n">
        <x:v>12</x:v>
      </x:c>
      <x:c r="F747" s="95" t="str">
        <x:v>迁移发现</x:v>
      </x:c>
      <x:c r="G747" s="95" t="str">
        <x:v>C 迁移发现与机理建模</x:v>
      </x:c>
      <x:c r="H747" s="95" t="str">
        <x:v>结构化输出</x:v>
      </x:c>
      <x:c r="I747" s="95" t="str">
        <x:v>将文献主张绑定原文证据、条件和反例，降低迁移类比与幻觉。</x:v>
      </x:c>
      <x:c r="J747" s="95" t="str">
        <x:v>用于酸–黏土知识图谱、桥接假设、预测签名、反例设计和层级贝叶斯更新。</x:v>
      </x:c>
      <x:c r="K747" s="95" t="str">
        <x:v>可支撑假设与模型比较，但不能仅凭EIS确认微观结构机制。</x:v>
      </x:c>
      <x:c r="L747" s="95" t="str">
        <x:v>M0 主流程接入（0–2月）</x:v>
      </x:c>
      <x:c r="M747" s="95" t="str">
        <x:v>首批接入</x:v>
      </x:c>
      <x:c r="N747" s="95" t="str">
        <x:v>P1</x:v>
      </x:c>
      <x:c r="O747" s="95" t="str">
        <x:v>https://www.nature.com/articles/s41551-025-01463-z</x:v>
      </x:c>
      <x:c r="P747" s="96" t="str">
        <x:v>待评审</x:v>
      </x:c>
    </x:row>
    <x:row r="748">
      <x:c r="A748" s="94" t="str">
        <x:v>T0744</x:v>
      </x:c>
      <x:c r="B748" s="95" t="str">
        <x:v>科学智能体与多智能体</x:v>
      </x:c>
      <x:c r="C748" s="95" t="str">
        <x:v>科学大模型智能体：知识、检索与工具接地</x:v>
      </x:c>
      <x:c r="D748" s="95" t="str">
        <x:v>核心必需</x:v>
      </x:c>
      <x:c r="E748" s="100" t="n">
        <x:v>11</x:v>
      </x:c>
      <x:c r="F748" s="95" t="str">
        <x:v>迁移发现</x:v>
      </x:c>
      <x:c r="G748" s="95" t="str">
        <x:v>C 迁移发现与机理建模</x:v>
      </x:c>
      <x:c r="H748" s="95" t="str">
        <x:v>JSON Schema约束</x:v>
      </x:c>
      <x:c r="I748" s="95" t="str">
        <x:v>将文献主张绑定原文证据、条件和反例，降低迁移类比与幻觉。</x:v>
      </x:c>
      <x:c r="J748" s="95" t="str">
        <x:v>用于酸–黏土知识图谱、桥接假设、预测签名、反例设计和层级贝叶斯更新。</x:v>
      </x:c>
      <x:c r="K748" s="95" t="str">
        <x:v>可支撑假设与模型比较，但不能仅凭EIS确认微观结构机制。</x:v>
      </x:c>
      <x:c r="L748" s="95" t="str">
        <x:v>M1 前瞻验证（2–5月）</x:v>
      </x:c>
      <x:c r="M748" s="95" t="str">
        <x:v>第二批接入</x:v>
      </x:c>
      <x:c r="N748" s="95" t="str">
        <x:v>P1</x:v>
      </x:c>
      <x:c r="O748" s="95" t="str">
        <x:v>https://www.nature.com/articles/s43246-025-00994-x</x:v>
      </x:c>
      <x:c r="P748" s="96" t="str">
        <x:v>待评审</x:v>
      </x:c>
    </x:row>
    <x:row r="749">
      <x:c r="A749" s="94" t="str">
        <x:v>T0745</x:v>
      </x:c>
      <x:c r="B749" s="95" t="str">
        <x:v>科学智能体与多智能体</x:v>
      </x:c>
      <x:c r="C749" s="95" t="str">
        <x:v>科学大模型智能体：知识、检索与工具接地</x:v>
      </x:c>
      <x:c r="D749" s="95" t="str">
        <x:v>核心必需</x:v>
      </x:c>
      <x:c r="E749" s="100" t="n">
        <x:v>11</x:v>
      </x:c>
      <x:c r="F749" s="95" t="str">
        <x:v>迁移发现</x:v>
      </x:c>
      <x:c r="G749" s="95" t="str">
        <x:v>C 迁移发现与机理建模</x:v>
      </x:c>
      <x:c r="H749" s="95" t="str">
        <x:v>约束解码</x:v>
      </x:c>
      <x:c r="I749" s="95" t="str">
        <x:v>将文献主张绑定原文证据、条件和反例，降低迁移类比与幻觉。</x:v>
      </x:c>
      <x:c r="J749" s="95" t="str">
        <x:v>用于酸–黏土知识图谱、桥接假设、预测签名、反例设计和层级贝叶斯更新。</x:v>
      </x:c>
      <x:c r="K749" s="95" t="str">
        <x:v>可支撑假设与模型比较，但不能仅凭EIS确认微观结构机制。</x:v>
      </x:c>
      <x:c r="L749" s="95" t="str">
        <x:v>M1 前瞻验证（2–5月）</x:v>
      </x:c>
      <x:c r="M749" s="95" t="str">
        <x:v>第二批接入</x:v>
      </x:c>
      <x:c r="N749" s="95" t="str">
        <x:v>P1</x:v>
      </x:c>
      <x:c r="O749" s="95" t="str">
        <x:v>https://modelcontextprotocol.io/docs/getting-started/intro</x:v>
      </x:c>
      <x:c r="P749" s="96" t="str">
        <x:v>待评审</x:v>
      </x:c>
    </x:row>
    <x:row r="750">
      <x:c r="A750" s="94" t="str">
        <x:v>T0746</x:v>
      </x:c>
      <x:c r="B750" s="95" t="str">
        <x:v>科学智能体与多智能体</x:v>
      </x:c>
      <x:c r="C750" s="95" t="str">
        <x:v>科学大模型智能体：知识、检索与工具接地</x:v>
      </x:c>
      <x:c r="D750" s="95" t="str">
        <x:v>核心必需</x:v>
      </x:c>
      <x:c r="E750" s="100" t="n">
        <x:v>11</x:v>
      </x:c>
      <x:c r="F750" s="95" t="str">
        <x:v>迁移发现</x:v>
      </x:c>
      <x:c r="G750" s="95" t="str">
        <x:v>C 迁移发现与机理建模</x:v>
      </x:c>
      <x:c r="H750" s="95" t="str">
        <x:v>函数调用</x:v>
      </x:c>
      <x:c r="I750" s="95" t="str">
        <x:v>将文献主张绑定原文证据、条件和反例，降低迁移类比与幻觉。</x:v>
      </x:c>
      <x:c r="J750" s="95" t="str">
        <x:v>用于酸–黏土知识图谱、桥接假设、预测签名、反例设计和层级贝叶斯更新。</x:v>
      </x:c>
      <x:c r="K750" s="95" t="str">
        <x:v>可支撑假设与模型比较，但不能仅凭EIS确认微观结构机制。</x:v>
      </x:c>
      <x:c r="L750" s="95" t="str">
        <x:v>M1 前瞻验证（2–5月）</x:v>
      </x:c>
      <x:c r="M750" s="95" t="str">
        <x:v>第二批接入</x:v>
      </x:c>
      <x:c r="N750" s="95" t="str">
        <x:v>P1</x:v>
      </x:c>
      <x:c r="O750" s="95" t="str">
        <x:v>https://www.nature.com/articles/s41586-023-06792-0</x:v>
      </x:c>
      <x:c r="P750" s="96" t="str">
        <x:v>待评审</x:v>
      </x:c>
    </x:row>
    <x:row r="751">
      <x:c r="A751" s="94" t="str">
        <x:v>T0747</x:v>
      </x:c>
      <x:c r="B751" s="95" t="str">
        <x:v>科学智能体与多智能体</x:v>
      </x:c>
      <x:c r="C751" s="95" t="str">
        <x:v>科学大模型智能体：知识、检索与工具接地</x:v>
      </x:c>
      <x:c r="D751" s="95" t="str">
        <x:v>关键支撑</x:v>
      </x:c>
      <x:c r="E751" s="100" t="n">
        <x:v>8</x:v>
      </x:c>
      <x:c r="F751" s="95" t="str">
        <x:v>迁移发现</x:v>
      </x:c>
      <x:c r="G751" s="95" t="str">
        <x:v>C 迁移发现与机理建模</x:v>
      </x:c>
      <x:c r="H751" s="95" t="str">
        <x:v>代码生成</x:v>
      </x:c>
      <x:c r="I751" s="95" t="str">
        <x:v>将文献主张绑定原文证据、条件和反例，降低迁移类比与幻觉。</x:v>
      </x:c>
      <x:c r="J751" s="95" t="str">
        <x:v>用于酸–黏土知识图谱、桥接假设、预测签名、反例设计和层级贝叶斯更新。</x:v>
      </x:c>
      <x:c r="K751" s="95" t="str">
        <x:v>可支撑假设与模型比较，但不能仅凭EIS确认微观结构机制。</x:v>
      </x:c>
      <x:c r="L751" s="95" t="str">
        <x:v>M2 扩展与复现（5–12月）</x:v>
      </x:c>
      <x:c r="M751" s="95" t="str">
        <x:v>按瓶颈接入</x:v>
      </x:c>
      <x:c r="N751" s="95" t="str">
        <x:v>P1</x:v>
      </x:c>
      <x:c r="O751" s="95" t="str">
        <x:v>https://www.nature.com/articles/s42256-024-00832-8</x:v>
      </x:c>
      <x:c r="P751" s="96" t="str">
        <x:v>待评审</x:v>
      </x:c>
    </x:row>
    <x:row r="752">
      <x:c r="A752" s="94" t="str">
        <x:v>T0748</x:v>
      </x:c>
      <x:c r="B752" s="95" t="str">
        <x:v>科学智能体与多智能体</x:v>
      </x:c>
      <x:c r="C752" s="95" t="str">
        <x:v>科学大模型智能体：知识、检索与工具接地</x:v>
      </x:c>
      <x:c r="D752" s="95" t="str">
        <x:v>关键支撑</x:v>
      </x:c>
      <x:c r="E752" s="100" t="n">
        <x:v>8</x:v>
      </x:c>
      <x:c r="F752" s="95" t="str">
        <x:v>迁移发现</x:v>
      </x:c>
      <x:c r="G752" s="95" t="str">
        <x:v>C 迁移发现与机理建模</x:v>
      </x:c>
      <x:c r="H752" s="95" t="str">
        <x:v>代码执行</x:v>
      </x:c>
      <x:c r="I752" s="95" t="str">
        <x:v>将文献主张绑定原文证据、条件和反例，降低迁移类比与幻觉。</x:v>
      </x:c>
      <x:c r="J752" s="95" t="str">
        <x:v>用于酸–黏土知识图谱、桥接假设、预测签名、反例设计和层级贝叶斯更新。</x:v>
      </x:c>
      <x:c r="K752" s="95" t="str">
        <x:v>可支撑假设与模型比较，但不能仅凭EIS确认微观结构机制。</x:v>
      </x:c>
      <x:c r="L752" s="95" t="str">
        <x:v>M2 扩展与复现（5–12月）</x:v>
      </x:c>
      <x:c r="M752" s="95" t="str">
        <x:v>按瓶颈接入</x:v>
      </x:c>
      <x:c r="N752" s="95" t="str">
        <x:v>P1</x:v>
      </x:c>
      <x:c r="O752" s="95" t="str">
        <x:v>https://www.nature.com/articles/s41551-025-01463-z</x:v>
      </x:c>
      <x:c r="P752" s="96" t="str">
        <x:v>待评审</x:v>
      </x:c>
    </x:row>
    <x:row r="753">
      <x:c r="A753" s="94" t="str">
        <x:v>T0749</x:v>
      </x:c>
      <x:c r="B753" s="95" t="str">
        <x:v>科学智能体与多智能体</x:v>
      </x:c>
      <x:c r="C753" s="95" t="str">
        <x:v>科学大模型智能体：知识、检索与工具接地</x:v>
      </x:c>
      <x:c r="D753" s="95" t="str">
        <x:v>关键支撑</x:v>
      </x:c>
      <x:c r="E753" s="100" t="n">
        <x:v>8</x:v>
      </x:c>
      <x:c r="F753" s="95" t="str">
        <x:v>迁移发现</x:v>
      </x:c>
      <x:c r="G753" s="95" t="str">
        <x:v>C 迁移发现与机理建模</x:v>
      </x:c>
      <x:c r="H753" s="95" t="str">
        <x:v>Notebook智能体</x:v>
      </x:c>
      <x:c r="I753" s="95" t="str">
        <x:v>将文献主张绑定原文证据、条件和反例，降低迁移类比与幻觉。</x:v>
      </x:c>
      <x:c r="J753" s="95" t="str">
        <x:v>用于酸–黏土知识图谱、桥接假设、预测签名、反例设计和层级贝叶斯更新。</x:v>
      </x:c>
      <x:c r="K753" s="95" t="str">
        <x:v>可支撑假设与模型比较，但不能仅凭EIS确认微观结构机制。</x:v>
      </x:c>
      <x:c r="L753" s="95" t="str">
        <x:v>M2 扩展与复现（5–12月）</x:v>
      </x:c>
      <x:c r="M753" s="95" t="str">
        <x:v>按瓶颈接入</x:v>
      </x:c>
      <x:c r="N753" s="95" t="str">
        <x:v>P2</x:v>
      </x:c>
      <x:c r="O753" s="95" t="str">
        <x:v>https://www.nature.com/articles/s43246-025-00994-x</x:v>
      </x:c>
      <x:c r="P753" s="96" t="str">
        <x:v>待评审</x:v>
      </x:c>
    </x:row>
    <x:row r="754">
      <x:c r="A754" s="94" t="str">
        <x:v>T0750</x:v>
      </x:c>
      <x:c r="B754" s="95" t="str">
        <x:v>科学智能体与多智能体</x:v>
      </x:c>
      <x:c r="C754" s="95" t="str">
        <x:v>科学大模型智能体：知识、检索与工具接地</x:v>
      </x:c>
      <x:c r="D754" s="95" t="str">
        <x:v>关键支撑</x:v>
      </x:c>
      <x:c r="E754" s="100" t="n">
        <x:v>8</x:v>
      </x:c>
      <x:c r="F754" s="95" t="str">
        <x:v>迁移发现</x:v>
      </x:c>
      <x:c r="G754" s="95" t="str">
        <x:v>C 迁移发现与机理建模</x:v>
      </x:c>
      <x:c r="H754" s="95" t="str">
        <x:v>SQL智能体</x:v>
      </x:c>
      <x:c r="I754" s="95" t="str">
        <x:v>将文献主张绑定原文证据、条件和反例，降低迁移类比与幻觉。</x:v>
      </x:c>
      <x:c r="J754" s="95" t="str">
        <x:v>用于酸–黏土知识图谱、桥接假设、预测签名、反例设计和层级贝叶斯更新。</x:v>
      </x:c>
      <x:c r="K754" s="95" t="str">
        <x:v>可支撑假设与模型比较，但不能仅凭EIS确认微观结构机制。</x:v>
      </x:c>
      <x:c r="L754" s="95" t="str">
        <x:v>M2 扩展与复现（5–12月）</x:v>
      </x:c>
      <x:c r="M754" s="95" t="str">
        <x:v>按瓶颈接入</x:v>
      </x:c>
      <x:c r="N754" s="95" t="str">
        <x:v>P2</x:v>
      </x:c>
      <x:c r="O754" s="95" t="str">
        <x:v>https://modelcontextprotocol.io/docs/getting-started/intro</x:v>
      </x:c>
      <x:c r="P754" s="96" t="str">
        <x:v>待评审</x:v>
      </x:c>
    </x:row>
    <x:row r="755">
      <x:c r="A755" s="94" t="str">
        <x:v>T0751</x:v>
      </x:c>
      <x:c r="B755" s="95" t="str">
        <x:v>科学智能体与多智能体</x:v>
      </x:c>
      <x:c r="C755" s="95" t="str">
        <x:v>科学大模型智能体：知识、检索与工具接地</x:v>
      </x:c>
      <x:c r="D755" s="95" t="str">
        <x:v>关键支撑</x:v>
      </x:c>
      <x:c r="E755" s="100" t="n">
        <x:v>8</x:v>
      </x:c>
      <x:c r="F755" s="95" t="str">
        <x:v>迁移发现</x:v>
      </x:c>
      <x:c r="G755" s="95" t="str">
        <x:v>C 迁移发现与机理建模</x:v>
      </x:c>
      <x:c r="H755" s="95" t="str">
        <x:v>科学计算器工具</x:v>
      </x:c>
      <x:c r="I755" s="95" t="str">
        <x:v>将文献主张绑定原文证据、条件和反例，降低迁移类比与幻觉。</x:v>
      </x:c>
      <x:c r="J755" s="95" t="str">
        <x:v>用于酸–黏土知识图谱、桥接假设、预测签名、反例设计和层级贝叶斯更新。</x:v>
      </x:c>
      <x:c r="K755" s="95" t="str">
        <x:v>可支撑假设与模型比较，但不能仅凭EIS确认微观结构机制。</x:v>
      </x:c>
      <x:c r="L755" s="95" t="str">
        <x:v>M2 扩展与复现（5–12月）</x:v>
      </x:c>
      <x:c r="M755" s="95" t="str">
        <x:v>按瓶颈接入</x:v>
      </x:c>
      <x:c r="N755" s="95" t="str">
        <x:v>P2</x:v>
      </x:c>
      <x:c r="O755" s="95" t="str">
        <x:v>https://www.nature.com/articles/s41586-023-06792-0</x:v>
      </x:c>
      <x:c r="P755" s="96" t="str">
        <x:v>待评审</x:v>
      </x:c>
    </x:row>
    <x:row r="756">
      <x:c r="A756" s="94" t="str">
        <x:v>T0752</x:v>
      </x:c>
      <x:c r="B756" s="95" t="str">
        <x:v>科学智能体与多智能体</x:v>
      </x:c>
      <x:c r="C756" s="95" t="str">
        <x:v>科学大模型智能体：知识、检索与工具接地</x:v>
      </x:c>
      <x:c r="D756" s="95" t="str">
        <x:v>关键支撑</x:v>
      </x:c>
      <x:c r="E756" s="100" t="n">
        <x:v>8</x:v>
      </x:c>
      <x:c r="F756" s="95" t="str">
        <x:v>迁移发现</x:v>
      </x:c>
      <x:c r="G756" s="95" t="str">
        <x:v>C 迁移发现与机理建模</x:v>
      </x:c>
      <x:c r="H756" s="95" t="str">
        <x:v>符号代数工具</x:v>
      </x:c>
      <x:c r="I756" s="95" t="str">
        <x:v>将文献主张绑定原文证据、条件和反例，降低迁移类比与幻觉。</x:v>
      </x:c>
      <x:c r="J756" s="95" t="str">
        <x:v>用于酸–黏土知识图谱、桥接假设、预测签名、反例设计和层级贝叶斯更新。</x:v>
      </x:c>
      <x:c r="K756" s="95" t="str">
        <x:v>可支撑假设与模型比较，但不能仅凭EIS确认微观结构机制。</x:v>
      </x:c>
      <x:c r="L756" s="95" t="str">
        <x:v>M2 扩展与复现（5–12月）</x:v>
      </x:c>
      <x:c r="M756" s="95" t="str">
        <x:v>按瓶颈接入</x:v>
      </x:c>
      <x:c r="N756" s="95" t="str">
        <x:v>P2</x:v>
      </x:c>
      <x:c r="O756" s="95" t="str">
        <x:v>https://www.nature.com/articles/s42256-024-00832-8</x:v>
      </x:c>
      <x:c r="P756" s="96" t="str">
        <x:v>待评审</x:v>
      </x:c>
    </x:row>
    <x:row r="757">
      <x:c r="A757" s="94" t="str">
        <x:v>T0753</x:v>
      </x:c>
      <x:c r="B757" s="95" t="str">
        <x:v>科学智能体与多智能体</x:v>
      </x:c>
      <x:c r="C757" s="95" t="str">
        <x:v>科学大模型智能体：知识、检索与工具接地</x:v>
      </x:c>
      <x:c r="D757" s="95" t="str">
        <x:v>关键支撑</x:v>
      </x:c>
      <x:c r="E757" s="100" t="n">
        <x:v>8</x:v>
      </x:c>
      <x:c r="F757" s="95" t="str">
        <x:v>迁移发现</x:v>
      </x:c>
      <x:c r="G757" s="95" t="str">
        <x:v>C 迁移发现与机理建模</x:v>
      </x:c>
      <x:c r="H757" s="95" t="str">
        <x:v>仿真工具调用</x:v>
      </x:c>
      <x:c r="I757" s="95" t="str">
        <x:v>将文献主张绑定原文证据、条件和反例，降低迁移类比与幻觉。</x:v>
      </x:c>
      <x:c r="J757" s="95" t="str">
        <x:v>用于酸–黏土知识图谱、桥接假设、预测签名、反例设计和层级贝叶斯更新。</x:v>
      </x:c>
      <x:c r="K757" s="95" t="str">
        <x:v>可支撑假设与模型比较，但不能仅凭EIS确认微观结构机制。</x:v>
      </x:c>
      <x:c r="L757" s="95" t="str">
        <x:v>M2 扩展与复现（5–12月）</x:v>
      </x:c>
      <x:c r="M757" s="95" t="str">
        <x:v>按瓶颈接入</x:v>
      </x:c>
      <x:c r="N757" s="95" t="str">
        <x:v>P2</x:v>
      </x:c>
      <x:c r="O757" s="95" t="str">
        <x:v>https://www.nature.com/articles/s41551-025-01463-z</x:v>
      </x:c>
      <x:c r="P757" s="96" t="str">
        <x:v>待评审</x:v>
      </x:c>
    </x:row>
    <x:row r="758">
      <x:c r="A758" s="94" t="str">
        <x:v>T0754</x:v>
      </x:c>
      <x:c r="B758" s="95" t="str">
        <x:v>科学智能体与多智能体</x:v>
      </x:c>
      <x:c r="C758" s="95" t="str">
        <x:v>科学大模型智能体：知识、检索与工具接地</x:v>
      </x:c>
      <x:c r="D758" s="95" t="str">
        <x:v>核心必需</x:v>
      </x:c>
      <x:c r="E758" s="100" t="n">
        <x:v>11</x:v>
      </x:c>
      <x:c r="F758" s="95" t="str">
        <x:v>迁移发现</x:v>
      </x:c>
      <x:c r="G758" s="95" t="str">
        <x:v>C 迁移发现与机理建模</x:v>
      </x:c>
      <x:c r="H758" s="95" t="str">
        <x:v>仪器API调用</x:v>
      </x:c>
      <x:c r="I758" s="95" t="str">
        <x:v>将文献主张绑定原文证据、条件和反例，降低迁移类比与幻觉。</x:v>
      </x:c>
      <x:c r="J758" s="95" t="str">
        <x:v>用于酸–黏土知识图谱、桥接假设、预测签名、反例设计和层级贝叶斯更新。</x:v>
      </x:c>
      <x:c r="K758" s="95" t="str">
        <x:v>可支撑假设与模型比较，但不能仅凭EIS确认微观结构机制。</x:v>
      </x:c>
      <x:c r="L758" s="95" t="str">
        <x:v>M1 前瞻验证（2–5月）</x:v>
      </x:c>
      <x:c r="M758" s="95" t="str">
        <x:v>第二批接入</x:v>
      </x:c>
      <x:c r="N758" s="95" t="str">
        <x:v>P2</x:v>
      </x:c>
      <x:c r="O758" s="95" t="str">
        <x:v>https://www.nature.com/articles/s43246-025-00994-x</x:v>
      </x:c>
      <x:c r="P758" s="96" t="str">
        <x:v>待评审</x:v>
      </x:c>
    </x:row>
    <x:row r="759">
      <x:c r="A759" s="94" t="str">
        <x:v>T0755</x:v>
      </x:c>
      <x:c r="B759" s="95" t="str">
        <x:v>科学智能体与多智能体</x:v>
      </x:c>
      <x:c r="C759" s="95" t="str">
        <x:v>科学大模型智能体：知识、检索与工具接地</x:v>
      </x:c>
      <x:c r="D759" s="95" t="str">
        <x:v>关键支撑</x:v>
      </x:c>
      <x:c r="E759" s="100" t="n">
        <x:v>8</x:v>
      </x:c>
      <x:c r="F759" s="95" t="str">
        <x:v>迁移发现</x:v>
      </x:c>
      <x:c r="G759" s="95" t="str">
        <x:v>C 迁移发现与机理建模</x:v>
      </x:c>
      <x:c r="H759" s="95" t="str">
        <x:v>MCP工具协议</x:v>
      </x:c>
      <x:c r="I759" s="95" t="str">
        <x:v>将文献主张绑定原文证据、条件和反例，降低迁移类比与幻觉。</x:v>
      </x:c>
      <x:c r="J759" s="95" t="str">
        <x:v>用于酸–黏土知识图谱、桥接假设、预测签名、反例设计和层级贝叶斯更新。</x:v>
      </x:c>
      <x:c r="K759" s="95" t="str">
        <x:v>可支撑假设与模型比较，但不能仅凭EIS确认微观结构机制。</x:v>
      </x:c>
      <x:c r="L759" s="95" t="str">
        <x:v>M2 扩展与复现（5–12月）</x:v>
      </x:c>
      <x:c r="M759" s="95" t="str">
        <x:v>按瓶颈接入</x:v>
      </x:c>
      <x:c r="N759" s="95" t="str">
        <x:v>P2</x:v>
      </x:c>
      <x:c r="O759" s="95" t="str">
        <x:v>https://modelcontextprotocol.io/docs/getting-started/intro</x:v>
      </x:c>
      <x:c r="P759" s="96" t="str">
        <x:v>待评审</x:v>
      </x:c>
    </x:row>
    <x:row r="760">
      <x:c r="A760" s="94" t="str">
        <x:v>T0756</x:v>
      </x:c>
      <x:c r="B760" s="95" t="str">
        <x:v>科学智能体与多智能体</x:v>
      </x:c>
      <x:c r="C760" s="95" t="str">
        <x:v>科学大模型智能体：知识、检索与工具接地</x:v>
      </x:c>
      <x:c r="D760" s="95" t="str">
        <x:v>关键支撑</x:v>
      </x:c>
      <x:c r="E760" s="100" t="n">
        <x:v>8</x:v>
      </x:c>
      <x:c r="F760" s="95" t="str">
        <x:v>迁移发现</x:v>
      </x:c>
      <x:c r="G760" s="95" t="str">
        <x:v>C 迁移发现与机理建模</x:v>
      </x:c>
      <x:c r="H760" s="95" t="str">
        <x:v>A2A智能体协议</x:v>
      </x:c>
      <x:c r="I760" s="95" t="str">
        <x:v>将文献主张绑定原文证据、条件和反例，降低迁移类比与幻觉。</x:v>
      </x:c>
      <x:c r="J760" s="95" t="str">
        <x:v>用于酸–黏土知识图谱、桥接假设、预测签名、反例设计和层级贝叶斯更新。</x:v>
      </x:c>
      <x:c r="K760" s="95" t="str">
        <x:v>可支撑假设与模型比较，但不能仅凭EIS确认微观结构机制。</x:v>
      </x:c>
      <x:c r="L760" s="95" t="str">
        <x:v>M2 扩展与复现（5–12月）</x:v>
      </x:c>
      <x:c r="M760" s="95" t="str">
        <x:v>按瓶颈接入</x:v>
      </x:c>
      <x:c r="N760" s="95" t="str">
        <x:v>P2</x:v>
      </x:c>
      <x:c r="O760" s="95" t="str">
        <x:v>https://www.nature.com/articles/s41586-023-06792-0</x:v>
      </x:c>
      <x:c r="P760" s="96" t="str">
        <x:v>待评审</x:v>
      </x:c>
    </x:row>
    <x:row r="761">
      <x:c r="A761" s="94" t="str">
        <x:v>T0757</x:v>
      </x:c>
      <x:c r="B761" s="95" t="str">
        <x:v>科学智能体与多智能体</x:v>
      </x:c>
      <x:c r="C761" s="95" t="str">
        <x:v>科学大模型智能体：知识、检索与工具接地</x:v>
      </x:c>
      <x:c r="D761" s="95" t="str">
        <x:v>核心必需</x:v>
      </x:c>
      <x:c r="E761" s="100" t="n">
        <x:v>11</x:v>
      </x:c>
      <x:c r="F761" s="95" t="str">
        <x:v>迁移发现</x:v>
      </x:c>
      <x:c r="G761" s="95" t="str">
        <x:v>C 迁移发现与机理建模</x:v>
      </x:c>
      <x:c r="H761" s="95" t="str">
        <x:v>提示注入防御</x:v>
      </x:c>
      <x:c r="I761" s="95" t="str">
        <x:v>将文献主张绑定原文证据、条件和反例，降低迁移类比与幻觉。</x:v>
      </x:c>
      <x:c r="J761" s="95" t="str">
        <x:v>用于酸–黏土知识图谱、桥接假设、预测签名、反例设计和层级贝叶斯更新。</x:v>
      </x:c>
      <x:c r="K761" s="95" t="str">
        <x:v>可支撑假设与模型比较，但不能仅凭EIS确认微观结构机制。</x:v>
      </x:c>
      <x:c r="L761" s="95" t="str">
        <x:v>M1 前瞻验证（2–5月）</x:v>
      </x:c>
      <x:c r="M761" s="95" t="str">
        <x:v>第二批接入</x:v>
      </x:c>
      <x:c r="N761" s="95" t="str">
        <x:v>P2</x:v>
      </x:c>
      <x:c r="O761" s="95" t="str">
        <x:v>https://www.nature.com/articles/s42256-024-00832-8</x:v>
      </x:c>
      <x:c r="P761" s="96" t="str">
        <x:v>待评审</x:v>
      </x:c>
    </x:row>
    <x:row r="762">
      <x:c r="A762" s="94" t="str">
        <x:v>T0758</x:v>
      </x:c>
      <x:c r="B762" s="95" t="str">
        <x:v>科学智能体与多智能体</x:v>
      </x:c>
      <x:c r="C762" s="95" t="str">
        <x:v>科学大模型智能体：知识、检索与工具接地</x:v>
      </x:c>
      <x:c r="D762" s="95" t="str">
        <x:v>关键支撑</x:v>
      </x:c>
      <x:c r="E762" s="100" t="n">
        <x:v>8</x:v>
      </x:c>
      <x:c r="F762" s="95" t="str">
        <x:v>迁移发现</x:v>
      </x:c>
      <x:c r="G762" s="95" t="str">
        <x:v>C 迁移发现与机理建模</x:v>
      </x:c>
      <x:c r="H762" s="95" t="str">
        <x:v>上下文窗口管理</x:v>
      </x:c>
      <x:c r="I762" s="95" t="str">
        <x:v>将文献主张绑定原文证据、条件和反例，降低迁移类比与幻觉。</x:v>
      </x:c>
      <x:c r="J762" s="95" t="str">
        <x:v>用于酸–黏土知识图谱、桥接假设、预测签名、反例设计和层级贝叶斯更新。</x:v>
      </x:c>
      <x:c r="K762" s="95" t="str">
        <x:v>可支撑假设与模型比较，但不能仅凭EIS确认微观结构机制。</x:v>
      </x:c>
      <x:c r="L762" s="95" t="str">
        <x:v>M2 扩展与复现（5–12月）</x:v>
      </x:c>
      <x:c r="M762" s="95" t="str">
        <x:v>按瓶颈接入</x:v>
      </x:c>
      <x:c r="N762" s="95" t="str">
        <x:v>P2</x:v>
      </x:c>
      <x:c r="O762" s="95" t="str">
        <x:v>https://www.nature.com/articles/s41551-025-01463-z</x:v>
      </x:c>
      <x:c r="P762" s="96" t="str">
        <x:v>待评审</x:v>
      </x:c>
    </x:row>
    <x:row r="763">
      <x:c r="A763" s="94" t="str">
        <x:v>T0759</x:v>
      </x:c>
      <x:c r="B763" s="95" t="str">
        <x:v>科学智能体与多智能体</x:v>
      </x:c>
      <x:c r="C763" s="95" t="str">
        <x:v>科学大模型智能体：知识、检索与工具接地</x:v>
      </x:c>
      <x:c r="D763" s="95" t="str">
        <x:v>关键支撑</x:v>
      </x:c>
      <x:c r="E763" s="100" t="n">
        <x:v>8</x:v>
      </x:c>
      <x:c r="F763" s="95" t="str">
        <x:v>迁移发现</x:v>
      </x:c>
      <x:c r="G763" s="95" t="str">
        <x:v>C 迁移发现与机理建模</x:v>
      </x:c>
      <x:c r="H763" s="95" t="str">
        <x:v>长上下文检索</x:v>
      </x:c>
      <x:c r="I763" s="95" t="str">
        <x:v>将文献主张绑定原文证据、条件和反例，降低迁移类比与幻觉。</x:v>
      </x:c>
      <x:c r="J763" s="95" t="str">
        <x:v>用于酸–黏土知识图谱、桥接假设、预测签名、反例设计和层级贝叶斯更新。</x:v>
      </x:c>
      <x:c r="K763" s="95" t="str">
        <x:v>可支撑假设与模型比较，但不能仅凭EIS确认微观结构机制。</x:v>
      </x:c>
      <x:c r="L763" s="95" t="str">
        <x:v>M2 扩展与复现（5–12月）</x:v>
      </x:c>
      <x:c r="M763" s="95" t="str">
        <x:v>按瓶颈接入</x:v>
      </x:c>
      <x:c r="N763" s="95" t="str">
        <x:v>P2</x:v>
      </x:c>
      <x:c r="O763" s="95" t="str">
        <x:v>https://www.nature.com/articles/s43246-025-00994-x</x:v>
      </x:c>
      <x:c r="P763" s="96" t="str">
        <x:v>待评审</x:v>
      </x:c>
    </x:row>
    <x:row r="764">
      <x:c r="A764" s="94" t="str">
        <x:v>T0760</x:v>
      </x:c>
      <x:c r="B764" s="95" t="str">
        <x:v>科学智能体与多智能体</x:v>
      </x:c>
      <x:c r="C764" s="95" t="str">
        <x:v>科学大模型智能体：知识、检索与工具接地</x:v>
      </x:c>
      <x:c r="D764" s="95" t="str">
        <x:v>核心必需</x:v>
      </x:c>
      <x:c r="E764" s="100" t="n">
        <x:v>12</x:v>
      </x:c>
      <x:c r="F764" s="95" t="str">
        <x:v>迁移发现</x:v>
      </x:c>
      <x:c r="G764" s="95" t="str">
        <x:v>C 迁移发现与机理建模</x:v>
      </x:c>
      <x:c r="H764" s="95" t="str">
        <x:v>科学幻觉检测</x:v>
      </x:c>
      <x:c r="I764" s="95" t="str">
        <x:v>将文献主张绑定原文证据、条件和反例，降低迁移类比与幻觉。</x:v>
      </x:c>
      <x:c r="J764" s="95" t="str">
        <x:v>用于酸–黏土知识图谱、桥接假设、预测签名、反例设计和层级贝叶斯更新。</x:v>
      </x:c>
      <x:c r="K764" s="95" t="str">
        <x:v>可支撑假设与模型比较，但不能仅凭EIS确认微观结构机制。</x:v>
      </x:c>
      <x:c r="L764" s="95" t="str">
        <x:v>M0 主流程接入（0–2月）</x:v>
      </x:c>
      <x:c r="M764" s="95" t="str">
        <x:v>首批接入</x:v>
      </x:c>
      <x:c r="N764" s="95" t="str">
        <x:v>P2</x:v>
      </x:c>
      <x:c r="O764" s="95" t="str">
        <x:v>https://modelcontextprotocol.io/docs/getting-started/intro</x:v>
      </x:c>
      <x:c r="P764" s="96" t="str">
        <x:v>待评审</x:v>
      </x:c>
    </x:row>
    <x:row r="765">
      <x:c r="A765" s="94" t="str">
        <x:v>T0761</x:v>
      </x:c>
      <x:c r="B765" s="95" t="str">
        <x:v>科学智能体与多智能体</x:v>
      </x:c>
      <x:c r="C765" s="95" t="str">
        <x:v>Agent规划、推理、工具使用与记忆</x:v>
      </x:c>
      <x:c r="D765" s="95" t="str">
        <x:v>关键支撑</x:v>
      </x:c>
      <x:c r="E765" s="100" t="n">
        <x:v>8</x:v>
      </x:c>
      <x:c r="F765" s="95" t="str">
        <x:v>两线共用</x:v>
      </x:c>
      <x:c r="G765" s="95" t="str">
        <x:v>E 可信智能体与控制架构</x:v>
      </x:c>
      <x:c r="H765" s="95" t="str">
        <x:v>ReAct</x:v>
      </x:c>
      <x:c r="I765" s="95" t="str">
        <x:v>把状态、工具调用、自检、记忆和终止规则接入主流程。</x:v>
      </x:c>
      <x:c r="J765" s="95" t="str">
        <x:v>接入外部验证器、结构化输出、置信校准、拒答、权限与人工门禁。</x:v>
      </x:c>
      <x:c r="K765" s="95" t="str">
        <x:v>可直接支撑当前EIS-only闭环。</x:v>
      </x:c>
      <x:c r="L765" s="95" t="str">
        <x:v>M2 扩展与复现（5–12月）</x:v>
      </x:c>
      <x:c r="M765" s="95" t="str">
        <x:v>按瓶颈接入</x:v>
      </x:c>
      <x:c r="N765" s="95" t="str">
        <x:v>P0</x:v>
      </x:c>
      <x:c r="O765" s="95" t="str">
        <x:v>https://openreview.net/forum?id=WE_vluYUL-X</x:v>
      </x:c>
      <x:c r="P765" s="96" t="str">
        <x:v>待评审</x:v>
      </x:c>
    </x:row>
    <x:row r="766">
      <x:c r="A766" s="94" t="str">
        <x:v>T0762</x:v>
      </x:c>
      <x:c r="B766" s="95" t="str">
        <x:v>科学智能体与多智能体</x:v>
      </x:c>
      <x:c r="C766" s="95" t="str">
        <x:v>Agent规划、推理、工具使用与记忆</x:v>
      </x:c>
      <x:c r="D766" s="95" t="str">
        <x:v>关键支撑</x:v>
      </x:c>
      <x:c r="E766" s="100" t="n">
        <x:v>8</x:v>
      </x:c>
      <x:c r="F766" s="95" t="str">
        <x:v>两线共用</x:v>
      </x:c>
      <x:c r="G766" s="95" t="str">
        <x:v>E 可信智能体与控制架构</x:v>
      </x:c>
      <x:c r="H766" s="95" t="str">
        <x:v>规划—执行</x:v>
      </x:c>
      <x:c r="I766" s="95" t="str">
        <x:v>把状态、工具调用、自检、记忆和终止规则接入主流程。</x:v>
      </x:c>
      <x:c r="J766" s="95" t="str">
        <x:v>接入外部验证器、结构化输出、置信校准、拒答、权限与人工门禁。</x:v>
      </x:c>
      <x:c r="K766" s="95" t="str">
        <x:v>可直接支撑当前EIS-only闭环。</x:v>
      </x:c>
      <x:c r="L766" s="95" t="str">
        <x:v>M2 扩展与复现（5–12月）</x:v>
      </x:c>
      <x:c r="M766" s="95" t="str">
        <x:v>按瓶颈接入</x:v>
      </x:c>
      <x:c r="N766" s="95" t="str">
        <x:v>P0</x:v>
      </x:c>
      <x:c r="O766" s="95" t="str">
        <x:v>https://arxiv.org/abs/2302.04761</x:v>
      </x:c>
      <x:c r="P766" s="96" t="str">
        <x:v>待评审</x:v>
      </x:c>
    </x:row>
    <x:row r="767">
      <x:c r="A767" s="94" t="str">
        <x:v>T0763</x:v>
      </x:c>
      <x:c r="B767" s="95" t="str">
        <x:v>科学智能体与多智能体</x:v>
      </x:c>
      <x:c r="C767" s="95" t="str">
        <x:v>Agent规划、推理、工具使用与记忆</x:v>
      </x:c>
      <x:c r="D767" s="95" t="str">
        <x:v>关键支撑</x:v>
      </x:c>
      <x:c r="E767" s="100" t="n">
        <x:v>8</x:v>
      </x:c>
      <x:c r="F767" s="95" t="str">
        <x:v>两线共用</x:v>
      </x:c>
      <x:c r="G767" s="95" t="str">
        <x:v>E 可信智能体与控制架构</x:v>
      </x:c>
      <x:c r="H767" s="95" t="str">
        <x:v>分层任务网络HTN</x:v>
      </x:c>
      <x:c r="I767" s="95" t="str">
        <x:v>把状态、工具调用、自检、记忆和终止规则接入主流程。</x:v>
      </x:c>
      <x:c r="J767" s="95" t="str">
        <x:v>接入外部验证器、结构化输出、置信校准、拒答、权限与人工门禁。</x:v>
      </x:c>
      <x:c r="K767" s="95" t="str">
        <x:v>可直接支撑当前EIS-only闭环。</x:v>
      </x:c>
      <x:c r="L767" s="95" t="str">
        <x:v>M2 扩展与复现（5–12月）</x:v>
      </x:c>
      <x:c r="M767" s="95" t="str">
        <x:v>按瓶颈接入</x:v>
      </x:c>
      <x:c r="N767" s="95" t="str">
        <x:v>P0</x:v>
      </x:c>
      <x:c r="O767" s="95" t="str">
        <x:v>https://arxiv.org/abs/2303.11366</x:v>
      </x:c>
      <x:c r="P767" s="96" t="str">
        <x:v>待评审</x:v>
      </x:c>
    </x:row>
    <x:row r="768">
      <x:c r="A768" s="94" t="str">
        <x:v>T0764</x:v>
      </x:c>
      <x:c r="B768" s="95" t="str">
        <x:v>科学智能体与多智能体</x:v>
      </x:c>
      <x:c r="C768" s="95" t="str">
        <x:v>Agent规划、推理、工具使用与记忆</x:v>
      </x:c>
      <x:c r="D768" s="95" t="str">
        <x:v>关键支撑</x:v>
      </x:c>
      <x:c r="E768" s="100" t="n">
        <x:v>8</x:v>
      </x:c>
      <x:c r="F768" s="95" t="str">
        <x:v>两线共用</x:v>
      </x:c>
      <x:c r="G768" s="95" t="str">
        <x:v>E 可信智能体与控制架构</x:v>
      </x:c>
      <x:c r="H768" s="95" t="str">
        <x:v>任务分解</x:v>
      </x:c>
      <x:c r="I768" s="95" t="str">
        <x:v>把状态、工具调用、自检、记忆和终止规则接入主流程。</x:v>
      </x:c>
      <x:c r="J768" s="95" t="str">
        <x:v>接入外部验证器、结构化输出、置信校准、拒答、权限与人工门禁。</x:v>
      </x:c>
      <x:c r="K768" s="95" t="str">
        <x:v>可直接支撑当前EIS-only闭环。</x:v>
      </x:c>
      <x:c r="L768" s="95" t="str">
        <x:v>M2 扩展与复现（5–12月）</x:v>
      </x:c>
      <x:c r="M768" s="95" t="str">
        <x:v>按瓶颈接入</x:v>
      </x:c>
      <x:c r="N768" s="95" t="str">
        <x:v>P0</x:v>
      </x:c>
      <x:c r="O768" s="95" t="str">
        <x:v>https://developers.openai.com/api/docs/guides/agents</x:v>
      </x:c>
      <x:c r="P768" s="96" t="str">
        <x:v>待评审</x:v>
      </x:c>
    </x:row>
    <x:row r="769">
      <x:c r="A769" s="94" t="str">
        <x:v>T0765</x:v>
      </x:c>
      <x:c r="B769" s="95" t="str">
        <x:v>科学智能体与多智能体</x:v>
      </x:c>
      <x:c r="C769" s="95" t="str">
        <x:v>Agent规划、推理、工具使用与记忆</x:v>
      </x:c>
      <x:c r="D769" s="95" t="str">
        <x:v>关键支撑</x:v>
      </x:c>
      <x:c r="E769" s="100" t="n">
        <x:v>8</x:v>
      </x:c>
      <x:c r="F769" s="95" t="str">
        <x:v>两线共用</x:v>
      </x:c>
      <x:c r="G769" s="95" t="str">
        <x:v>E 可信智能体与控制架构</x:v>
      </x:c>
      <x:c r="H769" s="95" t="str">
        <x:v>子目标生成</x:v>
      </x:c>
      <x:c r="I769" s="95" t="str">
        <x:v>把状态、工具调用、自检、记忆和终止规则接入主流程。</x:v>
      </x:c>
      <x:c r="J769" s="95" t="str">
        <x:v>接入外部验证器、结构化输出、置信校准、拒答、权限与人工门禁。</x:v>
      </x:c>
      <x:c r="K769" s="95" t="str">
        <x:v>可直接支撑当前EIS-only闭环。</x:v>
      </x:c>
      <x:c r="L769" s="95" t="str">
        <x:v>M2 扩展与复现（5–12月）</x:v>
      </x:c>
      <x:c r="M769" s="95" t="str">
        <x:v>按瓶颈接入</x:v>
      </x:c>
      <x:c r="N769" s="95" t="str">
        <x:v>P0</x:v>
      </x:c>
      <x:c r="O769" s="95" t="str">
        <x:v>https://openreview.net/forum?id=WE_vluYUL-X</x:v>
      </x:c>
      <x:c r="P769" s="96" t="str">
        <x:v>待评审</x:v>
      </x:c>
    </x:row>
    <x:row r="770">
      <x:c r="A770" s="94" t="str">
        <x:v>T0766</x:v>
      </x:c>
      <x:c r="B770" s="95" t="str">
        <x:v>科学智能体与多智能体</x:v>
      </x:c>
      <x:c r="C770" s="95" t="str">
        <x:v>Agent规划、推理、工具使用与记忆</x:v>
      </x:c>
      <x:c r="D770" s="95" t="str">
        <x:v>关键支撑</x:v>
      </x:c>
      <x:c r="E770" s="100" t="n">
        <x:v>8</x:v>
      </x:c>
      <x:c r="F770" s="95" t="str">
        <x:v>两线共用</x:v>
      </x:c>
      <x:c r="G770" s="95" t="str">
        <x:v>E 可信智能体与控制架构</x:v>
      </x:c>
      <x:c r="H770" s="95" t="str">
        <x:v>目标栈</x:v>
      </x:c>
      <x:c r="I770" s="95" t="str">
        <x:v>把状态、工具调用、自检、记忆和终止规则接入主流程。</x:v>
      </x:c>
      <x:c r="J770" s="95" t="str">
        <x:v>接入外部验证器、结构化输出、置信校准、拒答、权限与人工门禁。</x:v>
      </x:c>
      <x:c r="K770" s="95" t="str">
        <x:v>可直接支撑当前EIS-only闭环。</x:v>
      </x:c>
      <x:c r="L770" s="95" t="str">
        <x:v>M2 扩展与复现（5–12月）</x:v>
      </x:c>
      <x:c r="M770" s="95" t="str">
        <x:v>按瓶颈接入</x:v>
      </x:c>
      <x:c r="N770" s="95" t="str">
        <x:v>P0</x:v>
      </x:c>
      <x:c r="O770" s="95" t="str">
        <x:v>https://arxiv.org/abs/2302.04761</x:v>
      </x:c>
      <x:c r="P770" s="96" t="str">
        <x:v>待评审</x:v>
      </x:c>
    </x:row>
    <x:row r="771">
      <x:c r="A771" s="94" t="str">
        <x:v>T0767</x:v>
      </x:c>
      <x:c r="B771" s="95" t="str">
        <x:v>科学智能体与多智能体</x:v>
      </x:c>
      <x:c r="C771" s="95" t="str">
        <x:v>Agent规划、推理、工具使用与记忆</x:v>
      </x:c>
      <x:c r="D771" s="95" t="str">
        <x:v>核心必需</x:v>
      </x:c>
      <x:c r="E771" s="100" t="n">
        <x:v>12</x:v>
      </x:c>
      <x:c r="F771" s="95" t="str">
        <x:v>两线共用</x:v>
      </x:c>
      <x:c r="G771" s="95" t="str">
        <x:v>E 可信智能体与控制架构</x:v>
      </x:c>
      <x:c r="H771" s="95" t="str">
        <x:v>状态跟踪</x:v>
      </x:c>
      <x:c r="I771" s="95" t="str">
        <x:v>把状态、工具调用、自检、记忆和终止规则接入主流程。</x:v>
      </x:c>
      <x:c r="J771" s="95" t="str">
        <x:v>接入外部验证器、结构化输出、置信校准、拒答、权限与人工门禁。</x:v>
      </x:c>
      <x:c r="K771" s="95" t="str">
        <x:v>可直接支撑当前EIS-only闭环。</x:v>
      </x:c>
      <x:c r="L771" s="95" t="str">
        <x:v>M0 主流程接入（0–2月）</x:v>
      </x:c>
      <x:c r="M771" s="95" t="str">
        <x:v>首批接入</x:v>
      </x:c>
      <x:c r="N771" s="95" t="str">
        <x:v>P0</x:v>
      </x:c>
      <x:c r="O771" s="95" t="str">
        <x:v>https://arxiv.org/abs/2303.11366</x:v>
      </x:c>
      <x:c r="P771" s="96" t="str">
        <x:v>待评审</x:v>
      </x:c>
    </x:row>
    <x:row r="772">
      <x:c r="A772" s="94" t="str">
        <x:v>T0768</x:v>
      </x:c>
      <x:c r="B772" s="95" t="str">
        <x:v>科学智能体与多智能体</x:v>
      </x:c>
      <x:c r="C772" s="95" t="str">
        <x:v>Agent规划、推理、工具使用与记忆</x:v>
      </x:c>
      <x:c r="D772" s="95" t="str">
        <x:v>关键支撑</x:v>
      </x:c>
      <x:c r="E772" s="100" t="n">
        <x:v>8</x:v>
      </x:c>
      <x:c r="F772" s="95" t="str">
        <x:v>两线共用</x:v>
      </x:c>
      <x:c r="G772" s="95" t="str">
        <x:v>E 可信智能体与控制架构</x:v>
      </x:c>
      <x:c r="H772" s="95" t="str">
        <x:v>世界模型</x:v>
      </x:c>
      <x:c r="I772" s="95" t="str">
        <x:v>把状态、工具调用、自检、记忆和终止规则接入主流程。</x:v>
      </x:c>
      <x:c r="J772" s="95" t="str">
        <x:v>接入外部验证器、结构化输出、置信校准、拒答、权限与人工门禁。</x:v>
      </x:c>
      <x:c r="K772" s="95" t="str">
        <x:v>可直接支撑当前EIS-only闭环。</x:v>
      </x:c>
      <x:c r="L772" s="95" t="str">
        <x:v>M2 扩展与复现（5–12月）</x:v>
      </x:c>
      <x:c r="M772" s="95" t="str">
        <x:v>按瓶颈接入</x:v>
      </x:c>
      <x:c r="N772" s="95" t="str">
        <x:v>P0</x:v>
      </x:c>
      <x:c r="O772" s="95" t="str">
        <x:v>https://developers.openai.com/api/docs/guides/agents</x:v>
      </x:c>
      <x:c r="P772" s="96" t="str">
        <x:v>待评审</x:v>
      </x:c>
    </x:row>
    <x:row r="773">
      <x:c r="A773" s="94" t="str">
        <x:v>T0769</x:v>
      </x:c>
      <x:c r="B773" s="95" t="str">
        <x:v>科学智能体与多智能体</x:v>
      </x:c>
      <x:c r="C773" s="95" t="str">
        <x:v>Agent规划、推理、工具使用与记忆</x:v>
      </x:c>
      <x:c r="D773" s="95" t="str">
        <x:v>关键支撑</x:v>
      </x:c>
      <x:c r="E773" s="100" t="n">
        <x:v>8</x:v>
      </x:c>
      <x:c r="F773" s="95" t="str">
        <x:v>两线共用</x:v>
      </x:c>
      <x:c r="G773" s="95" t="str">
        <x:v>E 可信智能体与控制架构</x:v>
      </x:c>
      <x:c r="H773" s="95" t="str">
        <x:v>基于模型的规划</x:v>
      </x:c>
      <x:c r="I773" s="95" t="str">
        <x:v>把状态、工具调用、自检、记忆和终止规则接入主流程。</x:v>
      </x:c>
      <x:c r="J773" s="95" t="str">
        <x:v>接入外部验证器、结构化输出、置信校准、拒答、权限与人工门禁。</x:v>
      </x:c>
      <x:c r="K773" s="95" t="str">
        <x:v>可直接支撑当前EIS-only闭环。</x:v>
      </x:c>
      <x:c r="L773" s="95" t="str">
        <x:v>M2 扩展与复现（5–12月）</x:v>
      </x:c>
      <x:c r="M773" s="95" t="str">
        <x:v>按瓶颈接入</x:v>
      </x:c>
      <x:c r="N773" s="95" t="str">
        <x:v>P0</x:v>
      </x:c>
      <x:c r="O773" s="95" t="str">
        <x:v>https://openreview.net/forum?id=WE_vluYUL-X</x:v>
      </x:c>
      <x:c r="P773" s="96" t="str">
        <x:v>待评审</x:v>
      </x:c>
    </x:row>
    <x:row r="774">
      <x:c r="A774" s="94" t="str">
        <x:v>T0770</x:v>
      </x:c>
      <x:c r="B774" s="95" t="str">
        <x:v>科学智能体与多智能体</x:v>
      </x:c>
      <x:c r="C774" s="95" t="str">
        <x:v>Agent规划、推理、工具使用与记忆</x:v>
      </x:c>
      <x:c r="D774" s="95" t="str">
        <x:v>关键支撑</x:v>
      </x:c>
      <x:c r="E774" s="100" t="n">
        <x:v>8</x:v>
      </x:c>
      <x:c r="F774" s="95" t="str">
        <x:v>两线共用</x:v>
      </x:c>
      <x:c r="G774" s="95" t="str">
        <x:v>E 可信智能体与控制架构</x:v>
      </x:c>
      <x:c r="H774" s="95" t="str">
        <x:v>树搜索</x:v>
      </x:c>
      <x:c r="I774" s="95" t="str">
        <x:v>把状态、工具调用、自检、记忆和终止规则接入主流程。</x:v>
      </x:c>
      <x:c r="J774" s="95" t="str">
        <x:v>接入外部验证器、结构化输出、置信校准、拒答、权限与人工门禁。</x:v>
      </x:c>
      <x:c r="K774" s="95" t="str">
        <x:v>可直接支撑当前EIS-only闭环。</x:v>
      </x:c>
      <x:c r="L774" s="95" t="str">
        <x:v>M2 扩展与复现（5–12月）</x:v>
      </x:c>
      <x:c r="M774" s="95" t="str">
        <x:v>按瓶颈接入</x:v>
      </x:c>
      <x:c r="N774" s="95" t="str">
        <x:v>P0</x:v>
      </x:c>
      <x:c r="O774" s="95" t="str">
        <x:v>https://arxiv.org/abs/2302.04761</x:v>
      </x:c>
      <x:c r="P774" s="96" t="str">
        <x:v>待评审</x:v>
      </x:c>
    </x:row>
    <x:row r="775">
      <x:c r="A775" s="94" t="str">
        <x:v>T0771</x:v>
      </x:c>
      <x:c r="B775" s="95" t="str">
        <x:v>科学智能体与多智能体</x:v>
      </x:c>
      <x:c r="C775" s="95" t="str">
        <x:v>Agent规划、推理、工具使用与记忆</x:v>
      </x:c>
      <x:c r="D775" s="95" t="str">
        <x:v>关键支撑</x:v>
      </x:c>
      <x:c r="E775" s="100" t="n">
        <x:v>8</x:v>
      </x:c>
      <x:c r="F775" s="95" t="str">
        <x:v>两线共用</x:v>
      </x:c>
      <x:c r="G775" s="95" t="str">
        <x:v>E 可信智能体与控制架构</x:v>
      </x:c>
      <x:c r="H775" s="95" t="str">
        <x:v>蒙特卡洛树搜索</x:v>
      </x:c>
      <x:c r="I775" s="95" t="str">
        <x:v>把状态、工具调用、自检、记忆和终止规则接入主流程。</x:v>
      </x:c>
      <x:c r="J775" s="95" t="str">
        <x:v>接入外部验证器、结构化输出、置信校准、拒答、权限与人工门禁。</x:v>
      </x:c>
      <x:c r="K775" s="95" t="str">
        <x:v>可直接支撑当前EIS-only闭环。</x:v>
      </x:c>
      <x:c r="L775" s="95" t="str">
        <x:v>M2 扩展与复现（5–12月）</x:v>
      </x:c>
      <x:c r="M775" s="95" t="str">
        <x:v>按瓶颈接入</x:v>
      </x:c>
      <x:c r="N775" s="95" t="str">
        <x:v>P1</x:v>
      </x:c>
      <x:c r="O775" s="95" t="str">
        <x:v>https://arxiv.org/abs/2303.11366</x:v>
      </x:c>
      <x:c r="P775" s="96" t="str">
        <x:v>待评审</x:v>
      </x:c>
    </x:row>
    <x:row r="776">
      <x:c r="A776" s="94" t="str">
        <x:v>T0772</x:v>
      </x:c>
      <x:c r="B776" s="95" t="str">
        <x:v>科学智能体与多智能体</x:v>
      </x:c>
      <x:c r="C776" s="95" t="str">
        <x:v>Agent规划、推理、工具使用与记忆</x:v>
      </x:c>
      <x:c r="D776" s="95" t="str">
        <x:v>关键支撑</x:v>
      </x:c>
      <x:c r="E776" s="100" t="n">
        <x:v>8</x:v>
      </x:c>
      <x:c r="F776" s="95" t="str">
        <x:v>两线共用</x:v>
      </x:c>
      <x:c r="G776" s="95" t="str">
        <x:v>E 可信智能体与控制架构</x:v>
      </x:c>
      <x:c r="H776" s="95" t="str">
        <x:v>束搜索</x:v>
      </x:c>
      <x:c r="I776" s="95" t="str">
        <x:v>把状态、工具调用、自检、记忆和终止规则接入主流程。</x:v>
      </x:c>
      <x:c r="J776" s="95" t="str">
        <x:v>接入外部验证器、结构化输出、置信校准、拒答、权限与人工门禁。</x:v>
      </x:c>
      <x:c r="K776" s="95" t="str">
        <x:v>可直接支撑当前EIS-only闭环。</x:v>
      </x:c>
      <x:c r="L776" s="95" t="str">
        <x:v>M2 扩展与复现（5–12月）</x:v>
      </x:c>
      <x:c r="M776" s="95" t="str">
        <x:v>按瓶颈接入</x:v>
      </x:c>
      <x:c r="N776" s="95" t="str">
        <x:v>P1</x:v>
      </x:c>
      <x:c r="O776" s="95" t="str">
        <x:v>https://developers.openai.com/api/docs/guides/agents</x:v>
      </x:c>
      <x:c r="P776" s="96" t="str">
        <x:v>待评审</x:v>
      </x:c>
    </x:row>
    <x:row r="777">
      <x:c r="A777" s="94" t="str">
        <x:v>T0773</x:v>
      </x:c>
      <x:c r="B777" s="95" t="str">
        <x:v>科学智能体与多智能体</x:v>
      </x:c>
      <x:c r="C777" s="95" t="str">
        <x:v>Agent规划、推理、工具使用与记忆</x:v>
      </x:c>
      <x:c r="D777" s="95" t="str">
        <x:v>关键支撑</x:v>
      </x:c>
      <x:c r="E777" s="100" t="n">
        <x:v>8</x:v>
      </x:c>
      <x:c r="F777" s="95" t="str">
        <x:v>两线共用</x:v>
      </x:c>
      <x:c r="G777" s="95" t="str">
        <x:v>E 可信智能体与控制架构</x:v>
      </x:c>
      <x:c r="H777" s="95" t="str">
        <x:v>最佳优先搜索</x:v>
      </x:c>
      <x:c r="I777" s="95" t="str">
        <x:v>把状态、工具调用、自检、记忆和终止规则接入主流程。</x:v>
      </x:c>
      <x:c r="J777" s="95" t="str">
        <x:v>接入外部验证器、结构化输出、置信校准、拒答、权限与人工门禁。</x:v>
      </x:c>
      <x:c r="K777" s="95" t="str">
        <x:v>可直接支撑当前EIS-only闭环。</x:v>
      </x:c>
      <x:c r="L777" s="95" t="str">
        <x:v>M2 扩展与复现（5–12月）</x:v>
      </x:c>
      <x:c r="M777" s="95" t="str">
        <x:v>按瓶颈接入</x:v>
      </x:c>
      <x:c r="N777" s="95" t="str">
        <x:v>P1</x:v>
      </x:c>
      <x:c r="O777" s="95" t="str">
        <x:v>https://openreview.net/forum?id=WE_vluYUL-X</x:v>
      </x:c>
      <x:c r="P777" s="96" t="str">
        <x:v>待评审</x:v>
      </x:c>
    </x:row>
    <x:row r="778">
      <x:c r="A778" s="94" t="str">
        <x:v>T0774</x:v>
      </x:c>
      <x:c r="B778" s="95" t="str">
        <x:v>科学智能体与多智能体</x:v>
      </x:c>
      <x:c r="C778" s="95" t="str">
        <x:v>Agent规划、推理、工具使用与记忆</x:v>
      </x:c>
      <x:c r="D778" s="95" t="str">
        <x:v>核心必需</x:v>
      </x:c>
      <x:c r="E778" s="100" t="n">
        <x:v>11</x:v>
      </x:c>
      <x:c r="F778" s="95" t="str">
        <x:v>两线共用</x:v>
      </x:c>
      <x:c r="G778" s="95" t="str">
        <x:v>E 可信智能体与控制架构</x:v>
      </x:c>
      <x:c r="H778" s="95" t="str">
        <x:v>约束求解</x:v>
      </x:c>
      <x:c r="I778" s="95" t="str">
        <x:v>把状态、工具调用、自检、记忆和终止规则接入主流程。</x:v>
      </x:c>
      <x:c r="J778" s="95" t="str">
        <x:v>接入外部验证器、结构化输出、置信校准、拒答、权限与人工门禁。</x:v>
      </x:c>
      <x:c r="K778" s="95" t="str">
        <x:v>可直接支撑当前EIS-only闭环。</x:v>
      </x:c>
      <x:c r="L778" s="95" t="str">
        <x:v>M1 前瞻验证（2–5月）</x:v>
      </x:c>
      <x:c r="M778" s="95" t="str">
        <x:v>第二批接入</x:v>
      </x:c>
      <x:c r="N778" s="95" t="str">
        <x:v>P1</x:v>
      </x:c>
      <x:c r="O778" s="95" t="str">
        <x:v>https://arxiv.org/abs/2302.04761</x:v>
      </x:c>
      <x:c r="P778" s="96" t="str">
        <x:v>待评审</x:v>
      </x:c>
    </x:row>
    <x:row r="779">
      <x:c r="A779" s="94" t="str">
        <x:v>T0775</x:v>
      </x:c>
      <x:c r="B779" s="95" t="str">
        <x:v>科学智能体与多智能体</x:v>
      </x:c>
      <x:c r="C779" s="95" t="str">
        <x:v>Agent规划、推理、工具使用与记忆</x:v>
      </x:c>
      <x:c r="D779" s="95" t="str">
        <x:v>关键支撑</x:v>
      </x:c>
      <x:c r="E779" s="100" t="n">
        <x:v>8</x:v>
      </x:c>
      <x:c r="F779" s="95" t="str">
        <x:v>两线共用</x:v>
      </x:c>
      <x:c r="G779" s="95" t="str">
        <x:v>E 可信智能体与控制架构</x:v>
      </x:c>
      <x:c r="H779" s="95" t="str">
        <x:v>计划调度</x:v>
      </x:c>
      <x:c r="I779" s="95" t="str">
        <x:v>把状态、工具调用、自检、记忆和终止规则接入主流程。</x:v>
      </x:c>
      <x:c r="J779" s="95" t="str">
        <x:v>接入外部验证器、结构化输出、置信校准、拒答、权限与人工门禁。</x:v>
      </x:c>
      <x:c r="K779" s="95" t="str">
        <x:v>可直接支撑当前EIS-only闭环。</x:v>
      </x:c>
      <x:c r="L779" s="95" t="str">
        <x:v>M2 扩展与复现（5–12月）</x:v>
      </x:c>
      <x:c r="M779" s="95" t="str">
        <x:v>按瓶颈接入</x:v>
      </x:c>
      <x:c r="N779" s="95" t="str">
        <x:v>P1</x:v>
      </x:c>
      <x:c r="O779" s="95" t="str">
        <x:v>https://arxiv.org/abs/2303.11366</x:v>
      </x:c>
      <x:c r="P779" s="96" t="str">
        <x:v>待评审</x:v>
      </x:c>
    </x:row>
    <x:row r="780">
      <x:c r="A780" s="94" t="str">
        <x:v>T0776</x:v>
      </x:c>
      <x:c r="B780" s="95" t="str">
        <x:v>科学智能体与多智能体</x:v>
      </x:c>
      <x:c r="C780" s="95" t="str">
        <x:v>Agent规划、推理、工具使用与记忆</x:v>
      </x:c>
      <x:c r="D780" s="95" t="str">
        <x:v>关键支撑</x:v>
      </x:c>
      <x:c r="E780" s="100" t="n">
        <x:v>8</x:v>
      </x:c>
      <x:c r="F780" s="95" t="str">
        <x:v>两线共用</x:v>
      </x:c>
      <x:c r="G780" s="95" t="str">
        <x:v>E 可信智能体与控制架构</x:v>
      </x:c>
      <x:c r="H780" s="95" t="str">
        <x:v>程序合成</x:v>
      </x:c>
      <x:c r="I780" s="95" t="str">
        <x:v>把状态、工具调用、自检、记忆和终止规则接入主流程。</x:v>
      </x:c>
      <x:c r="J780" s="95" t="str">
        <x:v>接入外部验证器、结构化输出、置信校准、拒答、权限与人工门禁。</x:v>
      </x:c>
      <x:c r="K780" s="95" t="str">
        <x:v>可直接支撑当前EIS-only闭环。</x:v>
      </x:c>
      <x:c r="L780" s="95" t="str">
        <x:v>M2 扩展与复现（5–12月）</x:v>
      </x:c>
      <x:c r="M780" s="95" t="str">
        <x:v>按瓶颈接入</x:v>
      </x:c>
      <x:c r="N780" s="95" t="str">
        <x:v>P1</x:v>
      </x:c>
      <x:c r="O780" s="95" t="str">
        <x:v>https://developers.openai.com/api/docs/guides/agents</x:v>
      </x:c>
      <x:c r="P780" s="96" t="str">
        <x:v>待评审</x:v>
      </x:c>
    </x:row>
    <x:row r="781">
      <x:c r="A781" s="94" t="str">
        <x:v>T0777</x:v>
      </x:c>
      <x:c r="B781" s="95" t="str">
        <x:v>科学智能体与多智能体</x:v>
      </x:c>
      <x:c r="C781" s="95" t="str">
        <x:v>Agent规划、推理、工具使用与记忆</x:v>
      </x:c>
      <x:c r="D781" s="95" t="str">
        <x:v>核心必需</x:v>
      </x:c>
      <x:c r="E781" s="100" t="n">
        <x:v>11</x:v>
      </x:c>
      <x:c r="F781" s="95" t="str">
        <x:v>两线共用</x:v>
      </x:c>
      <x:c r="G781" s="95" t="str">
        <x:v>E 可信智能体与控制架构</x:v>
      </x:c>
      <x:c r="H781" s="95" t="str">
        <x:v>工具选择</x:v>
      </x:c>
      <x:c r="I781" s="95" t="str">
        <x:v>把状态、工具调用、自检、记忆和终止规则接入主流程。</x:v>
      </x:c>
      <x:c r="J781" s="95" t="str">
        <x:v>接入外部验证器、结构化输出、置信校准、拒答、权限与人工门禁。</x:v>
      </x:c>
      <x:c r="K781" s="95" t="str">
        <x:v>可直接支撑当前EIS-only闭环。</x:v>
      </x:c>
      <x:c r="L781" s="95" t="str">
        <x:v>M1 前瞻验证（2–5月）</x:v>
      </x:c>
      <x:c r="M781" s="95" t="str">
        <x:v>第二批接入</x:v>
      </x:c>
      <x:c r="N781" s="95" t="str">
        <x:v>P1</x:v>
      </x:c>
      <x:c r="O781" s="95" t="str">
        <x:v>https://openreview.net/forum?id=WE_vluYUL-X</x:v>
      </x:c>
      <x:c r="P781" s="96" t="str">
        <x:v>待评审</x:v>
      </x:c>
    </x:row>
    <x:row r="782">
      <x:c r="A782" s="94" t="str">
        <x:v>T0778</x:v>
      </x:c>
      <x:c r="B782" s="95" t="str">
        <x:v>科学智能体与多智能体</x:v>
      </x:c>
      <x:c r="C782" s="95" t="str">
        <x:v>Agent规划、推理、工具使用与记忆</x:v>
      </x:c>
      <x:c r="D782" s="95" t="str">
        <x:v>关键支撑</x:v>
      </x:c>
      <x:c r="E782" s="100" t="n">
        <x:v>8</x:v>
      </x:c>
      <x:c r="F782" s="95" t="str">
        <x:v>两线共用</x:v>
      </x:c>
      <x:c r="G782" s="95" t="str">
        <x:v>E 可信智能体与控制架构</x:v>
      </x:c>
      <x:c r="H782" s="95" t="str">
        <x:v>工具路由</x:v>
      </x:c>
      <x:c r="I782" s="95" t="str">
        <x:v>把状态、工具调用、自检、记忆和终止规则接入主流程。</x:v>
      </x:c>
      <x:c r="J782" s="95" t="str">
        <x:v>接入外部验证器、结构化输出、置信校准、拒答、权限与人工门禁。</x:v>
      </x:c>
      <x:c r="K782" s="95" t="str">
        <x:v>可直接支撑当前EIS-only闭环。</x:v>
      </x:c>
      <x:c r="L782" s="95" t="str">
        <x:v>M2 扩展与复现（5–12月）</x:v>
      </x:c>
      <x:c r="M782" s="95" t="str">
        <x:v>按瓶颈接入</x:v>
      </x:c>
      <x:c r="N782" s="95" t="str">
        <x:v>P1</x:v>
      </x:c>
      <x:c r="O782" s="95" t="str">
        <x:v>https://arxiv.org/abs/2302.04761</x:v>
      </x:c>
      <x:c r="P782" s="96" t="str">
        <x:v>待评审</x:v>
      </x:c>
    </x:row>
    <x:row r="783">
      <x:c r="A783" s="94" t="str">
        <x:v>T0779</x:v>
      </x:c>
      <x:c r="B783" s="95" t="str">
        <x:v>科学智能体与多智能体</x:v>
      </x:c>
      <x:c r="C783" s="95" t="str">
        <x:v>Agent规划、推理、工具使用与记忆</x:v>
      </x:c>
      <x:c r="D783" s="95" t="str">
        <x:v>关键支撑</x:v>
      </x:c>
      <x:c r="E783" s="100" t="n">
        <x:v>8</x:v>
      </x:c>
      <x:c r="F783" s="95" t="str">
        <x:v>两线共用</x:v>
      </x:c>
      <x:c r="G783" s="95" t="str">
        <x:v>E 可信智能体与控制架构</x:v>
      </x:c>
      <x:c r="H783" s="95" t="str">
        <x:v>参数生成</x:v>
      </x:c>
      <x:c r="I783" s="95" t="str">
        <x:v>把状态、工具调用、自检、记忆和终止规则接入主流程。</x:v>
      </x:c>
      <x:c r="J783" s="95" t="str">
        <x:v>接入外部验证器、结构化输出、置信校准、拒答、权限与人工门禁。</x:v>
      </x:c>
      <x:c r="K783" s="95" t="str">
        <x:v>可直接支撑当前EIS-only闭环。</x:v>
      </x:c>
      <x:c r="L783" s="95" t="str">
        <x:v>M2 扩展与复现（5–12月）</x:v>
      </x:c>
      <x:c r="M783" s="95" t="str">
        <x:v>按瓶颈接入</x:v>
      </x:c>
      <x:c r="N783" s="95" t="str">
        <x:v>P1</x:v>
      </x:c>
      <x:c r="O783" s="95" t="str">
        <x:v>https://arxiv.org/abs/2303.11366</x:v>
      </x:c>
      <x:c r="P783" s="96" t="str">
        <x:v>待评审</x:v>
      </x:c>
    </x:row>
    <x:row r="784">
      <x:c r="A784" s="94" t="str">
        <x:v>T0780</x:v>
      </x:c>
      <x:c r="B784" s="95" t="str">
        <x:v>科学智能体与多智能体</x:v>
      </x:c>
      <x:c r="C784" s="95" t="str">
        <x:v>Agent规划、推理、工具使用与记忆</x:v>
      </x:c>
      <x:c r="D784" s="95" t="str">
        <x:v>核心必需</x:v>
      </x:c>
      <x:c r="E784" s="100" t="n">
        <x:v>12</x:v>
      </x:c>
      <x:c r="F784" s="95" t="str">
        <x:v>两线共用</x:v>
      </x:c>
      <x:c r="G784" s="95" t="str">
        <x:v>E 可信智能体与控制架构</x:v>
      </x:c>
      <x:c r="H784" s="95" t="str">
        <x:v>前置条件检查</x:v>
      </x:c>
      <x:c r="I784" s="95" t="str">
        <x:v>把状态、工具调用、自检、记忆和终止规则接入主流程。</x:v>
      </x:c>
      <x:c r="J784" s="95" t="str">
        <x:v>接入外部验证器、结构化输出、置信校准、拒答、权限与人工门禁。</x:v>
      </x:c>
      <x:c r="K784" s="95" t="str">
        <x:v>可直接支撑当前EIS-only闭环。</x:v>
      </x:c>
      <x:c r="L784" s="95" t="str">
        <x:v>M0 主流程接入（0–2月）</x:v>
      </x:c>
      <x:c r="M784" s="95" t="str">
        <x:v>首批接入</x:v>
      </x:c>
      <x:c r="N784" s="95" t="str">
        <x:v>P1</x:v>
      </x:c>
      <x:c r="O784" s="95" t="str">
        <x:v>https://developers.openai.com/api/docs/guides/agents</x:v>
      </x:c>
      <x:c r="P784" s="96" t="str">
        <x:v>待评审</x:v>
      </x:c>
    </x:row>
    <x:row r="785">
      <x:c r="A785" s="94" t="str">
        <x:v>T0781</x:v>
      </x:c>
      <x:c r="B785" s="95" t="str">
        <x:v>科学智能体与多智能体</x:v>
      </x:c>
      <x:c r="C785" s="95" t="str">
        <x:v>Agent规划、推理、工具使用与记忆</x:v>
      </x:c>
      <x:c r="D785" s="95" t="str">
        <x:v>核心必需</x:v>
      </x:c>
      <x:c r="E785" s="100" t="n">
        <x:v>12</x:v>
      </x:c>
      <x:c r="F785" s="95" t="str">
        <x:v>两线共用</x:v>
      </x:c>
      <x:c r="G785" s="95" t="str">
        <x:v>E 可信智能体与控制架构</x:v>
      </x:c>
      <x:c r="H785" s="95" t="str">
        <x:v>后置条件验证</x:v>
      </x:c>
      <x:c r="I785" s="95" t="str">
        <x:v>把状态、工具调用、自检、记忆和终止规则接入主流程。</x:v>
      </x:c>
      <x:c r="J785" s="95" t="str">
        <x:v>接入外部验证器、结构化输出、置信校准、拒答、权限与人工门禁。</x:v>
      </x:c>
      <x:c r="K785" s="95" t="str">
        <x:v>可直接支撑当前EIS-only闭环。</x:v>
      </x:c>
      <x:c r="L785" s="95" t="str">
        <x:v>M0 主流程接入（0–2月）</x:v>
      </x:c>
      <x:c r="M785" s="95" t="str">
        <x:v>首批接入</x:v>
      </x:c>
      <x:c r="N785" s="95" t="str">
        <x:v>P1</x:v>
      </x:c>
      <x:c r="O785" s="95" t="str">
        <x:v>https://openreview.net/forum?id=WE_vluYUL-X</x:v>
      </x:c>
      <x:c r="P785" s="96" t="str">
        <x:v>待评审</x:v>
      </x:c>
    </x:row>
    <x:row r="786">
      <x:c r="A786" s="94" t="str">
        <x:v>T0782</x:v>
      </x:c>
      <x:c r="B786" s="95" t="str">
        <x:v>科学智能体与多智能体</x:v>
      </x:c>
      <x:c r="C786" s="95" t="str">
        <x:v>Agent规划、推理、工具使用与记忆</x:v>
      </x:c>
      <x:c r="D786" s="95" t="str">
        <x:v>关键支撑</x:v>
      </x:c>
      <x:c r="E786" s="100" t="n">
        <x:v>9</x:v>
      </x:c>
      <x:c r="F786" s="95" t="str">
        <x:v>两线共用</x:v>
      </x:c>
      <x:c r="G786" s="95" t="str">
        <x:v>E 可信智能体与控制架构</x:v>
      </x:c>
      <x:c r="H786" s="95" t="str">
        <x:v>观测解释</x:v>
      </x:c>
      <x:c r="I786" s="95" t="str">
        <x:v>把状态、工具调用、自检、记忆和终止规则接入主流程。</x:v>
      </x:c>
      <x:c r="J786" s="95" t="str">
        <x:v>接入外部验证器、结构化输出、置信校准、拒答、权限与人工门禁。</x:v>
      </x:c>
      <x:c r="K786" s="95" t="str">
        <x:v>可直接支撑当前EIS-only闭环。</x:v>
      </x:c>
      <x:c r="L786" s="95" t="str">
        <x:v>M2 扩展与复现（5–12月）</x:v>
      </x:c>
      <x:c r="M786" s="95" t="str">
        <x:v>按瓶颈接入</x:v>
      </x:c>
      <x:c r="N786" s="95" t="str">
        <x:v>P1</x:v>
      </x:c>
      <x:c r="O786" s="95" t="str">
        <x:v>https://arxiv.org/abs/2302.04761</x:v>
      </x:c>
      <x:c r="P786" s="96" t="str">
        <x:v>待评审</x:v>
      </x:c>
    </x:row>
    <x:row r="787">
      <x:c r="A787" s="94" t="str">
        <x:v>T0783</x:v>
      </x:c>
      <x:c r="B787" s="95" t="str">
        <x:v>科学智能体与多智能体</x:v>
      </x:c>
      <x:c r="C787" s="95" t="str">
        <x:v>Agent规划、推理、工具使用与记忆</x:v>
      </x:c>
      <x:c r="D787" s="95" t="str">
        <x:v>核心必需</x:v>
      </x:c>
      <x:c r="E787" s="100" t="n">
        <x:v>11</x:v>
      </x:c>
      <x:c r="F787" s="95" t="str">
        <x:v>两线共用</x:v>
      </x:c>
      <x:c r="G787" s="95" t="str">
        <x:v>E 可信智能体与控制架构</x:v>
      </x:c>
      <x:c r="H787" s="95" t="str">
        <x:v>循环控制</x:v>
      </x:c>
      <x:c r="I787" s="95" t="str">
        <x:v>把状态、工具调用、自检、记忆和终止规则接入主流程。</x:v>
      </x:c>
      <x:c r="J787" s="95" t="str">
        <x:v>接入外部验证器、结构化输出、置信校准、拒答、权限与人工门禁。</x:v>
      </x:c>
      <x:c r="K787" s="95" t="str">
        <x:v>可直接支撑当前EIS-only闭环。</x:v>
      </x:c>
      <x:c r="L787" s="95" t="str">
        <x:v>M1 前瞻验证（2–5月）</x:v>
      </x:c>
      <x:c r="M787" s="95" t="str">
        <x:v>第二批接入</x:v>
      </x:c>
      <x:c r="N787" s="95" t="str">
        <x:v>P1</x:v>
      </x:c>
      <x:c r="O787" s="95" t="str">
        <x:v>https://arxiv.org/abs/2303.11366</x:v>
      </x:c>
      <x:c r="P787" s="96" t="str">
        <x:v>待评审</x:v>
      </x:c>
    </x:row>
    <x:row r="788">
      <x:c r="A788" s="94" t="str">
        <x:v>T0784</x:v>
      </x:c>
      <x:c r="B788" s="95" t="str">
        <x:v>科学智能体与多智能体</x:v>
      </x:c>
      <x:c r="C788" s="95" t="str">
        <x:v>Agent规划、推理、工具使用与记忆</x:v>
      </x:c>
      <x:c r="D788" s="95" t="str">
        <x:v>核心必需</x:v>
      </x:c>
      <x:c r="E788" s="100" t="n">
        <x:v>11</x:v>
      </x:c>
      <x:c r="F788" s="95" t="str">
        <x:v>两线共用</x:v>
      </x:c>
      <x:c r="G788" s="95" t="str">
        <x:v>E 可信智能体与控制架构</x:v>
      </x:c>
      <x:c r="H788" s="95" t="str">
        <x:v>终止判断</x:v>
      </x:c>
      <x:c r="I788" s="95" t="str">
        <x:v>把状态、工具调用、自检、记忆和终止规则接入主流程。</x:v>
      </x:c>
      <x:c r="J788" s="95" t="str">
        <x:v>接入外部验证器、结构化输出、置信校准、拒答、权限与人工门禁。</x:v>
      </x:c>
      <x:c r="K788" s="95" t="str">
        <x:v>可直接支撑当前EIS-only闭环。</x:v>
      </x:c>
      <x:c r="L788" s="95" t="str">
        <x:v>M1 前瞻验证（2–5月）</x:v>
      </x:c>
      <x:c r="M788" s="95" t="str">
        <x:v>第二批接入</x:v>
      </x:c>
      <x:c r="N788" s="95" t="str">
        <x:v>P1</x:v>
      </x:c>
      <x:c r="O788" s="95" t="str">
        <x:v>https://developers.openai.com/api/docs/guides/agents</x:v>
      </x:c>
      <x:c r="P788" s="96" t="str">
        <x:v>待评审</x:v>
      </x:c>
    </x:row>
    <x:row r="789">
      <x:c r="A789" s="94" t="str">
        <x:v>T0785</x:v>
      </x:c>
      <x:c r="B789" s="95" t="str">
        <x:v>科学智能体与多智能体</x:v>
      </x:c>
      <x:c r="C789" s="95" t="str">
        <x:v>Agent规划、推理、工具使用与记忆</x:v>
      </x:c>
      <x:c r="D789" s="95" t="str">
        <x:v>关键支撑</x:v>
      </x:c>
      <x:c r="E789" s="100" t="n">
        <x:v>8</x:v>
      </x:c>
      <x:c r="F789" s="95" t="str">
        <x:v>两线共用</x:v>
      </x:c>
      <x:c r="G789" s="95" t="str">
        <x:v>E 可信智能体与控制架构</x:v>
      </x:c>
      <x:c r="H789" s="95" t="str">
        <x:v>重试</x:v>
      </x:c>
      <x:c r="I789" s="95" t="str">
        <x:v>把状态、工具调用、自检、记忆和终止规则接入主流程。</x:v>
      </x:c>
      <x:c r="J789" s="95" t="str">
        <x:v>接入外部验证器、结构化输出、置信校准、拒答、权限与人工门禁。</x:v>
      </x:c>
      <x:c r="K789" s="95" t="str">
        <x:v>可直接支撑当前EIS-only闭环。</x:v>
      </x:c>
      <x:c r="L789" s="95" t="str">
        <x:v>M2 扩展与复现（5–12月）</x:v>
      </x:c>
      <x:c r="M789" s="95" t="str">
        <x:v>按瓶颈接入</x:v>
      </x:c>
      <x:c r="N789" s="95" t="str">
        <x:v>P1</x:v>
      </x:c>
      <x:c r="O789" s="95" t="str">
        <x:v>https://openreview.net/forum?id=WE_vluYUL-X</x:v>
      </x:c>
      <x:c r="P789" s="96" t="str">
        <x:v>待评审</x:v>
      </x:c>
    </x:row>
    <x:row r="790">
      <x:c r="A790" s="94" t="str">
        <x:v>T0786</x:v>
      </x:c>
      <x:c r="B790" s="95" t="str">
        <x:v>科学智能体与多智能体</x:v>
      </x:c>
      <x:c r="C790" s="95" t="str">
        <x:v>Agent规划、推理、工具使用与记忆</x:v>
      </x:c>
      <x:c r="D790" s="95" t="str">
        <x:v>关键支撑</x:v>
      </x:c>
      <x:c r="E790" s="100" t="n">
        <x:v>8</x:v>
      </x:c>
      <x:c r="F790" s="95" t="str">
        <x:v>两线共用</x:v>
      </x:c>
      <x:c r="G790" s="95" t="str">
        <x:v>E 可信智能体与控制架构</x:v>
      </x:c>
      <x:c r="H790" s="95" t="str">
        <x:v>回溯</x:v>
      </x:c>
      <x:c r="I790" s="95" t="str">
        <x:v>把状态、工具调用、自检、记忆和终止规则接入主流程。</x:v>
      </x:c>
      <x:c r="J790" s="95" t="str">
        <x:v>接入外部验证器、结构化输出、置信校准、拒答、权限与人工门禁。</x:v>
      </x:c>
      <x:c r="K790" s="95" t="str">
        <x:v>可直接支撑当前EIS-only闭环。</x:v>
      </x:c>
      <x:c r="L790" s="95" t="str">
        <x:v>M2 扩展与复现（5–12月）</x:v>
      </x:c>
      <x:c r="M790" s="95" t="str">
        <x:v>按瓶颈接入</x:v>
      </x:c>
      <x:c r="N790" s="95" t="str">
        <x:v>P1</x:v>
      </x:c>
      <x:c r="O790" s="95" t="str">
        <x:v>https://arxiv.org/abs/2302.04761</x:v>
      </x:c>
      <x:c r="P790" s="96" t="str">
        <x:v>待评审</x:v>
      </x:c>
    </x:row>
    <x:row r="791">
      <x:c r="A791" s="94" t="str">
        <x:v>T0787</x:v>
      </x:c>
      <x:c r="B791" s="95" t="str">
        <x:v>科学智能体与多智能体</x:v>
      </x:c>
      <x:c r="C791" s="95" t="str">
        <x:v>Agent规划、推理、工具使用与记忆</x:v>
      </x:c>
      <x:c r="D791" s="95" t="str">
        <x:v>核心必需</x:v>
      </x:c>
      <x:c r="E791" s="100" t="n">
        <x:v>12</x:v>
      </x:c>
      <x:c r="F791" s="95" t="str">
        <x:v>两线共用</x:v>
      </x:c>
      <x:c r="G791" s="95" t="str">
        <x:v>E 可信智能体与控制架构</x:v>
      </x:c>
      <x:c r="H791" s="95" t="str">
        <x:v>反思</x:v>
      </x:c>
      <x:c r="I791" s="95" t="str">
        <x:v>把状态、工具调用、自检、记忆和终止规则接入主流程。</x:v>
      </x:c>
      <x:c r="J791" s="95" t="str">
        <x:v>接入外部验证器、结构化输出、置信校准、拒答、权限与人工门禁。</x:v>
      </x:c>
      <x:c r="K791" s="95" t="str">
        <x:v>可直接支撑当前EIS-only闭环。</x:v>
      </x:c>
      <x:c r="L791" s="95" t="str">
        <x:v>M0 主流程接入（0–2月）</x:v>
      </x:c>
      <x:c r="M791" s="95" t="str">
        <x:v>首批接入</x:v>
      </x:c>
      <x:c r="N791" s="95" t="str">
        <x:v>P1</x:v>
      </x:c>
      <x:c r="O791" s="95" t="str">
        <x:v>https://arxiv.org/abs/2303.11366</x:v>
      </x:c>
      <x:c r="P791" s="96" t="str">
        <x:v>待评审</x:v>
      </x:c>
    </x:row>
    <x:row r="792">
      <x:c r="A792" s="94" t="str">
        <x:v>T0788</x:v>
      </x:c>
      <x:c r="B792" s="95" t="str">
        <x:v>科学智能体与多智能体</x:v>
      </x:c>
      <x:c r="C792" s="95" t="str">
        <x:v>Agent规划、推理、工具使用与记忆</x:v>
      </x:c>
      <x:c r="D792" s="95" t="str">
        <x:v>关键支撑</x:v>
      </x:c>
      <x:c r="E792" s="100" t="n">
        <x:v>8</x:v>
      </x:c>
      <x:c r="F792" s="95" t="str">
        <x:v>两线共用</x:v>
      </x:c>
      <x:c r="G792" s="95" t="str">
        <x:v>E 可信智能体与控制架构</x:v>
      </x:c>
      <x:c r="H792" s="95" t="str">
        <x:v>Reflexion</x:v>
      </x:c>
      <x:c r="I792" s="95" t="str">
        <x:v>把状态、工具调用、自检、记忆和终止规则接入主流程。</x:v>
      </x:c>
      <x:c r="J792" s="95" t="str">
        <x:v>接入外部验证器、结构化输出、置信校准、拒答、权限与人工门禁。</x:v>
      </x:c>
      <x:c r="K792" s="95" t="str">
        <x:v>可直接支撑当前EIS-only闭环。</x:v>
      </x:c>
      <x:c r="L792" s="95" t="str">
        <x:v>M2 扩展与复现（5–12月）</x:v>
      </x:c>
      <x:c r="M792" s="95" t="str">
        <x:v>按瓶颈接入</x:v>
      </x:c>
      <x:c r="N792" s="95" t="str">
        <x:v>P1</x:v>
      </x:c>
      <x:c r="O792" s="95" t="str">
        <x:v>https://developers.openai.com/api/docs/guides/agents</x:v>
      </x:c>
      <x:c r="P792" s="96" t="str">
        <x:v>待评审</x:v>
      </x:c>
    </x:row>
    <x:row r="793">
      <x:c r="A793" s="94" t="str">
        <x:v>T0789</x:v>
      </x:c>
      <x:c r="B793" s="95" t="str">
        <x:v>科学智能体与多智能体</x:v>
      </x:c>
      <x:c r="C793" s="95" t="str">
        <x:v>Agent规划、推理、工具使用与记忆</x:v>
      </x:c>
      <x:c r="D793" s="95" t="str">
        <x:v>核心必需</x:v>
      </x:c>
      <x:c r="E793" s="100" t="n">
        <x:v>12</x:v>
      </x:c>
      <x:c r="F793" s="95" t="str">
        <x:v>两线共用</x:v>
      </x:c>
      <x:c r="G793" s="95" t="str">
        <x:v>E 可信智能体与控制架构</x:v>
      </x:c>
      <x:c r="H793" s="95" t="str">
        <x:v>自我批评</x:v>
      </x:c>
      <x:c r="I793" s="95" t="str">
        <x:v>把状态、工具调用、自检、记忆和终止规则接入主流程。</x:v>
      </x:c>
      <x:c r="J793" s="95" t="str">
        <x:v>接入外部验证器、结构化输出、置信校准、拒答、权限与人工门禁。</x:v>
      </x:c>
      <x:c r="K793" s="95" t="str">
        <x:v>可直接支撑当前EIS-only闭环。</x:v>
      </x:c>
      <x:c r="L793" s="95" t="str">
        <x:v>M0 主流程接入（0–2月）</x:v>
      </x:c>
      <x:c r="M793" s="95" t="str">
        <x:v>首批接入</x:v>
      </x:c>
      <x:c r="N793" s="95" t="str">
        <x:v>P2</x:v>
      </x:c>
      <x:c r="O793" s="95" t="str">
        <x:v>https://openreview.net/forum?id=WE_vluYUL-X</x:v>
      </x:c>
      <x:c r="P793" s="96" t="str">
        <x:v>待评审</x:v>
      </x:c>
    </x:row>
    <x:row r="794">
      <x:c r="A794" s="94" t="str">
        <x:v>T0790</x:v>
      </x:c>
      <x:c r="B794" s="95" t="str">
        <x:v>科学智能体与多智能体</x:v>
      </x:c>
      <x:c r="C794" s="95" t="str">
        <x:v>Agent规划、推理、工具使用与记忆</x:v>
      </x:c>
      <x:c r="D794" s="95" t="str">
        <x:v>核心必需</x:v>
      </x:c>
      <x:c r="E794" s="100" t="n">
        <x:v>12</x:v>
      </x:c>
      <x:c r="F794" s="95" t="str">
        <x:v>两线共用</x:v>
      </x:c>
      <x:c r="G794" s="95" t="str">
        <x:v>E 可信智能体与控制架构</x:v>
      </x:c>
      <x:c r="H794" s="95" t="str">
        <x:v>验证器模型</x:v>
      </x:c>
      <x:c r="I794" s="95" t="str">
        <x:v>把状态、工具调用、自检、记忆和终止规则接入主流程。</x:v>
      </x:c>
      <x:c r="J794" s="95" t="str">
        <x:v>接入外部验证器、结构化输出、置信校准、拒答、权限与人工门禁。</x:v>
      </x:c>
      <x:c r="K794" s="95" t="str">
        <x:v>可直接支撑当前EIS-only闭环。</x:v>
      </x:c>
      <x:c r="L794" s="95" t="str">
        <x:v>M0 主流程接入（0–2月）</x:v>
      </x:c>
      <x:c r="M794" s="95" t="str">
        <x:v>首批接入</x:v>
      </x:c>
      <x:c r="N794" s="95" t="str">
        <x:v>P2</x:v>
      </x:c>
      <x:c r="O794" s="95" t="str">
        <x:v>https://arxiv.org/abs/2302.04761</x:v>
      </x:c>
      <x:c r="P794" s="96" t="str">
        <x:v>待评审</x:v>
      </x:c>
    </x:row>
    <x:row r="795">
      <x:c r="A795" s="94" t="str">
        <x:v>T0791</x:v>
      </x:c>
      <x:c r="B795" s="95" t="str">
        <x:v>科学智能体与多智能体</x:v>
      </x:c>
      <x:c r="C795" s="95" t="str">
        <x:v>Agent规划、推理、工具使用与记忆</x:v>
      </x:c>
      <x:c r="D795" s="95" t="str">
        <x:v>关键支撑</x:v>
      </x:c>
      <x:c r="E795" s="100" t="n">
        <x:v>8</x:v>
      </x:c>
      <x:c r="F795" s="95" t="str">
        <x:v>两线共用</x:v>
      </x:c>
      <x:c r="G795" s="95" t="str">
        <x:v>E 可信智能体与控制架构</x:v>
      </x:c>
      <x:c r="H795" s="95" t="str">
        <x:v>多智能体辩论</x:v>
      </x:c>
      <x:c r="I795" s="95" t="str">
        <x:v>把状态、工具调用、自检、记忆和终止规则接入主流程。</x:v>
      </x:c>
      <x:c r="J795" s="95" t="str">
        <x:v>接入外部验证器、结构化输出、置信校准、拒答、权限与人工门禁。</x:v>
      </x:c>
      <x:c r="K795" s="95" t="str">
        <x:v>可直接支撑当前EIS-only闭环。</x:v>
      </x:c>
      <x:c r="L795" s="95" t="str">
        <x:v>M2 扩展与复现（5–12月）</x:v>
      </x:c>
      <x:c r="M795" s="95" t="str">
        <x:v>按瓶颈接入</x:v>
      </x:c>
      <x:c r="N795" s="95" t="str">
        <x:v>P2</x:v>
      </x:c>
      <x:c r="O795" s="95" t="str">
        <x:v>https://arxiv.org/abs/2303.11366</x:v>
      </x:c>
      <x:c r="P795" s="96" t="str">
        <x:v>待评审</x:v>
      </x:c>
    </x:row>
    <x:row r="796">
      <x:c r="A796" s="94" t="str">
        <x:v>T0792</x:v>
      </x:c>
      <x:c r="B796" s="95" t="str">
        <x:v>科学智能体与多智能体</x:v>
      </x:c>
      <x:c r="C796" s="95" t="str">
        <x:v>Agent规划、推理、工具使用与记忆</x:v>
      </x:c>
      <x:c r="D796" s="95" t="str">
        <x:v>核心必需</x:v>
      </x:c>
      <x:c r="E796" s="100" t="n">
        <x:v>11</x:v>
      </x:c>
      <x:c r="F796" s="95" t="str">
        <x:v>两线共用</x:v>
      </x:c>
      <x:c r="G796" s="95" t="str">
        <x:v>E 可信智能体与控制架构</x:v>
      </x:c>
      <x:c r="H796" s="95" t="str">
        <x:v>验证链</x:v>
      </x:c>
      <x:c r="I796" s="95" t="str">
        <x:v>把状态、工具调用、自检、记忆和终止规则接入主流程。</x:v>
      </x:c>
      <x:c r="J796" s="95" t="str">
        <x:v>接入外部验证器、结构化输出、置信校准、拒答、权限与人工门禁。</x:v>
      </x:c>
      <x:c r="K796" s="95" t="str">
        <x:v>可直接支撑当前EIS-only闭环。</x:v>
      </x:c>
      <x:c r="L796" s="95" t="str">
        <x:v>M1 前瞻验证（2–5月）</x:v>
      </x:c>
      <x:c r="M796" s="95" t="str">
        <x:v>第二批接入</x:v>
      </x:c>
      <x:c r="N796" s="95" t="str">
        <x:v>P2</x:v>
      </x:c>
      <x:c r="O796" s="95" t="str">
        <x:v>https://developers.openai.com/api/docs/guides/agents</x:v>
      </x:c>
      <x:c r="P796" s="96" t="str">
        <x:v>待评审</x:v>
      </x:c>
    </x:row>
    <x:row r="797">
      <x:c r="A797" s="94" t="str">
        <x:v>T0793</x:v>
      </x:c>
      <x:c r="B797" s="95" t="str">
        <x:v>科学智能体与多智能体</x:v>
      </x:c>
      <x:c r="C797" s="95" t="str">
        <x:v>Agent规划、推理、工具使用与记忆</x:v>
      </x:c>
      <x:c r="D797" s="95" t="str">
        <x:v>关键支撑</x:v>
      </x:c>
      <x:c r="E797" s="100" t="n">
        <x:v>8</x:v>
      </x:c>
      <x:c r="F797" s="95" t="str">
        <x:v>两线共用</x:v>
      </x:c>
      <x:c r="G797" s="95" t="str">
        <x:v>E 可信智能体与控制架构</x:v>
      </x:c>
      <x:c r="H797" s="95" t="str">
        <x:v>测试时计算</x:v>
      </x:c>
      <x:c r="I797" s="95" t="str">
        <x:v>把状态、工具调用、自检、记忆和终止规则接入主流程。</x:v>
      </x:c>
      <x:c r="J797" s="95" t="str">
        <x:v>接入外部验证器、结构化输出、置信校准、拒答、权限与人工门禁。</x:v>
      </x:c>
      <x:c r="K797" s="95" t="str">
        <x:v>可直接支撑当前EIS-only闭环。</x:v>
      </x:c>
      <x:c r="L797" s="95" t="str">
        <x:v>M2 扩展与复现（5–12月）</x:v>
      </x:c>
      <x:c r="M797" s="95" t="str">
        <x:v>按瓶颈接入</x:v>
      </x:c>
      <x:c r="N797" s="95" t="str">
        <x:v>P2</x:v>
      </x:c>
      <x:c r="O797" s="95" t="str">
        <x:v>https://openreview.net/forum?id=WE_vluYUL-X</x:v>
      </x:c>
      <x:c r="P797" s="96" t="str">
        <x:v>待评审</x:v>
      </x:c>
    </x:row>
    <x:row r="798">
      <x:c r="A798" s="94" t="str">
        <x:v>T0794</x:v>
      </x:c>
      <x:c r="B798" s="95" t="str">
        <x:v>科学智能体与多智能体</x:v>
      </x:c>
      <x:c r="C798" s="95" t="str">
        <x:v>Agent规划、推理、工具使用与记忆</x:v>
      </x:c>
      <x:c r="D798" s="95" t="str">
        <x:v>核心必需</x:v>
      </x:c>
      <x:c r="E798" s="100" t="n">
        <x:v>12</x:v>
      </x:c>
      <x:c r="F798" s="95" t="str">
        <x:v>两线共用</x:v>
      </x:c>
      <x:c r="G798" s="95" t="str">
        <x:v>E 可信智能体与控制架构</x:v>
      </x:c>
      <x:c r="H798" s="95" t="str">
        <x:v>情景记忆</x:v>
      </x:c>
      <x:c r="I798" s="95" t="str">
        <x:v>把状态、工具调用、自检、记忆和终止规则接入主流程。</x:v>
      </x:c>
      <x:c r="J798" s="95" t="str">
        <x:v>接入外部验证器、结构化输出、置信校准、拒答、权限与人工门禁。</x:v>
      </x:c>
      <x:c r="K798" s="95" t="str">
        <x:v>可直接支撑当前EIS-only闭环。</x:v>
      </x:c>
      <x:c r="L798" s="95" t="str">
        <x:v>M0 主流程接入（0–2月）</x:v>
      </x:c>
      <x:c r="M798" s="95" t="str">
        <x:v>首批接入</x:v>
      </x:c>
      <x:c r="N798" s="95" t="str">
        <x:v>P2</x:v>
      </x:c>
      <x:c r="O798" s="95" t="str">
        <x:v>https://arxiv.org/abs/2302.04761</x:v>
      </x:c>
      <x:c r="P798" s="96" t="str">
        <x:v>待评审</x:v>
      </x:c>
    </x:row>
    <x:row r="799">
      <x:c r="A799" s="94" t="str">
        <x:v>T0795</x:v>
      </x:c>
      <x:c r="B799" s="95" t="str">
        <x:v>科学智能体与多智能体</x:v>
      </x:c>
      <x:c r="C799" s="95" t="str">
        <x:v>Agent规划、推理、工具使用与记忆</x:v>
      </x:c>
      <x:c r="D799" s="95" t="str">
        <x:v>核心必需</x:v>
      </x:c>
      <x:c r="E799" s="100" t="n">
        <x:v>12</x:v>
      </x:c>
      <x:c r="F799" s="95" t="str">
        <x:v>两线共用</x:v>
      </x:c>
      <x:c r="G799" s="95" t="str">
        <x:v>E 可信智能体与控制架构</x:v>
      </x:c>
      <x:c r="H799" s="95" t="str">
        <x:v>语义记忆</x:v>
      </x:c>
      <x:c r="I799" s="95" t="str">
        <x:v>把状态、工具调用、自检、记忆和终止规则接入主流程。</x:v>
      </x:c>
      <x:c r="J799" s="95" t="str">
        <x:v>接入外部验证器、结构化输出、置信校准、拒答、权限与人工门禁。</x:v>
      </x:c>
      <x:c r="K799" s="95" t="str">
        <x:v>可直接支撑当前EIS-only闭环。</x:v>
      </x:c>
      <x:c r="L799" s="95" t="str">
        <x:v>M0 主流程接入（0–2月）</x:v>
      </x:c>
      <x:c r="M799" s="95" t="str">
        <x:v>首批接入</x:v>
      </x:c>
      <x:c r="N799" s="95" t="str">
        <x:v>P2</x:v>
      </x:c>
      <x:c r="O799" s="95" t="str">
        <x:v>https://arxiv.org/abs/2303.11366</x:v>
      </x:c>
      <x:c r="P799" s="96" t="str">
        <x:v>待评审</x:v>
      </x:c>
    </x:row>
    <x:row r="800">
      <x:c r="A800" s="94" t="str">
        <x:v>T0796</x:v>
      </x:c>
      <x:c r="B800" s="95" t="str">
        <x:v>科学智能体与多智能体</x:v>
      </x:c>
      <x:c r="C800" s="95" t="str">
        <x:v>Agent规划、推理、工具使用与记忆</x:v>
      </x:c>
      <x:c r="D800" s="95" t="str">
        <x:v>核心必需</x:v>
      </x:c>
      <x:c r="E800" s="100" t="n">
        <x:v>11</x:v>
      </x:c>
      <x:c r="F800" s="95" t="str">
        <x:v>两线共用</x:v>
      </x:c>
      <x:c r="G800" s="95" t="str">
        <x:v>E 可信智能体与控制架构</x:v>
      </x:c>
      <x:c r="H800" s="95" t="str">
        <x:v>程序性记忆</x:v>
      </x:c>
      <x:c r="I800" s="95" t="str">
        <x:v>把状态、工具调用、自检、记忆和终止规则接入主流程。</x:v>
      </x:c>
      <x:c r="J800" s="95" t="str">
        <x:v>接入外部验证器、结构化输出、置信校准、拒答、权限与人工门禁。</x:v>
      </x:c>
      <x:c r="K800" s="95" t="str">
        <x:v>可直接支撑当前EIS-only闭环。</x:v>
      </x:c>
      <x:c r="L800" s="95" t="str">
        <x:v>M1 前瞻验证（2–5月）</x:v>
      </x:c>
      <x:c r="M800" s="95" t="str">
        <x:v>第二批接入</x:v>
      </x:c>
      <x:c r="N800" s="95" t="str">
        <x:v>P2</x:v>
      </x:c>
      <x:c r="O800" s="95" t="str">
        <x:v>https://developers.openai.com/api/docs/guides/agents</x:v>
      </x:c>
      <x:c r="P800" s="96" t="str">
        <x:v>待评审</x:v>
      </x:c>
    </x:row>
    <x:row r="801">
      <x:c r="A801" s="94" t="str">
        <x:v>T0797</x:v>
      </x:c>
      <x:c r="B801" s="95" t="str">
        <x:v>科学智能体与多智能体</x:v>
      </x:c>
      <x:c r="C801" s="95" t="str">
        <x:v>Agent规划、推理、工具使用与记忆</x:v>
      </x:c>
      <x:c r="D801" s="95" t="str">
        <x:v>关键支撑</x:v>
      </x:c>
      <x:c r="E801" s="100" t="n">
        <x:v>8</x:v>
      </x:c>
      <x:c r="F801" s="95" t="str">
        <x:v>两线共用</x:v>
      </x:c>
      <x:c r="G801" s="95" t="str">
        <x:v>E 可信智能体与控制架构</x:v>
      </x:c>
      <x:c r="H801" s="95" t="str">
        <x:v>工作记忆</x:v>
      </x:c>
      <x:c r="I801" s="95" t="str">
        <x:v>把状态、工具调用、自检、记忆和终止规则接入主流程。</x:v>
      </x:c>
      <x:c r="J801" s="95" t="str">
        <x:v>接入外部验证器、结构化输出、置信校准、拒答、权限与人工门禁。</x:v>
      </x:c>
      <x:c r="K801" s="95" t="str">
        <x:v>可直接支撑当前EIS-only闭环。</x:v>
      </x:c>
      <x:c r="L801" s="95" t="str">
        <x:v>M2 扩展与复现（5–12月）</x:v>
      </x:c>
      <x:c r="M801" s="95" t="str">
        <x:v>按瓶颈接入</x:v>
      </x:c>
      <x:c r="N801" s="95" t="str">
        <x:v>P2</x:v>
      </x:c>
      <x:c r="O801" s="95" t="str">
        <x:v>https://openreview.net/forum?id=WE_vluYUL-X</x:v>
      </x:c>
      <x:c r="P801" s="96" t="str">
        <x:v>待评审</x:v>
      </x:c>
    </x:row>
    <x:row r="802">
      <x:c r="A802" s="94" t="str">
        <x:v>T0798</x:v>
      </x:c>
      <x:c r="B802" s="95" t="str">
        <x:v>科学智能体与多智能体</x:v>
      </x:c>
      <x:c r="C802" s="95" t="str">
        <x:v>Agent规划、推理、工具使用与记忆</x:v>
      </x:c>
      <x:c r="D802" s="95" t="str">
        <x:v>核心必需</x:v>
      </x:c>
      <x:c r="E802" s="100" t="n">
        <x:v>11</x:v>
      </x:c>
      <x:c r="F802" s="95" t="str">
        <x:v>两线共用</x:v>
      </x:c>
      <x:c r="G802" s="95" t="str">
        <x:v>E 可信智能体与控制架构</x:v>
      </x:c>
      <x:c r="H802" s="95" t="str">
        <x:v>记忆巩固</x:v>
      </x:c>
      <x:c r="I802" s="95" t="str">
        <x:v>把状态、工具调用、自检、记忆和终止规则接入主流程。</x:v>
      </x:c>
      <x:c r="J802" s="95" t="str">
        <x:v>接入外部验证器、结构化输出、置信校准、拒答、权限与人工门禁。</x:v>
      </x:c>
      <x:c r="K802" s="95" t="str">
        <x:v>可直接支撑当前EIS-only闭环。</x:v>
      </x:c>
      <x:c r="L802" s="95" t="str">
        <x:v>M1 前瞻验证（2–5月）</x:v>
      </x:c>
      <x:c r="M802" s="95" t="str">
        <x:v>第二批接入</x:v>
      </x:c>
      <x:c r="N802" s="95" t="str">
        <x:v>P2</x:v>
      </x:c>
      <x:c r="O802" s="95" t="str">
        <x:v>https://arxiv.org/abs/2302.04761</x:v>
      </x:c>
      <x:c r="P802" s="96" t="str">
        <x:v>待评审</x:v>
      </x:c>
    </x:row>
    <x:row r="803">
      <x:c r="A803" s="94" t="str">
        <x:v>T0799</x:v>
      </x:c>
      <x:c r="B803" s="95" t="str">
        <x:v>科学智能体与多智能体</x:v>
      </x:c>
      <x:c r="C803" s="95" t="str">
        <x:v>Agent规划、推理、工具使用与记忆</x:v>
      </x:c>
      <x:c r="D803" s="95" t="str">
        <x:v>核心必需</x:v>
      </x:c>
      <x:c r="E803" s="100" t="n">
        <x:v>11</x:v>
      </x:c>
      <x:c r="F803" s="95" t="str">
        <x:v>两线共用</x:v>
      </x:c>
      <x:c r="G803" s="95" t="str">
        <x:v>E 可信智能体与控制架构</x:v>
      </x:c>
      <x:c r="H803" s="95" t="str">
        <x:v>经验回放</x:v>
      </x:c>
      <x:c r="I803" s="95" t="str">
        <x:v>把状态、工具调用、自检、记忆和终止规则接入主流程。</x:v>
      </x:c>
      <x:c r="J803" s="95" t="str">
        <x:v>接入外部验证器、结构化输出、置信校准、拒答、权限与人工门禁。</x:v>
      </x:c>
      <x:c r="K803" s="95" t="str">
        <x:v>可直接支撑当前EIS-only闭环。</x:v>
      </x:c>
      <x:c r="L803" s="95" t="str">
        <x:v>M1 前瞻验证（2–5月）</x:v>
      </x:c>
      <x:c r="M803" s="95" t="str">
        <x:v>第二批接入</x:v>
      </x:c>
      <x:c r="N803" s="95" t="str">
        <x:v>P2</x:v>
      </x:c>
      <x:c r="O803" s="95" t="str">
        <x:v>https://arxiv.org/abs/2303.11366</x:v>
      </x:c>
      <x:c r="P803" s="96" t="str">
        <x:v>待评审</x:v>
      </x:c>
    </x:row>
    <x:row r="804">
      <x:c r="A804" s="94" t="str">
        <x:v>T0800</x:v>
      </x:c>
      <x:c r="B804" s="95" t="str">
        <x:v>科学智能体与多智能体</x:v>
      </x:c>
      <x:c r="C804" s="95" t="str">
        <x:v>Agent规划、推理、工具使用与记忆</x:v>
      </x:c>
      <x:c r="D804" s="95" t="str">
        <x:v>关键支撑</x:v>
      </x:c>
      <x:c r="E804" s="100" t="n">
        <x:v>8</x:v>
      </x:c>
      <x:c r="F804" s="95" t="str">
        <x:v>两线共用</x:v>
      </x:c>
      <x:c r="G804" s="95" t="str">
        <x:v>E 可信智能体与控制架构</x:v>
      </x:c>
      <x:c r="H804" s="95" t="str">
        <x:v>技能库</x:v>
      </x:c>
      <x:c r="I804" s="95" t="str">
        <x:v>把状态、工具调用、自检、记忆和终止规则接入主流程。</x:v>
      </x:c>
      <x:c r="J804" s="95" t="str">
        <x:v>接入外部验证器、结构化输出、置信校准、拒答、权限与人工门禁。</x:v>
      </x:c>
      <x:c r="K804" s="95" t="str">
        <x:v>可直接支撑当前EIS-only闭环。</x:v>
      </x:c>
      <x:c r="L804" s="95" t="str">
        <x:v>M2 扩展与复现（5–12月）</x:v>
      </x:c>
      <x:c r="M804" s="95" t="str">
        <x:v>按瓶颈接入</x:v>
      </x:c>
      <x:c r="N804" s="95" t="str">
        <x:v>P2</x:v>
      </x:c>
      <x:c r="O804" s="95" t="str">
        <x:v>https://developers.openai.com/api/docs/guides/agents</x:v>
      </x:c>
      <x:c r="P804" s="96" t="str">
        <x:v>待评审</x:v>
      </x:c>
    </x:row>
    <x:row r="805">
      <x:c r="A805" s="94" t="str">
        <x:v>T0801</x:v>
      </x:c>
      <x:c r="B805" s="95" t="str">
        <x:v>科学智能体与多智能体</x:v>
      </x:c>
      <x:c r="C805" s="95" t="str">
        <x:v>多智能体与人机协同</x:v>
      </x:c>
      <x:c r="D805" s="95" t="str">
        <x:v>研究储备</x:v>
      </x:c>
      <x:c r="E805" s="100" t="n">
        <x:v>6</x:v>
      </x:c>
      <x:c r="F805" s="95" t="str">
        <x:v>两线共用</x:v>
      </x:c>
      <x:c r="G805" s="95" t="str">
        <x:v>E 可信智能体与控制架构</x:v>
      </x:c>
      <x:c r="H805" s="95" t="str">
        <x:v>监督者—执行者</x:v>
      </x:c>
      <x:c r="I805" s="95" t="str">
        <x:v>设置独立批评/验证角色和高风险审批，避免单一模型自证。</x:v>
      </x:c>
      <x:c r="J805" s="95" t="str">
        <x:v>接入外部验证器、结构化输出、置信校准、拒答、权限与人工门禁。</x:v>
      </x:c>
      <x:c r="K805" s="95" t="str">
        <x:v>可直接支撑当前EIS-only闭环。</x:v>
      </x:c>
      <x:c r="L805" s="95" t="str">
        <x:v>M3 研究储备</x:v>
      </x:c>
      <x:c r="M805" s="95" t="str">
        <x:v>条件具备后</x:v>
      </x:c>
      <x:c r="N805" s="95" t="str">
        <x:v>P0</x:v>
      </x:c>
      <x:c r="O805" s="95" t="str">
        <x:v>https://a2aproject.github.io/A2A/latest/</x:v>
      </x:c>
      <x:c r="P805" s="96" t="str">
        <x:v>待评审</x:v>
      </x:c>
    </x:row>
    <x:row r="806">
      <x:c r="A806" s="94" t="str">
        <x:v>T0802</x:v>
      </x:c>
      <x:c r="B806" s="95" t="str">
        <x:v>科学智能体与多智能体</x:v>
      </x:c>
      <x:c r="C806" s="95" t="str">
        <x:v>多智能体与人机协同</x:v>
      </x:c>
      <x:c r="D806" s="95" t="str">
        <x:v>研究储备</x:v>
      </x:c>
      <x:c r="E806" s="100" t="n">
        <x:v>6</x:v>
      </x:c>
      <x:c r="F806" s="95" t="str">
        <x:v>两线共用</x:v>
      </x:c>
      <x:c r="G806" s="95" t="str">
        <x:v>E 可信智能体与控制架构</x:v>
      </x:c>
      <x:c r="H806" s="95" t="str">
        <x:v>专家智能体</x:v>
      </x:c>
      <x:c r="I806" s="95" t="str">
        <x:v>设置独立批评/验证角色和高风险审批，避免单一模型自证。</x:v>
      </x:c>
      <x:c r="J806" s="95" t="str">
        <x:v>接入外部验证器、结构化输出、置信校准、拒答、权限与人工门禁。</x:v>
      </x:c>
      <x:c r="K806" s="95" t="str">
        <x:v>可直接支撑当前EIS-only闭环。</x:v>
      </x:c>
      <x:c r="L806" s="95" t="str">
        <x:v>M3 研究储备</x:v>
      </x:c>
      <x:c r="M806" s="95" t="str">
        <x:v>条件具备后</x:v>
      </x:c>
      <x:c r="N806" s="95" t="str">
        <x:v>P0</x:v>
      </x:c>
      <x:c r="O806" s="95" t="str">
        <x:v>https://pubs.acs.org/doi/10.1021/jacs.4c17738</x:v>
      </x:c>
      <x:c r="P806" s="96" t="str">
        <x:v>待评审</x:v>
      </x:c>
    </x:row>
    <x:row r="807">
      <x:c r="A807" s="94" t="str">
        <x:v>T0803</x:v>
      </x:c>
      <x:c r="B807" s="95" t="str">
        <x:v>科学智能体与多智能体</x:v>
      </x:c>
      <x:c r="C807" s="95" t="str">
        <x:v>多智能体与人机协同</x:v>
      </x:c>
      <x:c r="D807" s="95" t="str">
        <x:v>研究储备</x:v>
      </x:c>
      <x:c r="E807" s="100" t="n">
        <x:v>6</x:v>
      </x:c>
      <x:c r="F807" s="95" t="str">
        <x:v>两线共用</x:v>
      </x:c>
      <x:c r="G807" s="95" t="str">
        <x:v>E 可信智能体与控制架构</x:v>
      </x:c>
      <x:c r="H807" s="95" t="str">
        <x:v>规划者—执行者</x:v>
      </x:c>
      <x:c r="I807" s="95" t="str">
        <x:v>设置独立批评/验证角色和高风险审批，避免单一模型自证。</x:v>
      </x:c>
      <x:c r="J807" s="95" t="str">
        <x:v>接入外部验证器、结构化输出、置信校准、拒答、权限与人工门禁。</x:v>
      </x:c>
      <x:c r="K807" s="95" t="str">
        <x:v>可直接支撑当前EIS-only闭环。</x:v>
      </x:c>
      <x:c r="L807" s="95" t="str">
        <x:v>M3 研究储备</x:v>
      </x:c>
      <x:c r="M807" s="95" t="str">
        <x:v>条件具备后</x:v>
      </x:c>
      <x:c r="N807" s="95" t="str">
        <x:v>P0</x:v>
      </x:c>
      <x:c r="O807" s="95" t="str">
        <x:v>https://www.nature.com/articles/s41467-025-64105-7</x:v>
      </x:c>
      <x:c r="P807" s="96" t="str">
        <x:v>待评审</x:v>
      </x:c>
    </x:row>
    <x:row r="808">
      <x:c r="A808" s="94" t="str">
        <x:v>T0804</x:v>
      </x:c>
      <x:c r="B808" s="95" t="str">
        <x:v>科学智能体与多智能体</x:v>
      </x:c>
      <x:c r="C808" s="95" t="str">
        <x:v>多智能体与人机协同</x:v>
      </x:c>
      <x:c r="D808" s="95" t="str">
        <x:v>研究储备</x:v>
      </x:c>
      <x:c r="E808" s="100" t="n">
        <x:v>6</x:v>
      </x:c>
      <x:c r="F808" s="95" t="str">
        <x:v>两线共用</x:v>
      </x:c>
      <x:c r="G808" s="95" t="str">
        <x:v>E 可信智能体与控制架构</x:v>
      </x:c>
      <x:c r="H808" s="95" t="str">
        <x:v>研究者—实验者</x:v>
      </x:c>
      <x:c r="I808" s="95" t="str">
        <x:v>设置独立批评/验证角色和高风险审批，避免单一模型自证。</x:v>
      </x:c>
      <x:c r="J808" s="95" t="str">
        <x:v>接入外部验证器、结构化输出、置信校准、拒答、权限与人工门禁。</x:v>
      </x:c>
      <x:c r="K808" s="95" t="str">
        <x:v>可直接支撑当前EIS-only闭环。</x:v>
      </x:c>
      <x:c r="L808" s="95" t="str">
        <x:v>M3 研究储备</x:v>
      </x:c>
      <x:c r="M808" s="95" t="str">
        <x:v>条件具备后</x:v>
      </x:c>
      <x:c r="N808" s="95" t="str">
        <x:v>P0</x:v>
      </x:c>
      <x:c r="O808" s="95" t="str">
        <x:v>https://a2aproject.github.io/A2A/latest/</x:v>
      </x:c>
      <x:c r="P808" s="96" t="str">
        <x:v>待评审</x:v>
      </x:c>
    </x:row>
    <x:row r="809">
      <x:c r="A809" s="94" t="str">
        <x:v>T0805</x:v>
      </x:c>
      <x:c r="B809" s="95" t="str">
        <x:v>科学智能体与多智能体</x:v>
      </x:c>
      <x:c r="C809" s="95" t="str">
        <x:v>多智能体与人机协同</x:v>
      </x:c>
      <x:c r="D809" s="95" t="str">
        <x:v>研究储备</x:v>
      </x:c>
      <x:c r="E809" s="100" t="n">
        <x:v>6</x:v>
      </x:c>
      <x:c r="F809" s="95" t="str">
        <x:v>两线共用</x:v>
      </x:c>
      <x:c r="G809" s="95" t="str">
        <x:v>E 可信智能体与控制架构</x:v>
      </x:c>
      <x:c r="H809" s="95" t="str">
        <x:v>批评者智能体</x:v>
      </x:c>
      <x:c r="I809" s="95" t="str">
        <x:v>设置独立批评/验证角色和高风险审批，避免单一模型自证。</x:v>
      </x:c>
      <x:c r="J809" s="95" t="str">
        <x:v>接入外部验证器、结构化输出、置信校准、拒答、权限与人工门禁。</x:v>
      </x:c>
      <x:c r="K809" s="95" t="str">
        <x:v>可直接支撑当前EIS-only闭环。</x:v>
      </x:c>
      <x:c r="L809" s="95" t="str">
        <x:v>M3 研究储备</x:v>
      </x:c>
      <x:c r="M809" s="95" t="str">
        <x:v>条件具备后</x:v>
      </x:c>
      <x:c r="N809" s="95" t="str">
        <x:v>P0</x:v>
      </x:c>
      <x:c r="O809" s="95" t="str">
        <x:v>https://pubs.acs.org/doi/10.1021/jacs.4c17738</x:v>
      </x:c>
      <x:c r="P809" s="96" t="str">
        <x:v>待评审</x:v>
      </x:c>
    </x:row>
    <x:row r="810">
      <x:c r="A810" s="94" t="str">
        <x:v>T0806</x:v>
      </x:c>
      <x:c r="B810" s="95" t="str">
        <x:v>科学智能体与多智能体</x:v>
      </x:c>
      <x:c r="C810" s="95" t="str">
        <x:v>多智能体与人机协同</x:v>
      </x:c>
      <x:c r="D810" s="95" t="str">
        <x:v>核心必需</x:v>
      </x:c>
      <x:c r="E810" s="100" t="n">
        <x:v>12</x:v>
      </x:c>
      <x:c r="F810" s="95" t="str">
        <x:v>两线共用</x:v>
      </x:c>
      <x:c r="G810" s="95" t="str">
        <x:v>E 可信智能体与控制架构</x:v>
      </x:c>
      <x:c r="H810" s="95" t="str">
        <x:v>验证者智能体</x:v>
      </x:c>
      <x:c r="I810" s="95" t="str">
        <x:v>设置独立批评/验证角色和高风险审批，避免单一模型自证。</x:v>
      </x:c>
      <x:c r="J810" s="95" t="str">
        <x:v>接入外部验证器、结构化输出、置信校准、拒答、权限与人工门禁。</x:v>
      </x:c>
      <x:c r="K810" s="95" t="str">
        <x:v>可直接支撑当前EIS-only闭环。</x:v>
      </x:c>
      <x:c r="L810" s="95" t="str">
        <x:v>M0 主流程接入（0–2月）</x:v>
      </x:c>
      <x:c r="M810" s="95" t="str">
        <x:v>首批接入</x:v>
      </x:c>
      <x:c r="N810" s="95" t="str">
        <x:v>P0</x:v>
      </x:c>
      <x:c r="O810" s="95" t="str">
        <x:v>https://www.nature.com/articles/s41467-025-64105-7</x:v>
      </x:c>
      <x:c r="P810" s="96" t="str">
        <x:v>待评审</x:v>
      </x:c>
    </x:row>
    <x:row r="811">
      <x:c r="A811" s="94" t="str">
        <x:v>T0807</x:v>
      </x:c>
      <x:c r="B811" s="95" t="str">
        <x:v>科学智能体与多智能体</x:v>
      </x:c>
      <x:c r="C811" s="95" t="str">
        <x:v>多智能体与人机协同</x:v>
      </x:c>
      <x:c r="D811" s="95" t="str">
        <x:v>关键支撑</x:v>
      </x:c>
      <x:c r="E811" s="100" t="n">
        <x:v>9</x:v>
      </x:c>
      <x:c r="F811" s="95" t="str">
        <x:v>两线共用</x:v>
      </x:c>
      <x:c r="G811" s="95" t="str">
        <x:v>E 可信智能体与控制架构</x:v>
      </x:c>
      <x:c r="H811" s="95" t="str">
        <x:v>安全智能体</x:v>
      </x:c>
      <x:c r="I811" s="95" t="str">
        <x:v>设置独立批评/验证角色和高风险审批，避免单一模型自证。</x:v>
      </x:c>
      <x:c r="J811" s="95" t="str">
        <x:v>接入外部验证器、结构化输出、置信校准、拒答、权限与人工门禁。</x:v>
      </x:c>
      <x:c r="K811" s="95" t="str">
        <x:v>可直接支撑当前EIS-only闭环。</x:v>
      </x:c>
      <x:c r="L811" s="95" t="str">
        <x:v>M2 扩展与复现（5–12月）</x:v>
      </x:c>
      <x:c r="M811" s="95" t="str">
        <x:v>按瓶颈接入</x:v>
      </x:c>
      <x:c r="N811" s="95" t="str">
        <x:v>P0</x:v>
      </x:c>
      <x:c r="O811" s="95" t="str">
        <x:v>https://a2aproject.github.io/A2A/latest/</x:v>
      </x:c>
      <x:c r="P811" s="96" t="str">
        <x:v>待评审</x:v>
      </x:c>
    </x:row>
    <x:row r="812">
      <x:c r="A812" s="94" t="str">
        <x:v>T0808</x:v>
      </x:c>
      <x:c r="B812" s="95" t="str">
        <x:v>科学智能体与多智能体</x:v>
      </x:c>
      <x:c r="C812" s="95" t="str">
        <x:v>多智能体与人机协同</x:v>
      </x:c>
      <x:c r="D812" s="95" t="str">
        <x:v>关键支撑</x:v>
      </x:c>
      <x:c r="E812" s="100" t="n">
        <x:v>9</x:v>
      </x:c>
      <x:c r="F812" s="95" t="str">
        <x:v>两线共用</x:v>
      </x:c>
      <x:c r="G812" s="95" t="str">
        <x:v>E 可信智能体与控制架构</x:v>
      </x:c>
      <x:c r="H812" s="95" t="str">
        <x:v>数据管家智能体</x:v>
      </x:c>
      <x:c r="I812" s="95" t="str">
        <x:v>设置独立批评/验证角色和高风险审批，避免单一模型自证。</x:v>
      </x:c>
      <x:c r="J812" s="95" t="str">
        <x:v>接入外部验证器、结构化输出、置信校准、拒答、权限与人工门禁。</x:v>
      </x:c>
      <x:c r="K812" s="95" t="str">
        <x:v>可直接支撑当前EIS-only闭环。</x:v>
      </x:c>
      <x:c r="L812" s="95" t="str">
        <x:v>M2 扩展与复现（5–12月）</x:v>
      </x:c>
      <x:c r="M812" s="95" t="str">
        <x:v>按瓶颈接入</x:v>
      </x:c>
      <x:c r="N812" s="95" t="str">
        <x:v>P0</x:v>
      </x:c>
      <x:c r="O812" s="95" t="str">
        <x:v>https://pubs.acs.org/doi/10.1021/jacs.4c17738</x:v>
      </x:c>
      <x:c r="P812" s="96" t="str">
        <x:v>待评审</x:v>
      </x:c>
    </x:row>
    <x:row r="813">
      <x:c r="A813" s="94" t="str">
        <x:v>T0809</x:v>
      </x:c>
      <x:c r="B813" s="95" t="str">
        <x:v>科学智能体与多智能体</x:v>
      </x:c>
      <x:c r="C813" s="95" t="str">
        <x:v>多智能体与人机协同</x:v>
      </x:c>
      <x:c r="D813" s="95" t="str">
        <x:v>研究储备</x:v>
      </x:c>
      <x:c r="E813" s="100" t="n">
        <x:v>6</x:v>
      </x:c>
      <x:c r="F813" s="95" t="str">
        <x:v>两线共用</x:v>
      </x:c>
      <x:c r="G813" s="95" t="str">
        <x:v>E 可信智能体与控制架构</x:v>
      </x:c>
      <x:c r="H813" s="95" t="str">
        <x:v>调度智能体</x:v>
      </x:c>
      <x:c r="I813" s="95" t="str">
        <x:v>设置独立批评/验证角色和高风险审批，避免单一模型自证。</x:v>
      </x:c>
      <x:c r="J813" s="95" t="str">
        <x:v>接入外部验证器、结构化输出、置信校准、拒答、权限与人工门禁。</x:v>
      </x:c>
      <x:c r="K813" s="95" t="str">
        <x:v>可直接支撑当前EIS-only闭环。</x:v>
      </x:c>
      <x:c r="L813" s="95" t="str">
        <x:v>M3 研究储备</x:v>
      </x:c>
      <x:c r="M813" s="95" t="str">
        <x:v>条件具备后</x:v>
      </x:c>
      <x:c r="N813" s="95" t="str">
        <x:v>P0</x:v>
      </x:c>
      <x:c r="O813" s="95" t="str">
        <x:v>https://www.nature.com/articles/s41467-025-64105-7</x:v>
      </x:c>
      <x:c r="P813" s="96" t="str">
        <x:v>待评审</x:v>
      </x:c>
    </x:row>
    <x:row r="814">
      <x:c r="A814" s="94" t="str">
        <x:v>T0810</x:v>
      </x:c>
      <x:c r="B814" s="95" t="str">
        <x:v>科学智能体与多智能体</x:v>
      </x:c>
      <x:c r="C814" s="95" t="str">
        <x:v>多智能体与人机协同</x:v>
      </x:c>
      <x:c r="D814" s="95" t="str">
        <x:v>研究储备</x:v>
      </x:c>
      <x:c r="E814" s="100" t="n">
        <x:v>6</x:v>
      </x:c>
      <x:c r="F814" s="95" t="str">
        <x:v>两线共用</x:v>
      </x:c>
      <x:c r="G814" s="95" t="str">
        <x:v>E 可信智能体与控制架构</x:v>
      </x:c>
      <x:c r="H814" s="95" t="str">
        <x:v>机器人智能体</x:v>
      </x:c>
      <x:c r="I814" s="95" t="str">
        <x:v>设置独立批评/验证角色和高风险审批，避免单一模型自证。</x:v>
      </x:c>
      <x:c r="J814" s="95" t="str">
        <x:v>接入外部验证器、结构化输出、置信校准、拒答、权限与人工门禁。</x:v>
      </x:c>
      <x:c r="K814" s="95" t="str">
        <x:v>可直接支撑当前EIS-only闭环。</x:v>
      </x:c>
      <x:c r="L814" s="95" t="str">
        <x:v>M3 研究储备</x:v>
      </x:c>
      <x:c r="M814" s="95" t="str">
        <x:v>条件具备后</x:v>
      </x:c>
      <x:c r="N814" s="95" t="str">
        <x:v>P0</x:v>
      </x:c>
      <x:c r="O814" s="95" t="str">
        <x:v>https://a2aproject.github.io/A2A/latest/</x:v>
      </x:c>
      <x:c r="P814" s="96" t="str">
        <x:v>待评审</x:v>
      </x:c>
    </x:row>
    <x:row r="815">
      <x:c r="A815" s="94" t="str">
        <x:v>T0811</x:v>
      </x:c>
      <x:c r="B815" s="95" t="str">
        <x:v>科学智能体与多智能体</x:v>
      </x:c>
      <x:c r="C815" s="95" t="str">
        <x:v>多智能体与人机协同</x:v>
      </x:c>
      <x:c r="D815" s="95" t="str">
        <x:v>关键支撑</x:v>
      </x:c>
      <x:c r="E815" s="100" t="n">
        <x:v>9</x:v>
      </x:c>
      <x:c r="F815" s="95" t="str">
        <x:v>两线共用</x:v>
      </x:c>
      <x:c r="G815" s="95" t="str">
        <x:v>E 可信智能体与控制架构</x:v>
      </x:c>
      <x:c r="H815" s="95" t="str">
        <x:v>仪器智能体</x:v>
      </x:c>
      <x:c r="I815" s="95" t="str">
        <x:v>设置独立批评/验证角色和高风险审批，避免单一模型自证。</x:v>
      </x:c>
      <x:c r="J815" s="95" t="str">
        <x:v>接入外部验证器、结构化输出、置信校准、拒答、权限与人工门禁。</x:v>
      </x:c>
      <x:c r="K815" s="95" t="str">
        <x:v>可直接支撑当前EIS-only闭环。</x:v>
      </x:c>
      <x:c r="L815" s="95" t="str">
        <x:v>M2 扩展与复现（5–12月）</x:v>
      </x:c>
      <x:c r="M815" s="95" t="str">
        <x:v>按瓶颈接入</x:v>
      </x:c>
      <x:c r="N815" s="95" t="str">
        <x:v>P1</x:v>
      </x:c>
      <x:c r="O815" s="95" t="str">
        <x:v>https://pubs.acs.org/doi/10.1021/jacs.4c17738</x:v>
      </x:c>
      <x:c r="P815" s="96" t="str">
        <x:v>待评审</x:v>
      </x:c>
    </x:row>
    <x:row r="816">
      <x:c r="A816" s="94" t="str">
        <x:v>T0812</x:v>
      </x:c>
      <x:c r="B816" s="95" t="str">
        <x:v>科学智能体与多智能体</x:v>
      </x:c>
      <x:c r="C816" s="95" t="str">
        <x:v>多智能体与人机协同</x:v>
      </x:c>
      <x:c r="D816" s="95" t="str">
        <x:v>研究储备</x:v>
      </x:c>
      <x:c r="E816" s="100" t="n">
        <x:v>7</x:v>
      </x:c>
      <x:c r="F816" s="95" t="str">
        <x:v>两线共用</x:v>
      </x:c>
      <x:c r="G816" s="95" t="str">
        <x:v>E 可信智能体与控制架构</x:v>
      </x:c>
      <x:c r="H816" s="95" t="str">
        <x:v>智能体能力卡</x:v>
      </x:c>
      <x:c r="I816" s="95" t="str">
        <x:v>设置独立批评/验证角色和高风险审批，避免单一模型自证。</x:v>
      </x:c>
      <x:c r="J816" s="95" t="str">
        <x:v>接入外部验证器、结构化输出、置信校准、拒答、权限与人工门禁。</x:v>
      </x:c>
      <x:c r="K816" s="95" t="str">
        <x:v>可直接支撑当前EIS-only闭环。</x:v>
      </x:c>
      <x:c r="L816" s="95" t="str">
        <x:v>M3 研究储备</x:v>
      </x:c>
      <x:c r="M816" s="95" t="str">
        <x:v>条件具备后</x:v>
      </x:c>
      <x:c r="N816" s="95" t="str">
        <x:v>P1</x:v>
      </x:c>
      <x:c r="O816" s="95" t="str">
        <x:v>https://www.nature.com/articles/s41467-025-64105-7</x:v>
      </x:c>
      <x:c r="P816" s="96" t="str">
        <x:v>待评审</x:v>
      </x:c>
    </x:row>
    <x:row r="817">
      <x:c r="A817" s="94" t="str">
        <x:v>T0813</x:v>
      </x:c>
      <x:c r="B817" s="95" t="str">
        <x:v>科学智能体与多智能体</x:v>
      </x:c>
      <x:c r="C817" s="95" t="str">
        <x:v>多智能体与人机协同</x:v>
      </x:c>
      <x:c r="D817" s="95" t="str">
        <x:v>研究储备</x:v>
      </x:c>
      <x:c r="E817" s="100" t="n">
        <x:v>6</x:v>
      </x:c>
      <x:c r="F817" s="95" t="str">
        <x:v>两线共用</x:v>
      </x:c>
      <x:c r="G817" s="95" t="str">
        <x:v>E 可信智能体与控制架构</x:v>
      </x:c>
      <x:c r="H817" s="95" t="str">
        <x:v>智能体发现</x:v>
      </x:c>
      <x:c r="I817" s="95" t="str">
        <x:v>设置独立批评/验证角色和高风险审批，避免单一模型自证。</x:v>
      </x:c>
      <x:c r="J817" s="95" t="str">
        <x:v>接入外部验证器、结构化输出、置信校准、拒答、权限与人工门禁。</x:v>
      </x:c>
      <x:c r="K817" s="95" t="str">
        <x:v>可直接支撑当前EIS-only闭环。</x:v>
      </x:c>
      <x:c r="L817" s="95" t="str">
        <x:v>M3 研究储备</x:v>
      </x:c>
      <x:c r="M817" s="95" t="str">
        <x:v>条件具备后</x:v>
      </x:c>
      <x:c r="N817" s="95" t="str">
        <x:v>P1</x:v>
      </x:c>
      <x:c r="O817" s="95" t="str">
        <x:v>https://a2aproject.github.io/A2A/latest/</x:v>
      </x:c>
      <x:c r="P817" s="96" t="str">
        <x:v>待评审</x:v>
      </x:c>
    </x:row>
    <x:row r="818">
      <x:c r="A818" s="94" t="str">
        <x:v>T0814</x:v>
      </x:c>
      <x:c r="B818" s="95" t="str">
        <x:v>科学智能体与多智能体</x:v>
      </x:c>
      <x:c r="C818" s="95" t="str">
        <x:v>多智能体与人机协同</x:v>
      </x:c>
      <x:c r="D818" s="95" t="str">
        <x:v>研究储备</x:v>
      </x:c>
      <x:c r="E818" s="100" t="n">
        <x:v>6</x:v>
      </x:c>
      <x:c r="F818" s="95" t="str">
        <x:v>两线共用</x:v>
      </x:c>
      <x:c r="G818" s="95" t="str">
        <x:v>E 可信智能体与控制架构</x:v>
      </x:c>
      <x:c r="H818" s="95" t="str">
        <x:v>委派</x:v>
      </x:c>
      <x:c r="I818" s="95" t="str">
        <x:v>设置独立批评/验证角色和高风险审批，避免单一模型自证。</x:v>
      </x:c>
      <x:c r="J818" s="95" t="str">
        <x:v>接入外部验证器、结构化输出、置信校准、拒答、权限与人工门禁。</x:v>
      </x:c>
      <x:c r="K818" s="95" t="str">
        <x:v>可直接支撑当前EIS-only闭环。</x:v>
      </x:c>
      <x:c r="L818" s="95" t="str">
        <x:v>M3 研究储备</x:v>
      </x:c>
      <x:c r="M818" s="95" t="str">
        <x:v>条件具备后</x:v>
      </x:c>
      <x:c r="N818" s="95" t="str">
        <x:v>P1</x:v>
      </x:c>
      <x:c r="O818" s="95" t="str">
        <x:v>https://pubs.acs.org/doi/10.1021/jacs.4c17738</x:v>
      </x:c>
      <x:c r="P818" s="96" t="str">
        <x:v>待评审</x:v>
      </x:c>
    </x:row>
    <x:row r="819">
      <x:c r="A819" s="94" t="str">
        <x:v>T0815</x:v>
      </x:c>
      <x:c r="B819" s="95" t="str">
        <x:v>科学智能体与多智能体</x:v>
      </x:c>
      <x:c r="C819" s="95" t="str">
        <x:v>多智能体与人机协同</x:v>
      </x:c>
      <x:c r="D819" s="95" t="str">
        <x:v>研究储备</x:v>
      </x:c>
      <x:c r="E819" s="100" t="n">
        <x:v>6</x:v>
      </x:c>
      <x:c r="F819" s="95" t="str">
        <x:v>两线共用</x:v>
      </x:c>
      <x:c r="G819" s="95" t="str">
        <x:v>E 可信智能体与控制架构</x:v>
      </x:c>
      <x:c r="H819" s="95" t="str">
        <x:v>合同网协议</x:v>
      </x:c>
      <x:c r="I819" s="95" t="str">
        <x:v>设置独立批评/验证角色和高风险审批，避免单一模型自证。</x:v>
      </x:c>
      <x:c r="J819" s="95" t="str">
        <x:v>接入外部验证器、结构化输出、置信校准、拒答、权限与人工门禁。</x:v>
      </x:c>
      <x:c r="K819" s="95" t="str">
        <x:v>可直接支撑当前EIS-only闭环。</x:v>
      </x:c>
      <x:c r="L819" s="95" t="str">
        <x:v>M3 研究储备</x:v>
      </x:c>
      <x:c r="M819" s="95" t="str">
        <x:v>条件具备后</x:v>
      </x:c>
      <x:c r="N819" s="95" t="str">
        <x:v>P1</x:v>
      </x:c>
      <x:c r="O819" s="95" t="str">
        <x:v>https://www.nature.com/articles/s41467-025-64105-7</x:v>
      </x:c>
      <x:c r="P819" s="96" t="str">
        <x:v>待评审</x:v>
      </x:c>
    </x:row>
    <x:row r="820">
      <x:c r="A820" s="94" t="str">
        <x:v>T0816</x:v>
      </x:c>
      <x:c r="B820" s="95" t="str">
        <x:v>科学智能体与多智能体</x:v>
      </x:c>
      <x:c r="C820" s="95" t="str">
        <x:v>多智能体与人机协同</x:v>
      </x:c>
      <x:c r="D820" s="95" t="str">
        <x:v>研究储备</x:v>
      </x:c>
      <x:c r="E820" s="100" t="n">
        <x:v>7</x:v>
      </x:c>
      <x:c r="F820" s="95" t="str">
        <x:v>两线共用</x:v>
      </x:c>
      <x:c r="G820" s="95" t="str">
        <x:v>E 可信智能体与控制架构</x:v>
      </x:c>
      <x:c r="H820" s="95" t="str">
        <x:v>共享黑板</x:v>
      </x:c>
      <x:c r="I820" s="95" t="str">
        <x:v>设置独立批评/验证角色和高风险审批，避免单一模型自证。</x:v>
      </x:c>
      <x:c r="J820" s="95" t="str">
        <x:v>接入外部验证器、结构化输出、置信校准、拒答、权限与人工门禁。</x:v>
      </x:c>
      <x:c r="K820" s="95" t="str">
        <x:v>可直接支撑当前EIS-only闭环。</x:v>
      </x:c>
      <x:c r="L820" s="95" t="str">
        <x:v>M3 研究储备</x:v>
      </x:c>
      <x:c r="M820" s="95" t="str">
        <x:v>条件具备后</x:v>
      </x:c>
      <x:c r="N820" s="95" t="str">
        <x:v>P1</x:v>
      </x:c>
      <x:c r="O820" s="95" t="str">
        <x:v>https://a2aproject.github.io/A2A/latest/</x:v>
      </x:c>
      <x:c r="P820" s="96" t="str">
        <x:v>待评审</x:v>
      </x:c>
    </x:row>
    <x:row r="821">
      <x:c r="A821" s="94" t="str">
        <x:v>T0817</x:v>
      </x:c>
      <x:c r="B821" s="95" t="str">
        <x:v>科学智能体与多智能体</x:v>
      </x:c>
      <x:c r="C821" s="95" t="str">
        <x:v>多智能体与人机协同</x:v>
      </x:c>
      <x:c r="D821" s="95" t="str">
        <x:v>研究储备</x:v>
      </x:c>
      <x:c r="E821" s="100" t="n">
        <x:v>7</x:v>
      </x:c>
      <x:c r="F821" s="95" t="str">
        <x:v>两线共用</x:v>
      </x:c>
      <x:c r="G821" s="95" t="str">
        <x:v>E 可信智能体与控制架构</x:v>
      </x:c>
      <x:c r="H821" s="95" t="str">
        <x:v>共享记忆</x:v>
      </x:c>
      <x:c r="I821" s="95" t="str">
        <x:v>设置独立批评/验证角色和高风险审批，避免单一模型自证。</x:v>
      </x:c>
      <x:c r="J821" s="95" t="str">
        <x:v>接入外部验证器、结构化输出、置信校准、拒答、权限与人工门禁。</x:v>
      </x:c>
      <x:c r="K821" s="95" t="str">
        <x:v>可直接支撑当前EIS-only闭环。</x:v>
      </x:c>
      <x:c r="L821" s="95" t="str">
        <x:v>M3 研究储备</x:v>
      </x:c>
      <x:c r="M821" s="95" t="str">
        <x:v>条件具备后</x:v>
      </x:c>
      <x:c r="N821" s="95" t="str">
        <x:v>P1</x:v>
      </x:c>
      <x:c r="O821" s="95" t="str">
        <x:v>https://pubs.acs.org/doi/10.1021/jacs.4c17738</x:v>
      </x:c>
      <x:c r="P821" s="96" t="str">
        <x:v>待评审</x:v>
      </x:c>
    </x:row>
    <x:row r="822">
      <x:c r="A822" s="94" t="str">
        <x:v>T0818</x:v>
      </x:c>
      <x:c r="B822" s="95" t="str">
        <x:v>科学智能体与多智能体</x:v>
      </x:c>
      <x:c r="C822" s="95" t="str">
        <x:v>多智能体与人机协同</x:v>
      </x:c>
      <x:c r="D822" s="95" t="str">
        <x:v>研究储备</x:v>
      </x:c>
      <x:c r="E822" s="100" t="n">
        <x:v>6</x:v>
      </x:c>
      <x:c r="F822" s="95" t="str">
        <x:v>两线共用</x:v>
      </x:c>
      <x:c r="G822" s="95" t="str">
        <x:v>E 可信智能体与控制架构</x:v>
      </x:c>
      <x:c r="H822" s="95" t="str">
        <x:v>消息协议</x:v>
      </x:c>
      <x:c r="I822" s="95" t="str">
        <x:v>设置独立批评/验证角色和高风险审批，避免单一模型自证。</x:v>
      </x:c>
      <x:c r="J822" s="95" t="str">
        <x:v>接入外部验证器、结构化输出、置信校准、拒答、权限与人工门禁。</x:v>
      </x:c>
      <x:c r="K822" s="95" t="str">
        <x:v>可直接支撑当前EIS-only闭环。</x:v>
      </x:c>
      <x:c r="L822" s="95" t="str">
        <x:v>M3 研究储备</x:v>
      </x:c>
      <x:c r="M822" s="95" t="str">
        <x:v>条件具备后</x:v>
      </x:c>
      <x:c r="N822" s="95" t="str">
        <x:v>P1</x:v>
      </x:c>
      <x:c r="O822" s="95" t="str">
        <x:v>https://www.nature.com/articles/s41467-025-64105-7</x:v>
      </x:c>
      <x:c r="P822" s="96" t="str">
        <x:v>待评审</x:v>
      </x:c>
    </x:row>
    <x:row r="823">
      <x:c r="A823" s="94" t="str">
        <x:v>T0819</x:v>
      </x:c>
      <x:c r="B823" s="95" t="str">
        <x:v>科学智能体与多智能体</x:v>
      </x:c>
      <x:c r="C823" s="95" t="str">
        <x:v>多智能体与人机协同</x:v>
      </x:c>
      <x:c r="D823" s="95" t="str">
        <x:v>研究储备</x:v>
      </x:c>
      <x:c r="E823" s="100" t="n">
        <x:v>6</x:v>
      </x:c>
      <x:c r="F823" s="95" t="str">
        <x:v>两线共用</x:v>
      </x:c>
      <x:c r="G823" s="95" t="str">
        <x:v>E 可信智能体与控制架构</x:v>
      </x:c>
      <x:c r="H823" s="95" t="str">
        <x:v>共识</x:v>
      </x:c>
      <x:c r="I823" s="95" t="str">
        <x:v>设置独立批评/验证角色和高风险审批，避免单一模型自证。</x:v>
      </x:c>
      <x:c r="J823" s="95" t="str">
        <x:v>接入外部验证器、结构化输出、置信校准、拒答、权限与人工门禁。</x:v>
      </x:c>
      <x:c r="K823" s="95" t="str">
        <x:v>可直接支撑当前EIS-only闭环。</x:v>
      </x:c>
      <x:c r="L823" s="95" t="str">
        <x:v>M3 研究储备</x:v>
      </x:c>
      <x:c r="M823" s="95" t="str">
        <x:v>条件具备后</x:v>
      </x:c>
      <x:c r="N823" s="95" t="str">
        <x:v>P1</x:v>
      </x:c>
      <x:c r="O823" s="95" t="str">
        <x:v>https://a2aproject.github.io/A2A/latest/</x:v>
      </x:c>
      <x:c r="P823" s="96" t="str">
        <x:v>待评审</x:v>
      </x:c>
    </x:row>
    <x:row r="824">
      <x:c r="A824" s="94" t="str">
        <x:v>T0820</x:v>
      </x:c>
      <x:c r="B824" s="95" t="str">
        <x:v>科学智能体与多智能体</x:v>
      </x:c>
      <x:c r="C824" s="95" t="str">
        <x:v>多智能体与人机协同</x:v>
      </x:c>
      <x:c r="D824" s="95" t="str">
        <x:v>研究储备</x:v>
      </x:c>
      <x:c r="E824" s="100" t="n">
        <x:v>6</x:v>
      </x:c>
      <x:c r="F824" s="95" t="str">
        <x:v>两线共用</x:v>
      </x:c>
      <x:c r="G824" s="95" t="str">
        <x:v>E 可信智能体与控制架构</x:v>
      </x:c>
      <x:c r="H824" s="95" t="str">
        <x:v>投票</x:v>
      </x:c>
      <x:c r="I824" s="95" t="str">
        <x:v>设置独立批评/验证角色和高风险审批，避免单一模型自证。</x:v>
      </x:c>
      <x:c r="J824" s="95" t="str">
        <x:v>接入外部验证器、结构化输出、置信校准、拒答、权限与人工门禁。</x:v>
      </x:c>
      <x:c r="K824" s="95" t="str">
        <x:v>可直接支撑当前EIS-only闭环。</x:v>
      </x:c>
      <x:c r="L824" s="95" t="str">
        <x:v>M3 研究储备</x:v>
      </x:c>
      <x:c r="M824" s="95" t="str">
        <x:v>条件具备后</x:v>
      </x:c>
      <x:c r="N824" s="95" t="str">
        <x:v>P1</x:v>
      </x:c>
      <x:c r="O824" s="95" t="str">
        <x:v>https://pubs.acs.org/doi/10.1021/jacs.4c17738</x:v>
      </x:c>
      <x:c r="P824" s="96" t="str">
        <x:v>待评审</x:v>
      </x:c>
    </x:row>
    <x:row r="825">
      <x:c r="A825" s="94" t="str">
        <x:v>T0821</x:v>
      </x:c>
      <x:c r="B825" s="95" t="str">
        <x:v>科学智能体与多智能体</x:v>
      </x:c>
      <x:c r="C825" s="95" t="str">
        <x:v>多智能体与人机协同</x:v>
      </x:c>
      <x:c r="D825" s="95" t="str">
        <x:v>研究储备</x:v>
      </x:c>
      <x:c r="E825" s="100" t="n">
        <x:v>6</x:v>
      </x:c>
      <x:c r="F825" s="95" t="str">
        <x:v>两线共用</x:v>
      </x:c>
      <x:c r="G825" s="95" t="str">
        <x:v>E 可信智能体与控制架构</x:v>
      </x:c>
      <x:c r="H825" s="95" t="str">
        <x:v>辩论</x:v>
      </x:c>
      <x:c r="I825" s="95" t="str">
        <x:v>设置独立批评/验证角色和高风险审批，避免单一模型自证。</x:v>
      </x:c>
      <x:c r="J825" s="95" t="str">
        <x:v>接入外部验证器、结构化输出、置信校准、拒答、权限与人工门禁。</x:v>
      </x:c>
      <x:c r="K825" s="95" t="str">
        <x:v>可直接支撑当前EIS-only闭环。</x:v>
      </x:c>
      <x:c r="L825" s="95" t="str">
        <x:v>M3 研究储备</x:v>
      </x:c>
      <x:c r="M825" s="95" t="str">
        <x:v>条件具备后</x:v>
      </x:c>
      <x:c r="N825" s="95" t="str">
        <x:v>P1</x:v>
      </x:c>
      <x:c r="O825" s="95" t="str">
        <x:v>https://www.nature.com/articles/s41467-025-64105-7</x:v>
      </x:c>
      <x:c r="P825" s="96" t="str">
        <x:v>待评审</x:v>
      </x:c>
    </x:row>
    <x:row r="826">
      <x:c r="A826" s="94" t="str">
        <x:v>T0822</x:v>
      </x:c>
      <x:c r="B826" s="95" t="str">
        <x:v>科学智能体与多智能体</x:v>
      </x:c>
      <x:c r="C826" s="95" t="str">
        <x:v>多智能体与人机协同</x:v>
      </x:c>
      <x:c r="D826" s="95" t="str">
        <x:v>研究储备</x:v>
      </x:c>
      <x:c r="E826" s="100" t="n">
        <x:v>6</x:v>
      </x:c>
      <x:c r="F826" s="95" t="str">
        <x:v>两线共用</x:v>
      </x:c>
      <x:c r="G826" s="95" t="str">
        <x:v>E 可信智能体与控制架构</x:v>
      </x:c>
      <x:c r="H826" s="95" t="str">
        <x:v>基于角色的权限</x:v>
      </x:c>
      <x:c r="I826" s="95" t="str">
        <x:v>设置独立批评/验证角色和高风险审批，避免单一模型自证。</x:v>
      </x:c>
      <x:c r="J826" s="95" t="str">
        <x:v>接入外部验证器、结构化输出、置信校准、拒答、权限与人工门禁。</x:v>
      </x:c>
      <x:c r="K826" s="95" t="str">
        <x:v>可直接支撑当前EIS-only闭环。</x:v>
      </x:c>
      <x:c r="L826" s="95" t="str">
        <x:v>M3 研究储备</x:v>
      </x:c>
      <x:c r="M826" s="95" t="str">
        <x:v>条件具备后</x:v>
      </x:c>
      <x:c r="N826" s="95" t="str">
        <x:v>P1</x:v>
      </x:c>
      <x:c r="O826" s="95" t="str">
        <x:v>https://a2aproject.github.io/A2A/latest/</x:v>
      </x:c>
      <x:c r="P826" s="96" t="str">
        <x:v>待评审</x:v>
      </x:c>
    </x:row>
    <x:row r="827">
      <x:c r="A827" s="94" t="str">
        <x:v>T0823</x:v>
      </x:c>
      <x:c r="B827" s="95" t="str">
        <x:v>科学智能体与多智能体</x:v>
      </x:c>
      <x:c r="C827" s="95" t="str">
        <x:v>多智能体与人机协同</x:v>
      </x:c>
      <x:c r="D827" s="95" t="str">
        <x:v>研究储备</x:v>
      </x:c>
      <x:c r="E827" s="100" t="n">
        <x:v>6</x:v>
      </x:c>
      <x:c r="F827" s="95" t="str">
        <x:v>两线共用</x:v>
      </x:c>
      <x:c r="G827" s="95" t="str">
        <x:v>E 可信智能体与控制架构</x:v>
      </x:c>
      <x:c r="H827" s="95" t="str">
        <x:v>协商</x:v>
      </x:c>
      <x:c r="I827" s="95" t="str">
        <x:v>设置独立批评/验证角色和高风险审批，避免单一模型自证。</x:v>
      </x:c>
      <x:c r="J827" s="95" t="str">
        <x:v>接入外部验证器、结构化输出、置信校准、拒答、权限与人工门禁。</x:v>
      </x:c>
      <x:c r="K827" s="95" t="str">
        <x:v>可直接支撑当前EIS-only闭环。</x:v>
      </x:c>
      <x:c r="L827" s="95" t="str">
        <x:v>M3 研究储备</x:v>
      </x:c>
      <x:c r="M827" s="95" t="str">
        <x:v>条件具备后</x:v>
      </x:c>
      <x:c r="N827" s="95" t="str">
        <x:v>P1</x:v>
      </x:c>
      <x:c r="O827" s="95" t="str">
        <x:v>https://pubs.acs.org/doi/10.1021/jacs.4c17738</x:v>
      </x:c>
      <x:c r="P827" s="96" t="str">
        <x:v>待评审</x:v>
      </x:c>
    </x:row>
    <x:row r="828">
      <x:c r="A828" s="94" t="str">
        <x:v>T0824</x:v>
      </x:c>
      <x:c r="B828" s="95" t="str">
        <x:v>科学智能体与多智能体</x:v>
      </x:c>
      <x:c r="C828" s="95" t="str">
        <x:v>多智能体与人机协同</x:v>
      </x:c>
      <x:c r="D828" s="95" t="str">
        <x:v>研究储备</x:v>
      </x:c>
      <x:c r="E828" s="100" t="n">
        <x:v>6</x:v>
      </x:c>
      <x:c r="F828" s="95" t="str">
        <x:v>两线共用</x:v>
      </x:c>
      <x:c r="G828" s="95" t="str">
        <x:v>E 可信智能体与控制架构</x:v>
      </x:c>
      <x:c r="H828" s="95" t="str">
        <x:v>冲突解决</x:v>
      </x:c>
      <x:c r="I828" s="95" t="str">
        <x:v>设置独立批评/验证角色和高风险审批，避免单一模型自证。</x:v>
      </x:c>
      <x:c r="J828" s="95" t="str">
        <x:v>接入外部验证器、结构化输出、置信校准、拒答、权限与人工门禁。</x:v>
      </x:c>
      <x:c r="K828" s="95" t="str">
        <x:v>可直接支撑当前EIS-only闭环。</x:v>
      </x:c>
      <x:c r="L828" s="95" t="str">
        <x:v>M3 研究储备</x:v>
      </x:c>
      <x:c r="M828" s="95" t="str">
        <x:v>条件具备后</x:v>
      </x:c>
      <x:c r="N828" s="95" t="str">
        <x:v>P1</x:v>
      </x:c>
      <x:c r="O828" s="95" t="str">
        <x:v>https://www.nature.com/articles/s41467-025-64105-7</x:v>
      </x:c>
      <x:c r="P828" s="96" t="str">
        <x:v>待评审</x:v>
      </x:c>
    </x:row>
    <x:row r="829">
      <x:c r="A829" s="94" t="str">
        <x:v>T0825</x:v>
      </x:c>
      <x:c r="B829" s="95" t="str">
        <x:v>科学智能体与多智能体</x:v>
      </x:c>
      <x:c r="C829" s="95" t="str">
        <x:v>多智能体与人机协同</x:v>
      </x:c>
      <x:c r="D829" s="95" t="str">
        <x:v>研究储备</x:v>
      </x:c>
      <x:c r="E829" s="100" t="n">
        <x:v>6</x:v>
      </x:c>
      <x:c r="F829" s="95" t="str">
        <x:v>两线共用</x:v>
      </x:c>
      <x:c r="G829" s="95" t="str">
        <x:v>E 可信智能体与控制架构</x:v>
      </x:c>
      <x:c r="H829" s="95" t="str">
        <x:v>任务分配</x:v>
      </x:c>
      <x:c r="I829" s="95" t="str">
        <x:v>设置独立批评/验证角色和高风险审批，避免单一模型自证。</x:v>
      </x:c>
      <x:c r="J829" s="95" t="str">
        <x:v>接入外部验证器、结构化输出、置信校准、拒答、权限与人工门禁。</x:v>
      </x:c>
      <x:c r="K829" s="95" t="str">
        <x:v>可直接支撑当前EIS-only闭环。</x:v>
      </x:c>
      <x:c r="L829" s="95" t="str">
        <x:v>M3 研究储备</x:v>
      </x:c>
      <x:c r="M829" s="95" t="str">
        <x:v>条件具备后</x:v>
      </x:c>
      <x:c r="N829" s="95" t="str">
        <x:v>P1</x:v>
      </x:c>
      <x:c r="O829" s="95" t="str">
        <x:v>https://a2aproject.github.io/A2A/latest/</x:v>
      </x:c>
      <x:c r="P829" s="96" t="str">
        <x:v>待评审</x:v>
      </x:c>
    </x:row>
    <x:row r="830">
      <x:c r="A830" s="94" t="str">
        <x:v>T0826</x:v>
      </x:c>
      <x:c r="B830" s="95" t="str">
        <x:v>科学智能体与多智能体</x:v>
      </x:c>
      <x:c r="C830" s="95" t="str">
        <x:v>多智能体与人机协同</x:v>
      </x:c>
      <x:c r="D830" s="95" t="str">
        <x:v>研究储备</x:v>
      </x:c>
      <x:c r="E830" s="100" t="n">
        <x:v>6</x:v>
      </x:c>
      <x:c r="F830" s="95" t="str">
        <x:v>两线共用</x:v>
      </x:c>
      <x:c r="G830" s="95" t="str">
        <x:v>E 可信智能体与控制架构</x:v>
      </x:c>
      <x:c r="H830" s="95" t="str">
        <x:v>负载均衡</x:v>
      </x:c>
      <x:c r="I830" s="95" t="str">
        <x:v>设置独立批评/验证角色和高风险审批，避免单一模型自证。</x:v>
      </x:c>
      <x:c r="J830" s="95" t="str">
        <x:v>接入外部验证器、结构化输出、置信校准、拒答、权限与人工门禁。</x:v>
      </x:c>
      <x:c r="K830" s="95" t="str">
        <x:v>可直接支撑当前EIS-only闭环。</x:v>
      </x:c>
      <x:c r="L830" s="95" t="str">
        <x:v>M3 研究储备</x:v>
      </x:c>
      <x:c r="M830" s="95" t="str">
        <x:v>条件具备后</x:v>
      </x:c>
      <x:c r="N830" s="95" t="str">
        <x:v>P1</x:v>
      </x:c>
      <x:c r="O830" s="95" t="str">
        <x:v>https://pubs.acs.org/doi/10.1021/jacs.4c17738</x:v>
      </x:c>
      <x:c r="P830" s="96" t="str">
        <x:v>待评审</x:v>
      </x:c>
    </x:row>
    <x:row r="831">
      <x:c r="A831" s="94" t="str">
        <x:v>T0827</x:v>
      </x:c>
      <x:c r="B831" s="95" t="str">
        <x:v>科学智能体与多智能体</x:v>
      </x:c>
      <x:c r="C831" s="95" t="str">
        <x:v>多智能体与人机协同</x:v>
      </x:c>
      <x:c r="D831" s="95" t="str">
        <x:v>研究储备</x:v>
      </x:c>
      <x:c r="E831" s="100" t="n">
        <x:v>6</x:v>
      </x:c>
      <x:c r="F831" s="95" t="str">
        <x:v>两线共用</x:v>
      </x:c>
      <x:c r="G831" s="95" t="str">
        <x:v>E 可信智能体与控制架构</x:v>
      </x:c>
      <x:c r="H831" s="95" t="str">
        <x:v>故障转移</x:v>
      </x:c>
      <x:c r="I831" s="95" t="str">
        <x:v>设置独立批评/验证角色和高风险审批，避免单一模型自证。</x:v>
      </x:c>
      <x:c r="J831" s="95" t="str">
        <x:v>接入外部验证器、结构化输出、置信校准、拒答、权限与人工门禁。</x:v>
      </x:c>
      <x:c r="K831" s="95" t="str">
        <x:v>可直接支撑当前EIS-only闭环。</x:v>
      </x:c>
      <x:c r="L831" s="95" t="str">
        <x:v>M3 研究储备</x:v>
      </x:c>
      <x:c r="M831" s="95" t="str">
        <x:v>条件具备后</x:v>
      </x:c>
      <x:c r="N831" s="95" t="str">
        <x:v>P1</x:v>
      </x:c>
      <x:c r="O831" s="95" t="str">
        <x:v>https://www.nature.com/articles/s41467-025-64105-7</x:v>
      </x:c>
      <x:c r="P831" s="96" t="str">
        <x:v>待评审</x:v>
      </x:c>
    </x:row>
    <x:row r="832">
      <x:c r="A832" s="94" t="str">
        <x:v>T0828</x:v>
      </x:c>
      <x:c r="B832" s="95" t="str">
        <x:v>科学智能体与多智能体</x:v>
      </x:c>
      <x:c r="C832" s="95" t="str">
        <x:v>多智能体与人机协同</x:v>
      </x:c>
      <x:c r="D832" s="95" t="str">
        <x:v>关键支撑</x:v>
      </x:c>
      <x:c r="E832" s="100" t="n">
        <x:v>9</x:v>
      </x:c>
      <x:c r="F832" s="95" t="str">
        <x:v>两线共用</x:v>
      </x:c>
      <x:c r="G832" s="95" t="str">
        <x:v>E 可信智能体与控制架构</x:v>
      </x:c>
      <x:c r="H832" s="95" t="str">
        <x:v>信任评分</x:v>
      </x:c>
      <x:c r="I832" s="95" t="str">
        <x:v>设置独立批评/验证角色和高风险审批，避免单一模型自证。</x:v>
      </x:c>
      <x:c r="J832" s="95" t="str">
        <x:v>接入外部验证器、结构化输出、置信校准、拒答、权限与人工门禁。</x:v>
      </x:c>
      <x:c r="K832" s="95" t="str">
        <x:v>可直接支撑当前EIS-only闭环。</x:v>
      </x:c>
      <x:c r="L832" s="95" t="str">
        <x:v>M2 扩展与复现（5–12月）</x:v>
      </x:c>
      <x:c r="M832" s="95" t="str">
        <x:v>按瓶颈接入</x:v>
      </x:c>
      <x:c r="N832" s="95" t="str">
        <x:v>P1</x:v>
      </x:c>
      <x:c r="O832" s="95" t="str">
        <x:v>https://a2aproject.github.io/A2A/latest/</x:v>
      </x:c>
      <x:c r="P832" s="96" t="str">
        <x:v>待评审</x:v>
      </x:c>
    </x:row>
    <x:row r="833">
      <x:c r="A833" s="94" t="str">
        <x:v>T0829</x:v>
      </x:c>
      <x:c r="B833" s="95" t="str">
        <x:v>科学智能体与多智能体</x:v>
      </x:c>
      <x:c r="C833" s="95" t="str">
        <x:v>多智能体与人机协同</x:v>
      </x:c>
      <x:c r="D833" s="95" t="str">
        <x:v>研究储备</x:v>
      </x:c>
      <x:c r="E833" s="100" t="n">
        <x:v>6</x:v>
      </x:c>
      <x:c r="F833" s="95" t="str">
        <x:v>两线共用</x:v>
      </x:c>
      <x:c r="G833" s="95" t="str">
        <x:v>E 可信智能体与控制架构</x:v>
      </x:c>
      <x:c r="H833" s="95" t="str">
        <x:v>声誉机制</x:v>
      </x:c>
      <x:c r="I833" s="95" t="str">
        <x:v>设置独立批评/验证角色和高风险审批，避免单一模型自证。</x:v>
      </x:c>
      <x:c r="J833" s="95" t="str">
        <x:v>接入外部验证器、结构化输出、置信校准、拒答、权限与人工门禁。</x:v>
      </x:c>
      <x:c r="K833" s="95" t="str">
        <x:v>可直接支撑当前EIS-only闭环。</x:v>
      </x:c>
      <x:c r="L833" s="95" t="str">
        <x:v>M3 研究储备</x:v>
      </x:c>
      <x:c r="M833" s="95" t="str">
        <x:v>条件具备后</x:v>
      </x:c>
      <x:c r="N833" s="95" t="str">
        <x:v>P2</x:v>
      </x:c>
      <x:c r="O833" s="95" t="str">
        <x:v>https://pubs.acs.org/doi/10.1021/jacs.4c17738</x:v>
      </x:c>
      <x:c r="P833" s="96" t="str">
        <x:v>待评审</x:v>
      </x:c>
    </x:row>
    <x:row r="834">
      <x:c r="A834" s="94" t="str">
        <x:v>T0830</x:v>
      </x:c>
      <x:c r="B834" s="95" t="str">
        <x:v>科学智能体与多智能体</x:v>
      </x:c>
      <x:c r="C834" s="95" t="str">
        <x:v>多智能体与人机协同</x:v>
      </x:c>
      <x:c r="D834" s="95" t="str">
        <x:v>关键支撑</x:v>
      </x:c>
      <x:c r="E834" s="100" t="n">
        <x:v>9</x:v>
      </x:c>
      <x:c r="F834" s="95" t="str">
        <x:v>两线共用</x:v>
      </x:c>
      <x:c r="G834" s="95" t="str">
        <x:v>E 可信智能体与控制架构</x:v>
      </x:c>
      <x:c r="H834" s="95" t="str">
        <x:v>消息溯源</x:v>
      </x:c>
      <x:c r="I834" s="95" t="str">
        <x:v>设置独立批评/验证角色和高风险审批，避免单一模型自证。</x:v>
      </x:c>
      <x:c r="J834" s="95" t="str">
        <x:v>接入外部验证器、结构化输出、置信校准、拒答、权限与人工门禁。</x:v>
      </x:c>
      <x:c r="K834" s="95" t="str">
        <x:v>可直接支撑当前EIS-only闭环。</x:v>
      </x:c>
      <x:c r="L834" s="95" t="str">
        <x:v>M2 扩展与复现（5–12月）</x:v>
      </x:c>
      <x:c r="M834" s="95" t="str">
        <x:v>按瓶颈接入</x:v>
      </x:c>
      <x:c r="N834" s="95" t="str">
        <x:v>P2</x:v>
      </x:c>
      <x:c r="O834" s="95" t="str">
        <x:v>https://www.nature.com/articles/s41467-025-64105-7</x:v>
      </x:c>
      <x:c r="P834" s="96" t="str">
        <x:v>待评审</x:v>
      </x:c>
    </x:row>
    <x:row r="835">
      <x:c r="A835" s="94" t="str">
        <x:v>T0831</x:v>
      </x:c>
      <x:c r="B835" s="95" t="str">
        <x:v>科学智能体与多智能体</x:v>
      </x:c>
      <x:c r="C835" s="95" t="str">
        <x:v>多智能体与人机协同</x:v>
      </x:c>
      <x:c r="D835" s="95" t="str">
        <x:v>研究储备</x:v>
      </x:c>
      <x:c r="E835" s="100" t="n">
        <x:v>6</x:v>
      </x:c>
      <x:c r="F835" s="95" t="str">
        <x:v>两线共用</x:v>
      </x:c>
      <x:c r="G835" s="95" t="str">
        <x:v>E 可信智能体与控制架构</x:v>
      </x:c>
      <x:c r="H835" s="95" t="str">
        <x:v>通信压缩</x:v>
      </x:c>
      <x:c r="I835" s="95" t="str">
        <x:v>设置独立批评/验证角色和高风险审批，避免单一模型自证。</x:v>
      </x:c>
      <x:c r="J835" s="95" t="str">
        <x:v>接入外部验证器、结构化输出、置信校准、拒答、权限与人工门禁。</x:v>
      </x:c>
      <x:c r="K835" s="95" t="str">
        <x:v>可直接支撑当前EIS-only闭环。</x:v>
      </x:c>
      <x:c r="L835" s="95" t="str">
        <x:v>M3 研究储备</x:v>
      </x:c>
      <x:c r="M835" s="95" t="str">
        <x:v>条件具备后</x:v>
      </x:c>
      <x:c r="N835" s="95" t="str">
        <x:v>P2</x:v>
      </x:c>
      <x:c r="O835" s="95" t="str">
        <x:v>https://a2aproject.github.io/A2A/latest/</x:v>
      </x:c>
      <x:c r="P835" s="96" t="str">
        <x:v>待评审</x:v>
      </x:c>
    </x:row>
    <x:row r="836">
      <x:c r="A836" s="94" t="str">
        <x:v>T0832</x:v>
      </x:c>
      <x:c r="B836" s="95" t="str">
        <x:v>科学智能体与多智能体</x:v>
      </x:c>
      <x:c r="C836" s="95" t="str">
        <x:v>多智能体与人机协同</x:v>
      </x:c>
      <x:c r="D836" s="95" t="str">
        <x:v>研究储备</x:v>
      </x:c>
      <x:c r="E836" s="100" t="n">
        <x:v>6</x:v>
      </x:c>
      <x:c r="F836" s="95" t="str">
        <x:v>两线共用</x:v>
      </x:c>
      <x:c r="G836" s="95" t="str">
        <x:v>E 可信智能体与控制架构</x:v>
      </x:c>
      <x:c r="H836" s="95" t="str">
        <x:v>上下文隔离</x:v>
      </x:c>
      <x:c r="I836" s="95" t="str">
        <x:v>设置独立批评/验证角色和高风险审批，避免单一模型自证。</x:v>
      </x:c>
      <x:c r="J836" s="95" t="str">
        <x:v>接入外部验证器、结构化输出、置信校准、拒答、权限与人工门禁。</x:v>
      </x:c>
      <x:c r="K836" s="95" t="str">
        <x:v>可直接支撑当前EIS-only闭环。</x:v>
      </x:c>
      <x:c r="L836" s="95" t="str">
        <x:v>M3 研究储备</x:v>
      </x:c>
      <x:c r="M836" s="95" t="str">
        <x:v>条件具备后</x:v>
      </x:c>
      <x:c r="N836" s="95" t="str">
        <x:v>P2</x:v>
      </x:c>
      <x:c r="O836" s="95" t="str">
        <x:v>https://pubs.acs.org/doi/10.1021/jacs.4c17738</x:v>
      </x:c>
      <x:c r="P836" s="96" t="str">
        <x:v>待评审</x:v>
      </x:c>
    </x:row>
    <x:row r="837">
      <x:c r="A837" s="94" t="str">
        <x:v>T0833</x:v>
      </x:c>
      <x:c r="B837" s="95" t="str">
        <x:v>科学智能体与多智能体</x:v>
      </x:c>
      <x:c r="C837" s="95" t="str">
        <x:v>多智能体与人机协同</x:v>
      </x:c>
      <x:c r="D837" s="95" t="str">
        <x:v>研究储备</x:v>
      </x:c>
      <x:c r="E837" s="100" t="n">
        <x:v>6</x:v>
      </x:c>
      <x:c r="F837" s="95" t="str">
        <x:v>两线共用</x:v>
      </x:c>
      <x:c r="G837" s="95" t="str">
        <x:v>E 可信智能体与控制架构</x:v>
      </x:c>
      <x:c r="H837" s="95" t="str">
        <x:v>Human-in-the-loop审批</x:v>
      </x:c>
      <x:c r="I837" s="95" t="str">
        <x:v>设置独立批评/验证角色和高风险审批，避免单一模型自证。</x:v>
      </x:c>
      <x:c r="J837" s="95" t="str">
        <x:v>接入外部验证器、结构化输出、置信校准、拒答、权限与人工门禁。</x:v>
      </x:c>
      <x:c r="K837" s="95" t="str">
        <x:v>可直接支撑当前EIS-only闭环。</x:v>
      </x:c>
      <x:c r="L837" s="95" t="str">
        <x:v>M3 研究储备</x:v>
      </x:c>
      <x:c r="M837" s="95" t="str">
        <x:v>条件具备后</x:v>
      </x:c>
      <x:c r="N837" s="95" t="str">
        <x:v>P2</x:v>
      </x:c>
      <x:c r="O837" s="95" t="str">
        <x:v>https://www.nature.com/articles/s41467-025-64105-7</x:v>
      </x:c>
      <x:c r="P837" s="96" t="str">
        <x:v>待评审</x:v>
      </x:c>
    </x:row>
    <x:row r="838">
      <x:c r="A838" s="94" t="str">
        <x:v>T0834</x:v>
      </x:c>
      <x:c r="B838" s="95" t="str">
        <x:v>科学智能体与多智能体</x:v>
      </x:c>
      <x:c r="C838" s="95" t="str">
        <x:v>多智能体与人机协同</x:v>
      </x:c>
      <x:c r="D838" s="95" t="str">
        <x:v>研究储备</x:v>
      </x:c>
      <x:c r="E838" s="100" t="n">
        <x:v>6</x:v>
      </x:c>
      <x:c r="F838" s="95" t="str">
        <x:v>两线共用</x:v>
      </x:c>
      <x:c r="G838" s="95" t="str">
        <x:v>E 可信智能体与控制架构</x:v>
      </x:c>
      <x:c r="H838" s="95" t="str">
        <x:v>Human-on-the-loop监控</x:v>
      </x:c>
      <x:c r="I838" s="95" t="str">
        <x:v>设置独立批评/验证角色和高风险审批，避免单一模型自证。</x:v>
      </x:c>
      <x:c r="J838" s="95" t="str">
        <x:v>接入外部验证器、结构化输出、置信校准、拒答、权限与人工门禁。</x:v>
      </x:c>
      <x:c r="K838" s="95" t="str">
        <x:v>可直接支撑当前EIS-only闭环。</x:v>
      </x:c>
      <x:c r="L838" s="95" t="str">
        <x:v>M3 研究储备</x:v>
      </x:c>
      <x:c r="M838" s="95" t="str">
        <x:v>条件具备后</x:v>
      </x:c>
      <x:c r="N838" s="95" t="str">
        <x:v>P2</x:v>
      </x:c>
      <x:c r="O838" s="95" t="str">
        <x:v>https://a2aproject.github.io/A2A/latest/</x:v>
      </x:c>
      <x:c r="P838" s="96" t="str">
        <x:v>待评审</x:v>
      </x:c>
    </x:row>
    <x:row r="839">
      <x:c r="A839" s="94" t="str">
        <x:v>T0835</x:v>
      </x:c>
      <x:c r="B839" s="95" t="str">
        <x:v>科学智能体与多智能体</x:v>
      </x:c>
      <x:c r="C839" s="95" t="str">
        <x:v>多智能体与人机协同</x:v>
      </x:c>
      <x:c r="D839" s="95" t="str">
        <x:v>核心必需</x:v>
      </x:c>
      <x:c r="E839" s="100" t="n">
        <x:v>12</x:v>
      </x:c>
      <x:c r="F839" s="95" t="str">
        <x:v>两线共用</x:v>
      </x:c>
      <x:c r="G839" s="95" t="str">
        <x:v>E 可信智能体与控制架构</x:v>
      </x:c>
      <x:c r="H839" s="95" t="str">
        <x:v>审批闸门</x:v>
      </x:c>
      <x:c r="I839" s="95" t="str">
        <x:v>设置独立批评/验证角色和高风险审批，避免单一模型自证。</x:v>
      </x:c>
      <x:c r="J839" s="95" t="str">
        <x:v>接入外部验证器、结构化输出、置信校准、拒答、权限与人工门禁。</x:v>
      </x:c>
      <x:c r="K839" s="95" t="str">
        <x:v>可直接支撑当前EIS-only闭环。</x:v>
      </x:c>
      <x:c r="L839" s="95" t="str">
        <x:v>M0 主流程接入（0–2月）</x:v>
      </x:c>
      <x:c r="M839" s="95" t="str">
        <x:v>首批接入</x:v>
      </x:c>
      <x:c r="N839" s="95" t="str">
        <x:v>P2</x:v>
      </x:c>
      <x:c r="O839" s="95" t="str">
        <x:v>https://pubs.acs.org/doi/10.1021/jacs.4c17738</x:v>
      </x:c>
      <x:c r="P839" s="96" t="str">
        <x:v>待评审</x:v>
      </x:c>
    </x:row>
    <x:row r="840">
      <x:c r="A840" s="94" t="str">
        <x:v>T0836</x:v>
      </x:c>
      <x:c r="B840" s="95" t="str">
        <x:v>科学智能体与多智能体</x:v>
      </x:c>
      <x:c r="C840" s="95" t="str">
        <x:v>多智能体与人机协同</x:v>
      </x:c>
      <x:c r="D840" s="95" t="str">
        <x:v>关键支撑</x:v>
      </x:c>
      <x:c r="E840" s="100" t="n">
        <x:v>9</x:v>
      </x:c>
      <x:c r="F840" s="95" t="str">
        <x:v>两线共用</x:v>
      </x:c>
      <x:c r="G840" s="95" t="str">
        <x:v>E 可信智能体与控制架构</x:v>
      </x:c>
      <x:c r="H840" s="95" t="str">
        <x:v>风险升级</x:v>
      </x:c>
      <x:c r="I840" s="95" t="str">
        <x:v>设置独立批评/验证角色和高风险审批，避免单一模型自证。</x:v>
      </x:c>
      <x:c r="J840" s="95" t="str">
        <x:v>接入外部验证器、结构化输出、置信校准、拒答、权限与人工门禁。</x:v>
      </x:c>
      <x:c r="K840" s="95" t="str">
        <x:v>可直接支撑当前EIS-only闭环。</x:v>
      </x:c>
      <x:c r="L840" s="95" t="str">
        <x:v>M2 扩展与复现（5–12月）</x:v>
      </x:c>
      <x:c r="M840" s="95" t="str">
        <x:v>按瓶颈接入</x:v>
      </x:c>
      <x:c r="N840" s="95" t="str">
        <x:v>P2</x:v>
      </x:c>
      <x:c r="O840" s="95" t="str">
        <x:v>https://www.nature.com/articles/s41467-025-64105-7</x:v>
      </x:c>
      <x:c r="P840" s="96" t="str">
        <x:v>待评审</x:v>
      </x:c>
    </x:row>
    <x:row r="841">
      <x:c r="A841" s="94" t="str">
        <x:v>T0837</x:v>
      </x:c>
      <x:c r="B841" s="95" t="str">
        <x:v>科学智能体与多智能体</x:v>
      </x:c>
      <x:c r="C841" s="95" t="str">
        <x:v>多智能体与人机协同</x:v>
      </x:c>
      <x:c r="D841" s="95" t="str">
        <x:v>关键支撑</x:v>
      </x:c>
      <x:c r="E841" s="100" t="n">
        <x:v>9</x:v>
      </x:c>
      <x:c r="F841" s="95" t="str">
        <x:v>两线共用</x:v>
      </x:c>
      <x:c r="G841" s="95" t="str">
        <x:v>E 可信智能体与控制架构</x:v>
      </x:c>
      <x:c r="H841" s="95" t="str">
        <x:v>可解释交接</x:v>
      </x:c>
      <x:c r="I841" s="95" t="str">
        <x:v>设置独立批评/验证角色和高风险审批，避免单一模型自证。</x:v>
      </x:c>
      <x:c r="J841" s="95" t="str">
        <x:v>接入外部验证器、结构化输出、置信校准、拒答、权限与人工门禁。</x:v>
      </x:c>
      <x:c r="K841" s="95" t="str">
        <x:v>可直接支撑当前EIS-only闭环。</x:v>
      </x:c>
      <x:c r="L841" s="95" t="str">
        <x:v>M2 扩展与复现（5–12月）</x:v>
      </x:c>
      <x:c r="M841" s="95" t="str">
        <x:v>按瓶颈接入</x:v>
      </x:c>
      <x:c r="N841" s="95" t="str">
        <x:v>P2</x:v>
      </x:c>
      <x:c r="O841" s="95" t="str">
        <x:v>https://a2aproject.github.io/A2A/latest/</x:v>
      </x:c>
      <x:c r="P841" s="96" t="str">
        <x:v>待评审</x:v>
      </x:c>
    </x:row>
    <x:row r="842">
      <x:c r="A842" s="94" t="str">
        <x:v>T0838</x:v>
      </x:c>
      <x:c r="B842" s="95" t="str">
        <x:v>科学智能体与多智能体</x:v>
      </x:c>
      <x:c r="C842" s="95" t="str">
        <x:v>多智能体与人机协同</x:v>
      </x:c>
      <x:c r="D842" s="95" t="str">
        <x:v>研究储备</x:v>
      </x:c>
      <x:c r="E842" s="100" t="n">
        <x:v>6</x:v>
      </x:c>
      <x:c r="F842" s="95" t="str">
        <x:v>两线共用</x:v>
      </x:c>
      <x:c r="G842" s="95" t="str">
        <x:v>E 可信智能体与控制架构</x:v>
      </x:c>
      <x:c r="H842" s="95" t="str">
        <x:v>混合主动协作</x:v>
      </x:c>
      <x:c r="I842" s="95" t="str">
        <x:v>设置独立批评/验证角色和高风险审批，避免单一模型自证。</x:v>
      </x:c>
      <x:c r="J842" s="95" t="str">
        <x:v>接入外部验证器、结构化输出、置信校准、拒答、权限与人工门禁。</x:v>
      </x:c>
      <x:c r="K842" s="95" t="str">
        <x:v>可直接支撑当前EIS-only闭环。</x:v>
      </x:c>
      <x:c r="L842" s="95" t="str">
        <x:v>M3 研究储备</x:v>
      </x:c>
      <x:c r="M842" s="95" t="str">
        <x:v>条件具备后</x:v>
      </x:c>
      <x:c r="N842" s="95" t="str">
        <x:v>P2</x:v>
      </x:c>
      <x:c r="O842" s="95" t="str">
        <x:v>https://pubs.acs.org/doi/10.1021/jacs.4c17738</x:v>
      </x:c>
      <x:c r="P842" s="96" t="str">
        <x:v>待评审</x:v>
      </x:c>
    </x:row>
    <x:row r="843">
      <x:c r="A843" s="94" t="str">
        <x:v>T0839</x:v>
      </x:c>
      <x:c r="B843" s="95" t="str">
        <x:v>科学智能体与多智能体</x:v>
      </x:c>
      <x:c r="C843" s="95" t="str">
        <x:v>多智能体与人机协同</x:v>
      </x:c>
      <x:c r="D843" s="95" t="str">
        <x:v>关键支撑</x:v>
      </x:c>
      <x:c r="E843" s="100" t="n">
        <x:v>9</x:v>
      </x:c>
      <x:c r="F843" s="95" t="str">
        <x:v>两线共用</x:v>
      </x:c>
      <x:c r="G843" s="95" t="str">
        <x:v>E 可信智能体与控制架构</x:v>
      </x:c>
      <x:c r="H843" s="95" t="str">
        <x:v>协同假设生成</x:v>
      </x:c>
      <x:c r="I843" s="95" t="str">
        <x:v>设置独立批评/验证角色和高风险审批，避免单一模型自证。</x:v>
      </x:c>
      <x:c r="J843" s="95" t="str">
        <x:v>接入外部验证器、结构化输出、置信校准、拒答、权限与人工门禁。</x:v>
      </x:c>
      <x:c r="K843" s="95" t="str">
        <x:v>可直接支撑当前EIS-only闭环。</x:v>
      </x:c>
      <x:c r="L843" s="95" t="str">
        <x:v>M2 扩展与复现（5–12月）</x:v>
      </x:c>
      <x:c r="M843" s="95" t="str">
        <x:v>按瓶颈接入</x:v>
      </x:c>
      <x:c r="N843" s="95" t="str">
        <x:v>P2</x:v>
      </x:c>
      <x:c r="O843" s="95" t="str">
        <x:v>https://www.nature.com/articles/s41467-025-64105-7</x:v>
      </x:c>
      <x:c r="P843" s="96" t="str">
        <x:v>待评审</x:v>
      </x:c>
    </x:row>
    <x:row r="844">
      <x:c r="A844" s="94" t="str">
        <x:v>T0840</x:v>
      </x:c>
      <x:c r="B844" s="95" t="str">
        <x:v>科学智能体与多智能体</x:v>
      </x:c>
      <x:c r="C844" s="95" t="str">
        <x:v>多智能体与人机协同</x:v>
      </x:c>
      <x:c r="D844" s="95" t="str">
        <x:v>研究储备</x:v>
      </x:c>
      <x:c r="E844" s="100" t="n">
        <x:v>6</x:v>
      </x:c>
      <x:c r="F844" s="95" t="str">
        <x:v>两线共用</x:v>
      </x:c>
      <x:c r="G844" s="95" t="str">
        <x:v>E 可信智能体与控制架构</x:v>
      </x:c>
      <x:c r="H844" s="95" t="str">
        <x:v>联邦实验协作</x:v>
      </x:c>
      <x:c r="I844" s="95" t="str">
        <x:v>设置独立批评/验证角色和高风险审批，避免单一模型自证。</x:v>
      </x:c>
      <x:c r="J844" s="95" t="str">
        <x:v>接入外部验证器、结构化输出、置信校准、拒答、权限与人工门禁。</x:v>
      </x:c>
      <x:c r="K844" s="95" t="str">
        <x:v>可直接支撑当前EIS-only闭环。</x:v>
      </x:c>
      <x:c r="L844" s="95" t="str">
        <x:v>M3 研究储备</x:v>
      </x:c>
      <x:c r="M844" s="95" t="str">
        <x:v>条件具备后</x:v>
      </x:c>
      <x:c r="N844" s="95" t="str">
        <x:v>P2</x:v>
      </x:c>
      <x:c r="O844" s="95" t="str">
        <x:v>https://a2aproject.github.io/A2A/latest/</x:v>
      </x:c>
      <x:c r="P844" s="96" t="str">
        <x:v>待评审</x:v>
      </x:c>
    </x:row>
    <x:row r="845">
      <x:c r="A845" s="94" t="str">
        <x:v>T0841</x:v>
      </x:c>
      <x:c r="B845" s="95" t="str">
        <x:v>可信、安全、运营与思维模型</x:v>
      </x:c>
      <x:c r="C845" s="95" t="str">
        <x:v>可靠性、验证、复现与质量体系</x:v>
      </x:c>
      <x:c r="D845" s="95" t="str">
        <x:v>核心必需</x:v>
      </x:c>
      <x:c r="E845" s="100" t="n">
        <x:v>12</x:v>
      </x:c>
      <x:c r="F845" s="95" t="str">
        <x:v>两线共用</x:v>
      </x:c>
      <x:c r="G845" s="95" t="str">
        <x:v>F 数据、协议与复现</x:v>
      </x:c>
      <x:c r="H845" s="95" t="str">
        <x:v>计量校准</x:v>
      </x:c>
      <x:c r="I845" s="95" t="str">
        <x:v>用测量不确定度、独立批次、确定性回放和复现包支撑科学结论。</x:v>
      </x:c>
      <x:c r="J845" s="95" t="str">
        <x:v>建立统一ID、原始数据不可变、协议/代码版本、W3C PROV/RO-Crate复现包。</x:v>
      </x:c>
      <x:c r="K845" s="95" t="str">
        <x:v>可直接支撑当前EIS-only闭环。</x:v>
      </x:c>
      <x:c r="L845" s="95" t="str">
        <x:v>M1 前瞻验证（2–5月）</x:v>
      </x:c>
      <x:c r="M845" s="95" t="str">
        <x:v>第二批接入</x:v>
      </x:c>
      <x:c r="N845" s="95" t="str">
        <x:v>P0</x:v>
      </x:c>
      <x:c r="O845" s="95" t="str">
        <x:v>https://pubs.acs.org/doi/10.1021/acs.chemrev.4c00055</x:v>
      </x:c>
      <x:c r="P845" s="96" t="str">
        <x:v>待评审</x:v>
      </x:c>
    </x:row>
    <x:row r="846">
      <x:c r="A846" s="94" t="str">
        <x:v>T0842</x:v>
      </x:c>
      <x:c r="B846" s="95" t="str">
        <x:v>可信、安全、运营与思维模型</x:v>
      </x:c>
      <x:c r="C846" s="95" t="str">
        <x:v>可靠性、验证、复现与质量体系</x:v>
      </x:c>
      <x:c r="D846" s="95" t="str">
        <x:v>核心必需</x:v>
      </x:c>
      <x:c r="E846" s="100" t="n">
        <x:v>12</x:v>
      </x:c>
      <x:c r="F846" s="95" t="str">
        <x:v>两线共用</x:v>
      </x:c>
      <x:c r="G846" s="95" t="str">
        <x:v>F 数据、协议与复现</x:v>
      </x:c>
      <x:c r="H846" s="95" t="str">
        <x:v>预防性维护</x:v>
      </x:c>
      <x:c r="I846" s="95" t="str">
        <x:v>用测量不确定度、独立批次、确定性回放和复现包支撑科学结论。</x:v>
      </x:c>
      <x:c r="J846" s="95" t="str">
        <x:v>建立统一ID、原始数据不可变、协议/代码版本、W3C PROV/RO-Crate复现包。</x:v>
      </x:c>
      <x:c r="K846" s="95" t="str">
        <x:v>可直接支撑当前EIS-only闭环。</x:v>
      </x:c>
      <x:c r="L846" s="95" t="str">
        <x:v>M1 前瞻验证（2–5月）</x:v>
      </x:c>
      <x:c r="M846" s="95" t="str">
        <x:v>第二批接入</x:v>
      </x:c>
      <x:c r="N846" s="95" t="str">
        <x:v>P0</x:v>
      </x:c>
      <x:c r="O846" s="95" t="str">
        <x:v>https://www.nature.com/articles/s41467-024-45569-5</x:v>
      </x:c>
      <x:c r="P846" s="96" t="str">
        <x:v>待评审</x:v>
      </x:c>
    </x:row>
    <x:row r="847">
      <x:c r="A847" s="94" t="str">
        <x:v>T0843</x:v>
      </x:c>
      <x:c r="B847" s="95" t="str">
        <x:v>可信、安全、运营与思维模型</x:v>
      </x:c>
      <x:c r="C847" s="95" t="str">
        <x:v>可靠性、验证、复现与质量体系</x:v>
      </x:c>
      <x:c r="D847" s="95" t="str">
        <x:v>核心必需</x:v>
      </x:c>
      <x:c r="E847" s="100" t="n">
        <x:v>12</x:v>
      </x:c>
      <x:c r="F847" s="95" t="str">
        <x:v>两线共用</x:v>
      </x:c>
      <x:c r="G847" s="95" t="str">
        <x:v>F 数据、协议与复现</x:v>
      </x:c>
      <x:c r="H847" s="95" t="str">
        <x:v>预测性维护</x:v>
      </x:c>
      <x:c r="I847" s="95" t="str">
        <x:v>用测量不确定度、独立批次、确定性回放和复现包支撑科学结论。</x:v>
      </x:c>
      <x:c r="J847" s="95" t="str">
        <x:v>建立统一ID、原始数据不可变、协议/代码版本、W3C PROV/RO-Crate复现包。</x:v>
      </x:c>
      <x:c r="K847" s="95" t="str">
        <x:v>可直接支撑当前EIS-only闭环。</x:v>
      </x:c>
      <x:c r="L847" s="95" t="str">
        <x:v>M1 前瞻验证（2–5月）</x:v>
      </x:c>
      <x:c r="M847" s="95" t="str">
        <x:v>第二批接入</x:v>
      </x:c>
      <x:c r="N847" s="95" t="str">
        <x:v>P0</x:v>
      </x:c>
      <x:c r="O847" s="95" t="str">
        <x:v>https://www.nature.com/articles/sdata201618</x:v>
      </x:c>
      <x:c r="P847" s="96" t="str">
        <x:v>待评审</x:v>
      </x:c>
    </x:row>
    <x:row r="848">
      <x:c r="A848" s="94" t="str">
        <x:v>T0844</x:v>
      </x:c>
      <x:c r="B848" s="95" t="str">
        <x:v>可信、安全、运营与思维模型</x:v>
      </x:c>
      <x:c r="C848" s="95" t="str">
        <x:v>可靠性、验证、复现与质量体系</x:v>
      </x:c>
      <x:c r="D848" s="95" t="str">
        <x:v>核心必需</x:v>
      </x:c>
      <x:c r="E848" s="100" t="n">
        <x:v>12</x:v>
      </x:c>
      <x:c r="F848" s="95" t="str">
        <x:v>两线共用</x:v>
      </x:c>
      <x:c r="G848" s="95" t="str">
        <x:v>F 数据、协议与复现</x:v>
      </x:c>
      <x:c r="H848" s="95" t="str">
        <x:v>自检</x:v>
      </x:c>
      <x:c r="I848" s="95" t="str">
        <x:v>用测量不确定度、独立批次、确定性回放和复现包支撑科学结论。</x:v>
      </x:c>
      <x:c r="J848" s="95" t="str">
        <x:v>建立统一ID、原始数据不可变、协议/代码版本、W3C PROV/RO-Crate复现包。</x:v>
      </x:c>
      <x:c r="K848" s="95" t="str">
        <x:v>可直接支撑当前EIS-only闭环。</x:v>
      </x:c>
      <x:c r="L848" s="95" t="str">
        <x:v>M1 前瞻验证（2–5月）</x:v>
      </x:c>
      <x:c r="M848" s="95" t="str">
        <x:v>第二批接入</x:v>
      </x:c>
      <x:c r="N848" s="95" t="str">
        <x:v>P0</x:v>
      </x:c>
      <x:c r="O848" s="95" t="str">
        <x:v>https://www.fda.gov/regulatory-information/search-fda-guidance-documents/part-11-electronic-records-electronic-signatures-scope-and-application</x:v>
      </x:c>
      <x:c r="P848" s="96" t="str">
        <x:v>待评审</x:v>
      </x:c>
    </x:row>
    <x:row r="849">
      <x:c r="A849" s="94" t="str">
        <x:v>T0845</x:v>
      </x:c>
      <x:c r="B849" s="95" t="str">
        <x:v>可信、安全、运营与思维模型</x:v>
      </x:c>
      <x:c r="C849" s="95" t="str">
        <x:v>可靠性、验证、复现与质量体系</x:v>
      </x:c>
      <x:c r="D849" s="95" t="str">
        <x:v>核心必需</x:v>
      </x:c>
      <x:c r="E849" s="100" t="n">
        <x:v>12</x:v>
      </x:c>
      <x:c r="F849" s="95" t="str">
        <x:v>两线共用</x:v>
      </x:c>
      <x:c r="G849" s="95" t="str">
        <x:v>F 数据、协议与复现</x:v>
      </x:c>
      <x:c r="H849" s="95" t="str">
        <x:v>心跳监测</x:v>
      </x:c>
      <x:c r="I849" s="95" t="str">
        <x:v>用测量不确定度、独立批次、确定性回放和复现包支撑科学结论。</x:v>
      </x:c>
      <x:c r="J849" s="95" t="str">
        <x:v>建立统一ID、原始数据不可变、协议/代码版本、W3C PROV/RO-Crate复现包。</x:v>
      </x:c>
      <x:c r="K849" s="95" t="str">
        <x:v>可直接支撑当前EIS-only闭环。</x:v>
      </x:c>
      <x:c r="L849" s="95" t="str">
        <x:v>M1 前瞻验证（2–5月）</x:v>
      </x:c>
      <x:c r="M849" s="95" t="str">
        <x:v>第二批接入</x:v>
      </x:c>
      <x:c r="N849" s="95" t="str">
        <x:v>P0</x:v>
      </x:c>
      <x:c r="O849" s="95" t="str">
        <x:v>https://pubs.acs.org/doi/10.1021/acs.chemrev.4c00055</x:v>
      </x:c>
      <x:c r="P849" s="96" t="str">
        <x:v>待评审</x:v>
      </x:c>
    </x:row>
    <x:row r="850">
      <x:c r="A850" s="94" t="str">
        <x:v>T0846</x:v>
      </x:c>
      <x:c r="B850" s="95" t="str">
        <x:v>可信、安全、运营与思维模型</x:v>
      </x:c>
      <x:c r="C850" s="95" t="str">
        <x:v>可靠性、验证、复现与质量体系</x:v>
      </x:c>
      <x:c r="D850" s="95" t="str">
        <x:v>核心必需</x:v>
      </x:c>
      <x:c r="E850" s="100" t="n">
        <x:v>12</x:v>
      </x:c>
      <x:c r="F850" s="95" t="str">
        <x:v>两线共用</x:v>
      </x:c>
      <x:c r="G850" s="95" t="str">
        <x:v>F 数据、协议与复现</x:v>
      </x:c>
      <x:c r="H850" s="95" t="str">
        <x:v>在线诊断</x:v>
      </x:c>
      <x:c r="I850" s="95" t="str">
        <x:v>用测量不确定度、独立批次、确定性回放和复现包支撑科学结论。</x:v>
      </x:c>
      <x:c r="J850" s="95" t="str">
        <x:v>建立统一ID、原始数据不可变、协议/代码版本、W3C PROV/RO-Crate复现包。</x:v>
      </x:c>
      <x:c r="K850" s="95" t="str">
        <x:v>可直接支撑当前EIS-only闭环。</x:v>
      </x:c>
      <x:c r="L850" s="95" t="str">
        <x:v>M1 前瞻验证（2–5月）</x:v>
      </x:c>
      <x:c r="M850" s="95" t="str">
        <x:v>第二批接入</x:v>
      </x:c>
      <x:c r="N850" s="95" t="str">
        <x:v>P0</x:v>
      </x:c>
      <x:c r="O850" s="95" t="str">
        <x:v>https://www.nature.com/articles/s41467-024-45569-5</x:v>
      </x:c>
      <x:c r="P850" s="96" t="str">
        <x:v>待评审</x:v>
      </x:c>
    </x:row>
    <x:row r="851">
      <x:c r="A851" s="94" t="str">
        <x:v>T0847</x:v>
      </x:c>
      <x:c r="B851" s="95" t="str">
        <x:v>可信、安全、运营与思维模型</x:v>
      </x:c>
      <x:c r="C851" s="95" t="str">
        <x:v>可靠性、验证、复现与质量体系</x:v>
      </x:c>
      <x:c r="D851" s="95" t="str">
        <x:v>核心必需</x:v>
      </x:c>
      <x:c r="E851" s="100" t="n">
        <x:v>12</x:v>
      </x:c>
      <x:c r="F851" s="95" t="str">
        <x:v>两线共用</x:v>
      </x:c>
      <x:c r="G851" s="95" t="str">
        <x:v>F 数据、协议与复现</x:v>
      </x:c>
      <x:c r="H851" s="95" t="str">
        <x:v>故障检测</x:v>
      </x:c>
      <x:c r="I851" s="95" t="str">
        <x:v>用测量不确定度、独立批次、确定性回放和复现包支撑科学结论。</x:v>
      </x:c>
      <x:c r="J851" s="95" t="str">
        <x:v>建立统一ID、原始数据不可变、协议/代码版本、W3C PROV/RO-Crate复现包。</x:v>
      </x:c>
      <x:c r="K851" s="95" t="str">
        <x:v>可直接支撑当前EIS-only闭环。</x:v>
      </x:c>
      <x:c r="L851" s="95" t="str">
        <x:v>M1 前瞻验证（2–5月）</x:v>
      </x:c>
      <x:c r="M851" s="95" t="str">
        <x:v>第二批接入</x:v>
      </x:c>
      <x:c r="N851" s="95" t="str">
        <x:v>P0</x:v>
      </x:c>
      <x:c r="O851" s="95" t="str">
        <x:v>https://www.nature.com/articles/sdata201618</x:v>
      </x:c>
      <x:c r="P851" s="96" t="str">
        <x:v>待评审</x:v>
      </x:c>
    </x:row>
    <x:row r="852">
      <x:c r="A852" s="94" t="str">
        <x:v>T0848</x:v>
      </x:c>
      <x:c r="B852" s="95" t="str">
        <x:v>可信、安全、运营与思维模型</x:v>
      </x:c>
      <x:c r="C852" s="95" t="str">
        <x:v>可靠性、验证、复现与质量体系</x:v>
      </x:c>
      <x:c r="D852" s="95" t="str">
        <x:v>核心必需</x:v>
      </x:c>
      <x:c r="E852" s="100" t="n">
        <x:v>12</x:v>
      </x:c>
      <x:c r="F852" s="95" t="str">
        <x:v>两线共用</x:v>
      </x:c>
      <x:c r="G852" s="95" t="str">
        <x:v>F 数据、协议与复现</x:v>
      </x:c>
      <x:c r="H852" s="95" t="str">
        <x:v>故障隔离</x:v>
      </x:c>
      <x:c r="I852" s="95" t="str">
        <x:v>用测量不确定度、独立批次、确定性回放和复现包支撑科学结论。</x:v>
      </x:c>
      <x:c r="J852" s="95" t="str">
        <x:v>建立统一ID、原始数据不可变、协议/代码版本、W3C PROV/RO-Crate复现包。</x:v>
      </x:c>
      <x:c r="K852" s="95" t="str">
        <x:v>可直接支撑当前EIS-only闭环。</x:v>
      </x:c>
      <x:c r="L852" s="95" t="str">
        <x:v>M1 前瞻验证（2–5月）</x:v>
      </x:c>
      <x:c r="M852" s="95" t="str">
        <x:v>第二批接入</x:v>
      </x:c>
      <x:c r="N852" s="95" t="str">
        <x:v>P0</x:v>
      </x:c>
      <x:c r="O852" s="95" t="str">
        <x:v>https://www.fda.gov/regulatory-information/search-fda-guidance-documents/part-11-electronic-records-electronic-signatures-scope-and-application</x:v>
      </x:c>
      <x:c r="P852" s="96" t="str">
        <x:v>待评审</x:v>
      </x:c>
    </x:row>
    <x:row r="853">
      <x:c r="A853" s="94" t="str">
        <x:v>T0849</x:v>
      </x:c>
      <x:c r="B853" s="95" t="str">
        <x:v>可信、安全、运营与思维模型</x:v>
      </x:c>
      <x:c r="C853" s="95" t="str">
        <x:v>可靠性、验证、复现与质量体系</x:v>
      </x:c>
      <x:c r="D853" s="95" t="str">
        <x:v>核心必需</x:v>
      </x:c>
      <x:c r="E853" s="100" t="n">
        <x:v>12</x:v>
      </x:c>
      <x:c r="F853" s="95" t="str">
        <x:v>两线共用</x:v>
      </x:c>
      <x:c r="G853" s="95" t="str">
        <x:v>F 数据、协议与复现</x:v>
      </x:c>
      <x:c r="H853" s="95" t="str">
        <x:v>故障容错</x:v>
      </x:c>
      <x:c r="I853" s="95" t="str">
        <x:v>用测量不确定度、独立批次、确定性回放和复现包支撑科学结论。</x:v>
      </x:c>
      <x:c r="J853" s="95" t="str">
        <x:v>建立统一ID、原始数据不可变、协议/代码版本、W3C PROV/RO-Crate复现包。</x:v>
      </x:c>
      <x:c r="K853" s="95" t="str">
        <x:v>可直接支撑当前EIS-only闭环。</x:v>
      </x:c>
      <x:c r="L853" s="95" t="str">
        <x:v>M1 前瞻验证（2–5月）</x:v>
      </x:c>
      <x:c r="M853" s="95" t="str">
        <x:v>第二批接入</x:v>
      </x:c>
      <x:c r="N853" s="95" t="str">
        <x:v>P0</x:v>
      </x:c>
      <x:c r="O853" s="95" t="str">
        <x:v>https://pubs.acs.org/doi/10.1021/acs.chemrev.4c00055</x:v>
      </x:c>
      <x:c r="P853" s="96" t="str">
        <x:v>待评审</x:v>
      </x:c>
    </x:row>
    <x:row r="854">
      <x:c r="A854" s="94" t="str">
        <x:v>T0850</x:v>
      </x:c>
      <x:c r="B854" s="95" t="str">
        <x:v>可信、安全、运营与思维模型</x:v>
      </x:c>
      <x:c r="C854" s="95" t="str">
        <x:v>可靠性、验证、复现与质量体系</x:v>
      </x:c>
      <x:c r="D854" s="95" t="str">
        <x:v>核心必需</x:v>
      </x:c>
      <x:c r="E854" s="100" t="n">
        <x:v>12</x:v>
      </x:c>
      <x:c r="F854" s="95" t="str">
        <x:v>两线共用</x:v>
      </x:c>
      <x:c r="G854" s="95" t="str">
        <x:v>F 数据、协议与复现</x:v>
      </x:c>
      <x:c r="H854" s="95" t="str">
        <x:v>冗余</x:v>
      </x:c>
      <x:c r="I854" s="95" t="str">
        <x:v>用测量不确定度、独立批次、确定性回放和复现包支撑科学结论。</x:v>
      </x:c>
      <x:c r="J854" s="95" t="str">
        <x:v>建立统一ID、原始数据不可变、协议/代码版本、W3C PROV/RO-Crate复现包。</x:v>
      </x:c>
      <x:c r="K854" s="95" t="str">
        <x:v>可直接支撑当前EIS-only闭环。</x:v>
      </x:c>
      <x:c r="L854" s="95" t="str">
        <x:v>M1 前瞻验证（2–5月）</x:v>
      </x:c>
      <x:c r="M854" s="95" t="str">
        <x:v>第二批接入</x:v>
      </x:c>
      <x:c r="N854" s="95" t="str">
        <x:v>P0</x:v>
      </x:c>
      <x:c r="O854" s="95" t="str">
        <x:v>https://www.nature.com/articles/s41467-024-45569-5</x:v>
      </x:c>
      <x:c r="P854" s="96" t="str">
        <x:v>待评审</x:v>
      </x:c>
    </x:row>
    <x:row r="855">
      <x:c r="A855" s="94" t="str">
        <x:v>T0851</x:v>
      </x:c>
      <x:c r="B855" s="95" t="str">
        <x:v>可信、安全、运营与思维模型</x:v>
      </x:c>
      <x:c r="C855" s="95" t="str">
        <x:v>可靠性、验证、复现与质量体系</x:v>
      </x:c>
      <x:c r="D855" s="95" t="str">
        <x:v>核心必需</x:v>
      </x:c>
      <x:c r="E855" s="100" t="n">
        <x:v>12</x:v>
      </x:c>
      <x:c r="F855" s="95" t="str">
        <x:v>两线共用</x:v>
      </x:c>
      <x:c r="G855" s="95" t="str">
        <x:v>F 数据、协议与复现</x:v>
      </x:c>
      <x:c r="H855" s="95" t="str">
        <x:v>看门狗</x:v>
      </x:c>
      <x:c r="I855" s="95" t="str">
        <x:v>用测量不确定度、独立批次、确定性回放和复现包支撑科学结论。</x:v>
      </x:c>
      <x:c r="J855" s="95" t="str">
        <x:v>建立统一ID、原始数据不可变、协议/代码版本、W3C PROV/RO-Crate复现包。</x:v>
      </x:c>
      <x:c r="K855" s="95" t="str">
        <x:v>可直接支撑当前EIS-only闭环。</x:v>
      </x:c>
      <x:c r="L855" s="95" t="str">
        <x:v>M1 前瞻验证（2–5月）</x:v>
      </x:c>
      <x:c r="M855" s="95" t="str">
        <x:v>第二批接入</x:v>
      </x:c>
      <x:c r="N855" s="95" t="str">
        <x:v>P1</x:v>
      </x:c>
      <x:c r="O855" s="95" t="str">
        <x:v>https://www.nature.com/articles/sdata201618</x:v>
      </x:c>
      <x:c r="P855" s="96" t="str">
        <x:v>待评审</x:v>
      </x:c>
    </x:row>
    <x:row r="856">
      <x:c r="A856" s="94" t="str">
        <x:v>T0852</x:v>
      </x:c>
      <x:c r="B856" s="95" t="str">
        <x:v>可信、安全、运营与思维模型</x:v>
      </x:c>
      <x:c r="C856" s="95" t="str">
        <x:v>可靠性、验证、复现与质量体系</x:v>
      </x:c>
      <x:c r="D856" s="95" t="str">
        <x:v>核心必需</x:v>
      </x:c>
      <x:c r="E856" s="100" t="n">
        <x:v>12</x:v>
      </x:c>
      <x:c r="F856" s="95" t="str">
        <x:v>两线共用</x:v>
      </x:c>
      <x:c r="G856" s="95" t="str">
        <x:v>F 数据、协议与复现</x:v>
      </x:c>
      <x:c r="H856" s="95" t="str">
        <x:v>安全联锁</x:v>
      </x:c>
      <x:c r="I856" s="95" t="str">
        <x:v>用测量不确定度、独立批次、确定性回放和复现包支撑科学结论。</x:v>
      </x:c>
      <x:c r="J856" s="95" t="str">
        <x:v>建立统一ID、原始数据不可变、协议/代码版本、W3C PROV/RO-Crate复现包。</x:v>
      </x:c>
      <x:c r="K856" s="95" t="str">
        <x:v>可直接支撑当前EIS-only闭环。</x:v>
      </x:c>
      <x:c r="L856" s="95" t="str">
        <x:v>M1 前瞻验证（2–5月）</x:v>
      </x:c>
      <x:c r="M856" s="95" t="str">
        <x:v>第二批接入</x:v>
      </x:c>
      <x:c r="N856" s="95" t="str">
        <x:v>P1</x:v>
      </x:c>
      <x:c r="O856" s="95" t="str">
        <x:v>https://www.fda.gov/regulatory-information/search-fda-guidance-documents/part-11-electronic-records-electronic-signatures-scope-and-application</x:v>
      </x:c>
      <x:c r="P856" s="96" t="str">
        <x:v>待评审</x:v>
      </x:c>
    </x:row>
    <x:row r="857">
      <x:c r="A857" s="94" t="str">
        <x:v>T0853</x:v>
      </x:c>
      <x:c r="B857" s="95" t="str">
        <x:v>可信、安全、运营与思维模型</x:v>
      </x:c>
      <x:c r="C857" s="95" t="str">
        <x:v>可靠性、验证、复现与质量体系</x:v>
      </x:c>
      <x:c r="D857" s="95" t="str">
        <x:v>核心必需</x:v>
      </x:c>
      <x:c r="E857" s="100" t="n">
        <x:v>12</x:v>
      </x:c>
      <x:c r="F857" s="95" t="str">
        <x:v>两线共用</x:v>
      </x:c>
      <x:c r="G857" s="95" t="str">
        <x:v>F 数据、协议与复现</x:v>
      </x:c>
      <x:c r="H857" s="95" t="str">
        <x:v>急停</x:v>
      </x:c>
      <x:c r="I857" s="95" t="str">
        <x:v>用测量不确定度、独立批次、确定性回放和复现包支撑科学结论。</x:v>
      </x:c>
      <x:c r="J857" s="95" t="str">
        <x:v>建立统一ID、原始数据不可变、协议/代码版本、W3C PROV/RO-Crate复现包。</x:v>
      </x:c>
      <x:c r="K857" s="95" t="str">
        <x:v>可直接支撑当前EIS-only闭环。</x:v>
      </x:c>
      <x:c r="L857" s="95" t="str">
        <x:v>M1 前瞻验证（2–5月）</x:v>
      </x:c>
      <x:c r="M857" s="95" t="str">
        <x:v>第二批接入</x:v>
      </x:c>
      <x:c r="N857" s="95" t="str">
        <x:v>P1</x:v>
      </x:c>
      <x:c r="O857" s="95" t="str">
        <x:v>https://pubs.acs.org/doi/10.1021/acs.chemrev.4c00055</x:v>
      </x:c>
      <x:c r="P857" s="96" t="str">
        <x:v>待评审</x:v>
      </x:c>
    </x:row>
    <x:row r="858">
      <x:c r="A858" s="94" t="str">
        <x:v>T0854</x:v>
      </x:c>
      <x:c r="B858" s="95" t="str">
        <x:v>可信、安全、运营与思维模型</x:v>
      </x:c>
      <x:c r="C858" s="95" t="str">
        <x:v>可靠性、验证、复现与质量体系</x:v>
      </x:c>
      <x:c r="D858" s="95" t="str">
        <x:v>核心必需</x:v>
      </x:c>
      <x:c r="E858" s="100" t="n">
        <x:v>12</x:v>
      </x:c>
      <x:c r="F858" s="95" t="str">
        <x:v>两线共用</x:v>
      </x:c>
      <x:c r="G858" s="95" t="str">
        <x:v>F 数据、协议与复现</x:v>
      </x:c>
      <x:c r="H858" s="95" t="str">
        <x:v>Fail-safe</x:v>
      </x:c>
      <x:c r="I858" s="95" t="str">
        <x:v>用测量不确定度、独立批次、确定性回放和复现包支撑科学结论。</x:v>
      </x:c>
      <x:c r="J858" s="95" t="str">
        <x:v>建立统一ID、原始数据不可变、协议/代码版本、W3C PROV/RO-Crate复现包。</x:v>
      </x:c>
      <x:c r="K858" s="95" t="str">
        <x:v>可直接支撑当前EIS-only闭环。</x:v>
      </x:c>
      <x:c r="L858" s="95" t="str">
        <x:v>M1 前瞻验证（2–5月）</x:v>
      </x:c>
      <x:c r="M858" s="95" t="str">
        <x:v>第二批接入</x:v>
      </x:c>
      <x:c r="N858" s="95" t="str">
        <x:v>P1</x:v>
      </x:c>
      <x:c r="O858" s="95" t="str">
        <x:v>https://www.nature.com/articles/s41467-024-45569-5</x:v>
      </x:c>
      <x:c r="P858" s="96" t="str">
        <x:v>待评审</x:v>
      </x:c>
    </x:row>
    <x:row r="859">
      <x:c r="A859" s="94" t="str">
        <x:v>T0855</x:v>
      </x:c>
      <x:c r="B859" s="95" t="str">
        <x:v>可信、安全、运营与思维模型</x:v>
      </x:c>
      <x:c r="C859" s="95" t="str">
        <x:v>可靠性、验证、复现与质量体系</x:v>
      </x:c>
      <x:c r="D859" s="95" t="str">
        <x:v>核心必需</x:v>
      </x:c>
      <x:c r="E859" s="100" t="n">
        <x:v>12</x:v>
      </x:c>
      <x:c r="F859" s="95" t="str">
        <x:v>两线共用</x:v>
      </x:c>
      <x:c r="G859" s="95" t="str">
        <x:v>F 数据、协议与复现</x:v>
      </x:c>
      <x:c r="H859" s="95" t="str">
        <x:v>Fail-operational</x:v>
      </x:c>
      <x:c r="I859" s="95" t="str">
        <x:v>用测量不确定度、独立批次、确定性回放和复现包支撑科学结论。</x:v>
      </x:c>
      <x:c r="J859" s="95" t="str">
        <x:v>建立统一ID、原始数据不可变、协议/代码版本、W3C PROV/RO-Crate复现包。</x:v>
      </x:c>
      <x:c r="K859" s="95" t="str">
        <x:v>可直接支撑当前EIS-only闭环。</x:v>
      </x:c>
      <x:c r="L859" s="95" t="str">
        <x:v>M1 前瞻验证（2–5月）</x:v>
      </x:c>
      <x:c r="M859" s="95" t="str">
        <x:v>第二批接入</x:v>
      </x:c>
      <x:c r="N859" s="95" t="str">
        <x:v>P1</x:v>
      </x:c>
      <x:c r="O859" s="95" t="str">
        <x:v>https://www.nature.com/articles/sdata201618</x:v>
      </x:c>
      <x:c r="P859" s="96" t="str">
        <x:v>待评审</x:v>
      </x:c>
    </x:row>
    <x:row r="860">
      <x:c r="A860" s="94" t="str">
        <x:v>T0856</x:v>
      </x:c>
      <x:c r="B860" s="95" t="str">
        <x:v>可信、安全、运营与思维模型</x:v>
      </x:c>
      <x:c r="C860" s="95" t="str">
        <x:v>可靠性、验证、复现与质量体系</x:v>
      </x:c>
      <x:c r="D860" s="95" t="str">
        <x:v>核心必需</x:v>
      </x:c>
      <x:c r="E860" s="100" t="n">
        <x:v>12</x:v>
      </x:c>
      <x:c r="F860" s="95" t="str">
        <x:v>两线共用</x:v>
      </x:c>
      <x:c r="G860" s="95" t="str">
        <x:v>F 数据、协议与复现</x:v>
      </x:c>
      <x:c r="H860" s="95" t="str">
        <x:v>质量系统优雅降级</x:v>
      </x:c>
      <x:c r="I860" s="95" t="str">
        <x:v>用测量不确定度、独立批次、确定性回放和复现包支撑科学结论。</x:v>
      </x:c>
      <x:c r="J860" s="95" t="str">
        <x:v>建立统一ID、原始数据不可变、协议/代码版本、W3C PROV/RO-Crate复现包。</x:v>
      </x:c>
      <x:c r="K860" s="95" t="str">
        <x:v>可直接支撑当前EIS-only闭环。</x:v>
      </x:c>
      <x:c r="L860" s="95" t="str">
        <x:v>M1 前瞻验证（2–5月）</x:v>
      </x:c>
      <x:c r="M860" s="95" t="str">
        <x:v>第二批接入</x:v>
      </x:c>
      <x:c r="N860" s="95" t="str">
        <x:v>P1</x:v>
      </x:c>
      <x:c r="O860" s="95" t="str">
        <x:v>https://www.fda.gov/regulatory-information/search-fda-guidance-documents/part-11-electronic-records-electronic-signatures-scope-and-application</x:v>
      </x:c>
      <x:c r="P860" s="96" t="str">
        <x:v>待评审</x:v>
      </x:c>
    </x:row>
    <x:row r="861">
      <x:c r="A861" s="94" t="str">
        <x:v>T0857</x:v>
      </x:c>
      <x:c r="B861" s="95" t="str">
        <x:v>可信、安全、运营与思维模型</x:v>
      </x:c>
      <x:c r="C861" s="95" t="str">
        <x:v>可靠性、验证、复现与质量体系</x:v>
      </x:c>
      <x:c r="D861" s="95" t="str">
        <x:v>核心必需</x:v>
      </x:c>
      <x:c r="E861" s="100" t="n">
        <x:v>12</x:v>
      </x:c>
      <x:c r="F861" s="95" t="str">
        <x:v>两线共用</x:v>
      </x:c>
      <x:c r="G861" s="95" t="str">
        <x:v>F 数据、协议与复现</x:v>
      </x:c>
      <x:c r="H861" s="95" t="str">
        <x:v>检查点/重启</x:v>
      </x:c>
      <x:c r="I861" s="95" t="str">
        <x:v>用测量不确定度、独立批次、确定性回放和复现包支撑科学结论。</x:v>
      </x:c>
      <x:c r="J861" s="95" t="str">
        <x:v>建立统一ID、原始数据不可变、协议/代码版本、W3C PROV/RO-Crate复现包。</x:v>
      </x:c>
      <x:c r="K861" s="95" t="str">
        <x:v>可直接支撑当前EIS-only闭环。</x:v>
      </x:c>
      <x:c r="L861" s="95" t="str">
        <x:v>M1 前瞻验证（2–5月）</x:v>
      </x:c>
      <x:c r="M861" s="95" t="str">
        <x:v>第二批接入</x:v>
      </x:c>
      <x:c r="N861" s="95" t="str">
        <x:v>P1</x:v>
      </x:c>
      <x:c r="O861" s="95" t="str">
        <x:v>https://pubs.acs.org/doi/10.1021/acs.chemrev.4c00055</x:v>
      </x:c>
      <x:c r="P861" s="96" t="str">
        <x:v>待评审</x:v>
      </x:c>
    </x:row>
    <x:row r="862">
      <x:c r="A862" s="94" t="str">
        <x:v>T0858</x:v>
      </x:c>
      <x:c r="B862" s="95" t="str">
        <x:v>可信、安全、运营与思维模型</x:v>
      </x:c>
      <x:c r="C862" s="95" t="str">
        <x:v>可靠性、验证、复现与质量体系</x:v>
      </x:c>
      <x:c r="D862" s="95" t="str">
        <x:v>核心必需</x:v>
      </x:c>
      <x:c r="E862" s="100" t="n">
        <x:v>12</x:v>
      </x:c>
      <x:c r="F862" s="95" t="str">
        <x:v>两线共用</x:v>
      </x:c>
      <x:c r="G862" s="95" t="str">
        <x:v>F 数据、协议与复现</x:v>
      </x:c>
      <x:c r="H862" s="95" t="str">
        <x:v>幂等执行</x:v>
      </x:c>
      <x:c r="I862" s="95" t="str">
        <x:v>用测量不确定度、独立批次、确定性回放和复现包支撑科学结论。</x:v>
      </x:c>
      <x:c r="J862" s="95" t="str">
        <x:v>建立统一ID、原始数据不可变、协议/代码版本、W3C PROV/RO-Crate复现包。</x:v>
      </x:c>
      <x:c r="K862" s="95" t="str">
        <x:v>可直接支撑当前EIS-only闭环。</x:v>
      </x:c>
      <x:c r="L862" s="95" t="str">
        <x:v>M1 前瞻验证（2–5月）</x:v>
      </x:c>
      <x:c r="M862" s="95" t="str">
        <x:v>第二批接入</x:v>
      </x:c>
      <x:c r="N862" s="95" t="str">
        <x:v>P1</x:v>
      </x:c>
      <x:c r="O862" s="95" t="str">
        <x:v>https://www.nature.com/articles/s41467-024-45569-5</x:v>
      </x:c>
      <x:c r="P862" s="96" t="str">
        <x:v>待评审</x:v>
      </x:c>
    </x:row>
    <x:row r="863">
      <x:c r="A863" s="94" t="str">
        <x:v>T0859</x:v>
      </x:c>
      <x:c r="B863" s="95" t="str">
        <x:v>可信、安全、运营与思维模型</x:v>
      </x:c>
      <x:c r="C863" s="95" t="str">
        <x:v>可靠性、验证、复现与质量体系</x:v>
      </x:c>
      <x:c r="D863" s="95" t="str">
        <x:v>核心必需</x:v>
      </x:c>
      <x:c r="E863" s="100" t="n">
        <x:v>12</x:v>
      </x:c>
      <x:c r="F863" s="95" t="str">
        <x:v>两线共用</x:v>
      </x:c>
      <x:c r="G863" s="95" t="str">
        <x:v>F 数据、协议与复现</x:v>
      </x:c>
      <x:c r="H863" s="95" t="str">
        <x:v>确定性回放</x:v>
      </x:c>
      <x:c r="I863" s="95" t="str">
        <x:v>用测量不确定度、独立批次、确定性回放和复现包支撑科学结论。</x:v>
      </x:c>
      <x:c r="J863" s="95" t="str">
        <x:v>建立统一ID、原始数据不可变、协议/代码版本、W3C PROV/RO-Crate复现包。</x:v>
      </x:c>
      <x:c r="K863" s="95" t="str">
        <x:v>可直接支撑当前EIS-only闭环。</x:v>
      </x:c>
      <x:c r="L863" s="95" t="str">
        <x:v>M1 前瞻验证（2–5月）</x:v>
      </x:c>
      <x:c r="M863" s="95" t="str">
        <x:v>第二批接入</x:v>
      </x:c>
      <x:c r="N863" s="95" t="str">
        <x:v>P1</x:v>
      </x:c>
      <x:c r="O863" s="95" t="str">
        <x:v>https://www.nature.com/articles/sdata201618</x:v>
      </x:c>
      <x:c r="P863" s="96" t="str">
        <x:v>待评审</x:v>
      </x:c>
    </x:row>
    <x:row r="864">
      <x:c r="A864" s="94" t="str">
        <x:v>T0860</x:v>
      </x:c>
      <x:c r="B864" s="95" t="str">
        <x:v>可信、安全、运营与思维模型</x:v>
      </x:c>
      <x:c r="C864" s="95" t="str">
        <x:v>可靠性、验证、复现与质量体系</x:v>
      </x:c>
      <x:c r="D864" s="95" t="str">
        <x:v>核心必需</x:v>
      </x:c>
      <x:c r="E864" s="100" t="n">
        <x:v>12</x:v>
      </x:c>
      <x:c r="F864" s="95" t="str">
        <x:v>两线共用</x:v>
      </x:c>
      <x:c r="G864" s="95" t="str">
        <x:v>F 数据、协议与复现</x:v>
      </x:c>
      <x:c r="H864" s="95" t="str">
        <x:v>数字审计轨迹</x:v>
      </x:c>
      <x:c r="I864" s="95" t="str">
        <x:v>用测量不确定度、独立批次、确定性回放和复现包支撑科学结论。</x:v>
      </x:c>
      <x:c r="J864" s="95" t="str">
        <x:v>建立统一ID、原始数据不可变、协议/代码版本、W3C PROV/RO-Crate复现包。</x:v>
      </x:c>
      <x:c r="K864" s="95" t="str">
        <x:v>可直接支撑当前EIS-only闭环。</x:v>
      </x:c>
      <x:c r="L864" s="95" t="str">
        <x:v>M0 主流程接入（0–2月）</x:v>
      </x:c>
      <x:c r="M864" s="95" t="str">
        <x:v>首批接入</x:v>
      </x:c>
      <x:c r="N864" s="95" t="str">
        <x:v>P1</x:v>
      </x:c>
      <x:c r="O864" s="95" t="str">
        <x:v>https://www.fda.gov/regulatory-information/search-fda-guidance-documents/part-11-electronic-records-electronic-signatures-scope-and-application</x:v>
      </x:c>
      <x:c r="P864" s="96" t="str">
        <x:v>待评审</x:v>
      </x:c>
    </x:row>
    <x:row r="865">
      <x:c r="A865" s="94" t="str">
        <x:v>T0861</x:v>
      </x:c>
      <x:c r="B865" s="95" t="str">
        <x:v>可信、安全、运营与思维模型</x:v>
      </x:c>
      <x:c r="C865" s="95" t="str">
        <x:v>可靠性、验证、复现与质量体系</x:v>
      </x:c>
      <x:c r="D865" s="95" t="str">
        <x:v>核心必需</x:v>
      </x:c>
      <x:c r="E865" s="100" t="n">
        <x:v>12</x:v>
      </x:c>
      <x:c r="F865" s="95" t="str">
        <x:v>两线共用</x:v>
      </x:c>
      <x:c r="G865" s="95" t="str">
        <x:v>F 数据、协议与复现</x:v>
      </x:c>
      <x:c r="H865" s="95" t="str">
        <x:v>版本锁定</x:v>
      </x:c>
      <x:c r="I865" s="95" t="str">
        <x:v>用测量不确定度、独立批次、确定性回放和复现包支撑科学结论。</x:v>
      </x:c>
      <x:c r="J865" s="95" t="str">
        <x:v>建立统一ID、原始数据不可变、协议/代码版本、W3C PROV/RO-Crate复现包。</x:v>
      </x:c>
      <x:c r="K865" s="95" t="str">
        <x:v>可直接支撑当前EIS-only闭环。</x:v>
      </x:c>
      <x:c r="L865" s="95" t="str">
        <x:v>M1 前瞻验证（2–5月）</x:v>
      </x:c>
      <x:c r="M865" s="95" t="str">
        <x:v>第二批接入</x:v>
      </x:c>
      <x:c r="N865" s="95" t="str">
        <x:v>P1</x:v>
      </x:c>
      <x:c r="O865" s="95" t="str">
        <x:v>https://pubs.acs.org/doi/10.1021/acs.chemrev.4c00055</x:v>
      </x:c>
      <x:c r="P865" s="96" t="str">
        <x:v>待评审</x:v>
      </x:c>
    </x:row>
    <x:row r="866">
      <x:c r="A866" s="94" t="str">
        <x:v>T0862</x:v>
      </x:c>
      <x:c r="B866" s="95" t="str">
        <x:v>可信、安全、运营与思维模型</x:v>
      </x:c>
      <x:c r="C866" s="95" t="str">
        <x:v>可靠性、验证、复现与质量体系</x:v>
      </x:c>
      <x:c r="D866" s="95" t="str">
        <x:v>核心必需</x:v>
      </x:c>
      <x:c r="E866" s="100" t="n">
        <x:v>12</x:v>
      </x:c>
      <x:c r="F866" s="95" t="str">
        <x:v>两线共用</x:v>
      </x:c>
      <x:c r="G866" s="95" t="str">
        <x:v>F 数据、协议与复现</x:v>
      </x:c>
      <x:c r="H866" s="95" t="str">
        <x:v>运行环境捕获</x:v>
      </x:c>
      <x:c r="I866" s="95" t="str">
        <x:v>用测量不确定度、独立批次、确定性回放和复现包支撑科学结论。</x:v>
      </x:c>
      <x:c r="J866" s="95" t="str">
        <x:v>建立统一ID、原始数据不可变、协议/代码版本、W3C PROV/RO-Crate复现包。</x:v>
      </x:c>
      <x:c r="K866" s="95" t="str">
        <x:v>可直接支撑当前EIS-only闭环。</x:v>
      </x:c>
      <x:c r="L866" s="95" t="str">
        <x:v>M1 前瞻验证（2–5月）</x:v>
      </x:c>
      <x:c r="M866" s="95" t="str">
        <x:v>第二批接入</x:v>
      </x:c>
      <x:c r="N866" s="95" t="str">
        <x:v>P1</x:v>
      </x:c>
      <x:c r="O866" s="95" t="str">
        <x:v>https://www.nature.com/articles/s41467-024-45569-5</x:v>
      </x:c>
      <x:c r="P866" s="96" t="str">
        <x:v>待评审</x:v>
      </x:c>
    </x:row>
    <x:row r="867">
      <x:c r="A867" s="94" t="str">
        <x:v>T0863</x:v>
      </x:c>
      <x:c r="B867" s="95" t="str">
        <x:v>可信、安全、运营与思维模型</x:v>
      </x:c>
      <x:c r="C867" s="95" t="str">
        <x:v>可靠性、验证、复现与质量体系</x:v>
      </x:c>
      <x:c r="D867" s="95" t="str">
        <x:v>核心必需</x:v>
      </x:c>
      <x:c r="E867" s="100" t="n">
        <x:v>12</x:v>
      </x:c>
      <x:c r="F867" s="95" t="str">
        <x:v>两线共用</x:v>
      </x:c>
      <x:c r="G867" s="95" t="str">
        <x:v>F 数据、协议与复现</x:v>
      </x:c>
      <x:c r="H867" s="95" t="str">
        <x:v>容器化复现</x:v>
      </x:c>
      <x:c r="I867" s="95" t="str">
        <x:v>用测量不确定度、独立批次、确定性回放和复现包支撑科学结论。</x:v>
      </x:c>
      <x:c r="J867" s="95" t="str">
        <x:v>建立统一ID、原始数据不可变、协议/代码版本、W3C PROV/RO-Crate复现包。</x:v>
      </x:c>
      <x:c r="K867" s="95" t="str">
        <x:v>可直接支撑当前EIS-only闭环。</x:v>
      </x:c>
      <x:c r="L867" s="95" t="str">
        <x:v>M1 前瞻验证（2–5月）</x:v>
      </x:c>
      <x:c r="M867" s="95" t="str">
        <x:v>第二批接入</x:v>
      </x:c>
      <x:c r="N867" s="95" t="str">
        <x:v>P1</x:v>
      </x:c>
      <x:c r="O867" s="95" t="str">
        <x:v>https://www.nature.com/articles/sdata201618</x:v>
      </x:c>
      <x:c r="P867" s="96" t="str">
        <x:v>待评审</x:v>
      </x:c>
    </x:row>
    <x:row r="868">
      <x:c r="A868" s="94" t="str">
        <x:v>T0864</x:v>
      </x:c>
      <x:c r="B868" s="95" t="str">
        <x:v>可信、安全、运营与思维模型</x:v>
      </x:c>
      <x:c r="C868" s="95" t="str">
        <x:v>可靠性、验证、复现与质量体系</x:v>
      </x:c>
      <x:c r="D868" s="95" t="str">
        <x:v>核心必需</x:v>
      </x:c>
      <x:c r="E868" s="100" t="n">
        <x:v>12</x:v>
      </x:c>
      <x:c r="F868" s="95" t="str">
        <x:v>两线共用</x:v>
      </x:c>
      <x:c r="G868" s="95" t="str">
        <x:v>F 数据、协议与复现</x:v>
      </x:c>
      <x:c r="H868" s="95" t="str">
        <x:v>数据校验和</x:v>
      </x:c>
      <x:c r="I868" s="95" t="str">
        <x:v>用测量不确定度、独立批次、确定性回放和复现包支撑科学结论。</x:v>
      </x:c>
      <x:c r="J868" s="95" t="str">
        <x:v>建立统一ID、原始数据不可变、协议/代码版本、W3C PROV/RO-Crate复现包。</x:v>
      </x:c>
      <x:c r="K868" s="95" t="str">
        <x:v>可直接支撑当前EIS-only闭环。</x:v>
      </x:c>
      <x:c r="L868" s="95" t="str">
        <x:v>M1 前瞻验证（2–5月）</x:v>
      </x:c>
      <x:c r="M868" s="95" t="str">
        <x:v>第二批接入</x:v>
      </x:c>
      <x:c r="N868" s="95" t="str">
        <x:v>P1</x:v>
      </x:c>
      <x:c r="O868" s="95" t="str">
        <x:v>https://www.fda.gov/regulatory-information/search-fda-guidance-documents/part-11-electronic-records-electronic-signatures-scope-and-application</x:v>
      </x:c>
      <x:c r="P868" s="96" t="str">
        <x:v>待评审</x:v>
      </x:c>
    </x:row>
    <x:row r="869">
      <x:c r="A869" s="94" t="str">
        <x:v>T0865</x:v>
      </x:c>
      <x:c r="B869" s="95" t="str">
        <x:v>可信、安全、运营与思维模型</x:v>
      </x:c>
      <x:c r="C869" s="95" t="str">
        <x:v>可靠性、验证、复现与质量体系</x:v>
      </x:c>
      <x:c r="D869" s="95" t="str">
        <x:v>核心必需</x:v>
      </x:c>
      <x:c r="E869" s="100" t="n">
        <x:v>12</x:v>
      </x:c>
      <x:c r="F869" s="95" t="str">
        <x:v>两线共用</x:v>
      </x:c>
      <x:c r="G869" s="95" t="str">
        <x:v>F 数据、协议与复现</x:v>
      </x:c>
      <x:c r="H869" s="95" t="str">
        <x:v>参考标准物质</x:v>
      </x:c>
      <x:c r="I869" s="95" t="str">
        <x:v>用测量不确定度、独立批次、确定性回放和复现包支撑科学结论。</x:v>
      </x:c>
      <x:c r="J869" s="95" t="str">
        <x:v>建立统一ID、原始数据不可变、协议/代码版本、W3C PROV/RO-Crate复现包。</x:v>
      </x:c>
      <x:c r="K869" s="95" t="str">
        <x:v>可直接支撑当前EIS-only闭环。</x:v>
      </x:c>
      <x:c r="L869" s="95" t="str">
        <x:v>M1 前瞻验证（2–5月）</x:v>
      </x:c>
      <x:c r="M869" s="95" t="str">
        <x:v>第二批接入</x:v>
      </x:c>
      <x:c r="N869" s="95" t="str">
        <x:v>P1</x:v>
      </x:c>
      <x:c r="O869" s="95" t="str">
        <x:v>https://pubs.acs.org/doi/10.1021/acs.chemrev.4c00055</x:v>
      </x:c>
      <x:c r="P869" s="96" t="str">
        <x:v>待评审</x:v>
      </x:c>
    </x:row>
    <x:row r="870">
      <x:c r="A870" s="94" t="str">
        <x:v>T0866</x:v>
      </x:c>
      <x:c r="B870" s="95" t="str">
        <x:v>可信、安全、运营与思维模型</x:v>
      </x:c>
      <x:c r="C870" s="95" t="str">
        <x:v>可靠性、验证、复现与质量体系</x:v>
      </x:c>
      <x:c r="D870" s="95" t="str">
        <x:v>核心必需</x:v>
      </x:c>
      <x:c r="E870" s="100" t="n">
        <x:v>12</x:v>
      </x:c>
      <x:c r="F870" s="95" t="str">
        <x:v>两线共用</x:v>
      </x:c>
      <x:c r="G870" s="95" t="str">
        <x:v>F 数据、协议与复现</x:v>
      </x:c>
      <x:c r="H870" s="95" t="str">
        <x:v>QC样</x:v>
      </x:c>
      <x:c r="I870" s="95" t="str">
        <x:v>用测量不确定度、独立批次、确定性回放和复现包支撑科学结论。</x:v>
      </x:c>
      <x:c r="J870" s="95" t="str">
        <x:v>建立统一ID、原始数据不可变、协议/代码版本、W3C PROV/RO-Crate复现包。</x:v>
      </x:c>
      <x:c r="K870" s="95" t="str">
        <x:v>可直接支撑当前EIS-only闭环。</x:v>
      </x:c>
      <x:c r="L870" s="95" t="str">
        <x:v>M1 前瞻验证（2–5月）</x:v>
      </x:c>
      <x:c r="M870" s="95" t="str">
        <x:v>第二批接入</x:v>
      </x:c>
      <x:c r="N870" s="95" t="str">
        <x:v>P1</x:v>
      </x:c>
      <x:c r="O870" s="95" t="str">
        <x:v>https://www.nature.com/articles/s41467-024-45569-5</x:v>
      </x:c>
      <x:c r="P870" s="96" t="str">
        <x:v>待评审</x:v>
      </x:c>
    </x:row>
    <x:row r="871">
      <x:c r="A871" s="94" t="str">
        <x:v>T0867</x:v>
      </x:c>
      <x:c r="B871" s="95" t="str">
        <x:v>可信、安全、运营与思维模型</x:v>
      </x:c>
      <x:c r="C871" s="95" t="str">
        <x:v>可靠性、验证、复现与质量体系</x:v>
      </x:c>
      <x:c r="D871" s="95" t="str">
        <x:v>核心必需</x:v>
      </x:c>
      <x:c r="E871" s="100" t="n">
        <x:v>12</x:v>
      </x:c>
      <x:c r="F871" s="95" t="str">
        <x:v>两线共用</x:v>
      </x:c>
      <x:c r="G871" s="95" t="str">
        <x:v>F 数据、协议与复现</x:v>
      </x:c>
      <x:c r="H871" s="95" t="str">
        <x:v>控制图</x:v>
      </x:c>
      <x:c r="I871" s="95" t="str">
        <x:v>用测量不确定度、独立批次、确定性回放和复现包支撑科学结论。</x:v>
      </x:c>
      <x:c r="J871" s="95" t="str">
        <x:v>建立统一ID、原始数据不可变、协议/代码版本、W3C PROV/RO-Crate复现包。</x:v>
      </x:c>
      <x:c r="K871" s="95" t="str">
        <x:v>可直接支撑当前EIS-only闭环。</x:v>
      </x:c>
      <x:c r="L871" s="95" t="str">
        <x:v>M1 前瞻验证（2–5月）</x:v>
      </x:c>
      <x:c r="M871" s="95" t="str">
        <x:v>第二批接入</x:v>
      </x:c>
      <x:c r="N871" s="95" t="str">
        <x:v>P1</x:v>
      </x:c>
      <x:c r="O871" s="95" t="str">
        <x:v>https://www.nature.com/articles/sdata201618</x:v>
      </x:c>
      <x:c r="P871" s="96" t="str">
        <x:v>待评审</x:v>
      </x:c>
    </x:row>
    <x:row r="872">
      <x:c r="A872" s="94" t="str">
        <x:v>T0868</x:v>
      </x:c>
      <x:c r="B872" s="95" t="str">
        <x:v>可信、安全、运营与思维模型</x:v>
      </x:c>
      <x:c r="C872" s="95" t="str">
        <x:v>可靠性、验证、复现与质量体系</x:v>
      </x:c>
      <x:c r="D872" s="95" t="str">
        <x:v>核心必需</x:v>
      </x:c>
      <x:c r="E872" s="100" t="n">
        <x:v>12</x:v>
      </x:c>
      <x:c r="F872" s="95" t="str">
        <x:v>两线共用</x:v>
      </x:c>
      <x:c r="G872" s="95" t="str">
        <x:v>F 数据、协议与复现</x:v>
      </x:c>
      <x:c r="H872" s="95" t="str">
        <x:v>统计过程控制SPC</x:v>
      </x:c>
      <x:c r="I872" s="95" t="str">
        <x:v>用测量不确定度、独立批次、确定性回放和复现包支撑科学结论。</x:v>
      </x:c>
      <x:c r="J872" s="95" t="str">
        <x:v>建立统一ID、原始数据不可变、协议/代码版本、W3C PROV/RO-Crate复现包。</x:v>
      </x:c>
      <x:c r="K872" s="95" t="str">
        <x:v>可直接支撑当前EIS-only闭环。</x:v>
      </x:c>
      <x:c r="L872" s="95" t="str">
        <x:v>M1 前瞻验证（2–5月）</x:v>
      </x:c>
      <x:c r="M872" s="95" t="str">
        <x:v>第二批接入</x:v>
      </x:c>
      <x:c r="N872" s="95" t="str">
        <x:v>P1</x:v>
      </x:c>
      <x:c r="O872" s="95" t="str">
        <x:v>https://www.fda.gov/regulatory-information/search-fda-guidance-documents/part-11-electronic-records-electronic-signatures-scope-and-application</x:v>
      </x:c>
      <x:c r="P872" s="96" t="str">
        <x:v>待评审</x:v>
      </x:c>
    </x:row>
    <x:row r="873">
      <x:c r="A873" s="94" t="str">
        <x:v>T0869</x:v>
      </x:c>
      <x:c r="B873" s="95" t="str">
        <x:v>可信、安全、运营与思维模型</x:v>
      </x:c>
      <x:c r="C873" s="95" t="str">
        <x:v>可靠性、验证、复现与质量体系</x:v>
      </x:c>
      <x:c r="D873" s="95" t="str">
        <x:v>核心必需</x:v>
      </x:c>
      <x:c r="E873" s="100" t="n">
        <x:v>12</x:v>
      </x:c>
      <x:c r="F873" s="95" t="str">
        <x:v>两线共用</x:v>
      </x:c>
      <x:c r="G873" s="95" t="str">
        <x:v>F 数据、协议与复现</x:v>
      </x:c>
      <x:c r="H873" s="95" t="str">
        <x:v>Gage R&amp;R</x:v>
      </x:c>
      <x:c r="I873" s="95" t="str">
        <x:v>用测量不确定度、独立批次、确定性回放和复现包支撑科学结论。</x:v>
      </x:c>
      <x:c r="J873" s="95" t="str">
        <x:v>建立统一ID、原始数据不可变、协议/代码版本、W3C PROV/RO-Crate复现包。</x:v>
      </x:c>
      <x:c r="K873" s="95" t="str">
        <x:v>可直接支撑当前EIS-only闭环。</x:v>
      </x:c>
      <x:c r="L873" s="95" t="str">
        <x:v>M1 前瞻验证（2–5月）</x:v>
      </x:c>
      <x:c r="M873" s="95" t="str">
        <x:v>第二批接入</x:v>
      </x:c>
      <x:c r="N873" s="95" t="str">
        <x:v>P2</x:v>
      </x:c>
      <x:c r="O873" s="95" t="str">
        <x:v>https://pubs.acs.org/doi/10.1021/acs.chemrev.4c00055</x:v>
      </x:c>
      <x:c r="P873" s="96" t="str">
        <x:v>待评审</x:v>
      </x:c>
    </x:row>
    <x:row r="874">
      <x:c r="A874" s="94" t="str">
        <x:v>T0870</x:v>
      </x:c>
      <x:c r="B874" s="95" t="str">
        <x:v>可信、安全、运营与思维模型</x:v>
      </x:c>
      <x:c r="C874" s="95" t="str">
        <x:v>可靠性、验证、复现与质量体系</x:v>
      </x:c>
      <x:c r="D874" s="95" t="str">
        <x:v>核心必需</x:v>
      </x:c>
      <x:c r="E874" s="100" t="n">
        <x:v>12</x:v>
      </x:c>
      <x:c r="F874" s="95" t="str">
        <x:v>两线共用</x:v>
      </x:c>
      <x:c r="G874" s="95" t="str">
        <x:v>F 数据、协议与复现</x:v>
      </x:c>
      <x:c r="H874" s="95" t="str">
        <x:v>测量不确定度</x:v>
      </x:c>
      <x:c r="I874" s="95" t="str">
        <x:v>用测量不确定度、独立批次、确定性回放和复现包支撑科学结论。</x:v>
      </x:c>
      <x:c r="J874" s="95" t="str">
        <x:v>建立统一ID、原始数据不可变、协议/代码版本、W3C PROV/RO-Crate复现包。</x:v>
      </x:c>
      <x:c r="K874" s="95" t="str">
        <x:v>可直接支撑当前EIS-only闭环。</x:v>
      </x:c>
      <x:c r="L874" s="95" t="str">
        <x:v>M0 主流程接入（0–2月）</x:v>
      </x:c>
      <x:c r="M874" s="95" t="str">
        <x:v>首批接入</x:v>
      </x:c>
      <x:c r="N874" s="95" t="str">
        <x:v>P2</x:v>
      </x:c>
      <x:c r="O874" s="95" t="str">
        <x:v>https://www.nature.com/articles/s41467-024-45569-5</x:v>
      </x:c>
      <x:c r="P874" s="96" t="str">
        <x:v>待评审</x:v>
      </x:c>
    </x:row>
    <x:row r="875">
      <x:c r="A875" s="94" t="str">
        <x:v>T0871</x:v>
      </x:c>
      <x:c r="B875" s="95" t="str">
        <x:v>可信、安全、运营与思维模型</x:v>
      </x:c>
      <x:c r="C875" s="95" t="str">
        <x:v>可靠性、验证、复现与质量体系</x:v>
      </x:c>
      <x:c r="D875" s="95" t="str">
        <x:v>核心必需</x:v>
      </x:c>
      <x:c r="E875" s="100" t="n">
        <x:v>12</x:v>
      </x:c>
      <x:c r="F875" s="95" t="str">
        <x:v>两线共用</x:v>
      </x:c>
      <x:c r="G875" s="95" t="str">
        <x:v>F 数据、协议与复现</x:v>
      </x:c>
      <x:c r="H875" s="95" t="str">
        <x:v>方法验证</x:v>
      </x:c>
      <x:c r="I875" s="95" t="str">
        <x:v>用测量不确定度、独立批次、确定性回放和复现包支撑科学结论。</x:v>
      </x:c>
      <x:c r="J875" s="95" t="str">
        <x:v>建立统一ID、原始数据不可变、协议/代码版本、W3C PROV/RO-Crate复现包。</x:v>
      </x:c>
      <x:c r="K875" s="95" t="str">
        <x:v>可直接支撑当前EIS-only闭环。</x:v>
      </x:c>
      <x:c r="L875" s="95" t="str">
        <x:v>M1 前瞻验证（2–5月）</x:v>
      </x:c>
      <x:c r="M875" s="95" t="str">
        <x:v>第二批接入</x:v>
      </x:c>
      <x:c r="N875" s="95" t="str">
        <x:v>P2</x:v>
      </x:c>
      <x:c r="O875" s="95" t="str">
        <x:v>https://www.nature.com/articles/sdata201618</x:v>
      </x:c>
      <x:c r="P875" s="96" t="str">
        <x:v>待评审</x:v>
      </x:c>
    </x:row>
    <x:row r="876">
      <x:c r="A876" s="94" t="str">
        <x:v>T0872</x:v>
      </x:c>
      <x:c r="B876" s="95" t="str">
        <x:v>可信、安全、运营与思维模型</x:v>
      </x:c>
      <x:c r="C876" s="95" t="str">
        <x:v>可靠性、验证、复现与质量体系</x:v>
      </x:c>
      <x:c r="D876" s="95" t="str">
        <x:v>核心必需</x:v>
      </x:c>
      <x:c r="E876" s="100" t="n">
        <x:v>12</x:v>
      </x:c>
      <x:c r="F876" s="95" t="str">
        <x:v>两线共用</x:v>
      </x:c>
      <x:c r="G876" s="95" t="str">
        <x:v>F 数据、协议与复现</x:v>
      </x:c>
      <x:c r="H876" s="95" t="str">
        <x:v>重复性</x:v>
      </x:c>
      <x:c r="I876" s="95" t="str">
        <x:v>用测量不确定度、独立批次、确定性回放和复现包支撑科学结论。</x:v>
      </x:c>
      <x:c r="J876" s="95" t="str">
        <x:v>建立统一ID、原始数据不可变、协议/代码版本、W3C PROV/RO-Crate复现包。</x:v>
      </x:c>
      <x:c r="K876" s="95" t="str">
        <x:v>可直接支撑当前EIS-only闭环。</x:v>
      </x:c>
      <x:c r="L876" s="95" t="str">
        <x:v>M1 前瞻验证（2–5月）</x:v>
      </x:c>
      <x:c r="M876" s="95" t="str">
        <x:v>第二批接入</x:v>
      </x:c>
      <x:c r="N876" s="95" t="str">
        <x:v>P2</x:v>
      </x:c>
      <x:c r="O876" s="95" t="str">
        <x:v>https://www.fda.gov/regulatory-information/search-fda-guidance-documents/part-11-electronic-records-electronic-signatures-scope-and-application</x:v>
      </x:c>
      <x:c r="P876" s="96" t="str">
        <x:v>待评审</x:v>
      </x:c>
    </x:row>
    <x:row r="877">
      <x:c r="A877" s="94" t="str">
        <x:v>T0873</x:v>
      </x:c>
      <x:c r="B877" s="95" t="str">
        <x:v>可信、安全、运营与思维模型</x:v>
      </x:c>
      <x:c r="C877" s="95" t="str">
        <x:v>可靠性、验证、复现与质量体系</x:v>
      </x:c>
      <x:c r="D877" s="95" t="str">
        <x:v>核心必需</x:v>
      </x:c>
      <x:c r="E877" s="100" t="n">
        <x:v>12</x:v>
      </x:c>
      <x:c r="F877" s="95" t="str">
        <x:v>两线共用</x:v>
      </x:c>
      <x:c r="G877" s="95" t="str">
        <x:v>F 数据、协议与复现</x:v>
      </x:c>
      <x:c r="H877" s="95" t="str">
        <x:v>再现性</x:v>
      </x:c>
      <x:c r="I877" s="95" t="str">
        <x:v>用测量不确定度、独立批次、确定性回放和复现包支撑科学结论。</x:v>
      </x:c>
      <x:c r="J877" s="95" t="str">
        <x:v>建立统一ID、原始数据不可变、协议/代码版本、W3C PROV/RO-Crate复现包。</x:v>
      </x:c>
      <x:c r="K877" s="95" t="str">
        <x:v>可直接支撑当前EIS-only闭环。</x:v>
      </x:c>
      <x:c r="L877" s="95" t="str">
        <x:v>M0 主流程接入（0–2月）</x:v>
      </x:c>
      <x:c r="M877" s="95" t="str">
        <x:v>首批接入</x:v>
      </x:c>
      <x:c r="N877" s="95" t="str">
        <x:v>P2</x:v>
      </x:c>
      <x:c r="O877" s="95" t="str">
        <x:v>https://pubs.acs.org/doi/10.1021/acs.chemrev.4c00055</x:v>
      </x:c>
      <x:c r="P877" s="96" t="str">
        <x:v>待评审</x:v>
      </x:c>
    </x:row>
    <x:row r="878">
      <x:c r="A878" s="94" t="str">
        <x:v>T0874</x:v>
      </x:c>
      <x:c r="B878" s="95" t="str">
        <x:v>可信、安全、运营与思维模型</x:v>
      </x:c>
      <x:c r="C878" s="95" t="str">
        <x:v>可靠性、验证、复现与质量体系</x:v>
      </x:c>
      <x:c r="D878" s="95" t="str">
        <x:v>核心必需</x:v>
      </x:c>
      <x:c r="E878" s="100" t="n">
        <x:v>12</x:v>
      </x:c>
      <x:c r="F878" s="95" t="str">
        <x:v>两线共用</x:v>
      </x:c>
      <x:c r="G878" s="95" t="str">
        <x:v>F 数据、协议与复现</x:v>
      </x:c>
      <x:c r="H878" s="95" t="str">
        <x:v>鲁棒性</x:v>
      </x:c>
      <x:c r="I878" s="95" t="str">
        <x:v>用测量不确定度、独立批次、确定性回放和复现包支撑科学结论。</x:v>
      </x:c>
      <x:c r="J878" s="95" t="str">
        <x:v>建立统一ID、原始数据不可变、协议/代码版本、W3C PROV/RO-Crate复现包。</x:v>
      </x:c>
      <x:c r="K878" s="95" t="str">
        <x:v>可直接支撑当前EIS-only闭环。</x:v>
      </x:c>
      <x:c r="L878" s="95" t="str">
        <x:v>M1 前瞻验证（2–5月）</x:v>
      </x:c>
      <x:c r="M878" s="95" t="str">
        <x:v>第二批接入</x:v>
      </x:c>
      <x:c r="N878" s="95" t="str">
        <x:v>P2</x:v>
      </x:c>
      <x:c r="O878" s="95" t="str">
        <x:v>https://www.nature.com/articles/s41467-024-45569-5</x:v>
      </x:c>
      <x:c r="P878" s="96" t="str">
        <x:v>待评审</x:v>
      </x:c>
    </x:row>
    <x:row r="879">
      <x:c r="A879" s="94" t="str">
        <x:v>T0875</x:v>
      </x:c>
      <x:c r="B879" s="95" t="str">
        <x:v>可信、安全、运营与思维模型</x:v>
      </x:c>
      <x:c r="C879" s="95" t="str">
        <x:v>可靠性、验证、复现与质量体系</x:v>
      </x:c>
      <x:c r="D879" s="95" t="str">
        <x:v>核心必需</x:v>
      </x:c>
      <x:c r="E879" s="100" t="n">
        <x:v>12</x:v>
      </x:c>
      <x:c r="F879" s="95" t="str">
        <x:v>两线共用</x:v>
      </x:c>
      <x:c r="G879" s="95" t="str">
        <x:v>F 数据、协议与复现</x:v>
      </x:c>
      <x:c r="H879" s="95" t="str">
        <x:v>Ruggedness</x:v>
      </x:c>
      <x:c r="I879" s="95" t="str">
        <x:v>用测量不确定度、独立批次、确定性回放和复现包支撑科学结论。</x:v>
      </x:c>
      <x:c r="J879" s="95" t="str">
        <x:v>建立统一ID、原始数据不可变、协议/代码版本、W3C PROV/RO-Crate复现包。</x:v>
      </x:c>
      <x:c r="K879" s="95" t="str">
        <x:v>可直接支撑当前EIS-only闭环。</x:v>
      </x:c>
      <x:c r="L879" s="95" t="str">
        <x:v>M1 前瞻验证（2–5月）</x:v>
      </x:c>
      <x:c r="M879" s="95" t="str">
        <x:v>第二批接入</x:v>
      </x:c>
      <x:c r="N879" s="95" t="str">
        <x:v>P2</x:v>
      </x:c>
      <x:c r="O879" s="95" t="str">
        <x:v>https://www.nature.com/articles/sdata201618</x:v>
      </x:c>
      <x:c r="P879" s="96" t="str">
        <x:v>待评审</x:v>
      </x:c>
    </x:row>
    <x:row r="880">
      <x:c r="A880" s="94" t="str">
        <x:v>T0876</x:v>
      </x:c>
      <x:c r="B880" s="95" t="str">
        <x:v>可信、安全、运营与思维模型</x:v>
      </x:c>
      <x:c r="C880" s="95" t="str">
        <x:v>可靠性、验证、复现与质量体系</x:v>
      </x:c>
      <x:c r="D880" s="95" t="str">
        <x:v>核心必需</x:v>
      </x:c>
      <x:c r="E880" s="100" t="n">
        <x:v>12</x:v>
      </x:c>
      <x:c r="F880" s="95" t="str">
        <x:v>两线共用</x:v>
      </x:c>
      <x:c r="G880" s="95" t="str">
        <x:v>F 数据、协议与复现</x:v>
      </x:c>
      <x:c r="H880" s="95" t="str">
        <x:v>跨实验室验证</x:v>
      </x:c>
      <x:c r="I880" s="95" t="str">
        <x:v>用测量不确定度、独立批次、确定性回放和复现包支撑科学结论。</x:v>
      </x:c>
      <x:c r="J880" s="95" t="str">
        <x:v>建立统一ID、原始数据不可变、协议/代码版本、W3C PROV/RO-Crate复现包。</x:v>
      </x:c>
      <x:c r="K880" s="95" t="str">
        <x:v>可直接支撑当前EIS-only闭环。</x:v>
      </x:c>
      <x:c r="L880" s="95" t="str">
        <x:v>M1 前瞻验证（2–5月）</x:v>
      </x:c>
      <x:c r="M880" s="95" t="str">
        <x:v>第二批接入</x:v>
      </x:c>
      <x:c r="N880" s="95" t="str">
        <x:v>P2</x:v>
      </x:c>
      <x:c r="O880" s="95" t="str">
        <x:v>https://www.fda.gov/regulatory-information/search-fda-guidance-documents/part-11-electronic-records-electronic-signatures-scope-and-application</x:v>
      </x:c>
      <x:c r="P880" s="96" t="str">
        <x:v>待评审</x:v>
      </x:c>
    </x:row>
    <x:row r="881">
      <x:c r="A881" s="94" t="str">
        <x:v>T0877</x:v>
      </x:c>
      <x:c r="B881" s="95" t="str">
        <x:v>可信、安全、运营与思维模型</x:v>
      </x:c>
      <x:c r="C881" s="95" t="str">
        <x:v>可靠性、验证、复现与质量体系</x:v>
      </x:c>
      <x:c r="D881" s="95" t="str">
        <x:v>核心必需</x:v>
      </x:c>
      <x:c r="E881" s="100" t="n">
        <x:v>12</x:v>
      </x:c>
      <x:c r="F881" s="95" t="str">
        <x:v>两线共用</x:v>
      </x:c>
      <x:c r="G881" s="95" t="str">
        <x:v>F 数据、协议与复现</x:v>
      </x:c>
      <x:c r="H881" s="95" t="str">
        <x:v>基准测试</x:v>
      </x:c>
      <x:c r="I881" s="95" t="str">
        <x:v>用测量不确定度、独立批次、确定性回放和复现包支撑科学结论。</x:v>
      </x:c>
      <x:c r="J881" s="95" t="str">
        <x:v>建立统一ID、原始数据不可变、协议/代码版本、W3C PROV/RO-Crate复现包。</x:v>
      </x:c>
      <x:c r="K881" s="95" t="str">
        <x:v>可直接支撑当前EIS-only闭环。</x:v>
      </x:c>
      <x:c r="L881" s="95" t="str">
        <x:v>M1 前瞻验证（2–5月）</x:v>
      </x:c>
      <x:c r="M881" s="95" t="str">
        <x:v>第二批接入</x:v>
      </x:c>
      <x:c r="N881" s="95" t="str">
        <x:v>P2</x:v>
      </x:c>
      <x:c r="O881" s="95" t="str">
        <x:v>https://pubs.acs.org/doi/10.1021/acs.chemrev.4c00055</x:v>
      </x:c>
      <x:c r="P881" s="96" t="str">
        <x:v>待评审</x:v>
      </x:c>
    </x:row>
    <x:row r="882">
      <x:c r="A882" s="94" t="str">
        <x:v>T0878</x:v>
      </x:c>
      <x:c r="B882" s="95" t="str">
        <x:v>可信、安全、运营与思维模型</x:v>
      </x:c>
      <x:c r="C882" s="95" t="str">
        <x:v>可靠性、验证、复现与质量体系</x:v>
      </x:c>
      <x:c r="D882" s="95" t="str">
        <x:v>核心必需</x:v>
      </x:c>
      <x:c r="E882" s="100" t="n">
        <x:v>12</x:v>
      </x:c>
      <x:c r="F882" s="95" t="str">
        <x:v>两线共用</x:v>
      </x:c>
      <x:c r="G882" s="95" t="str">
        <x:v>F 数据、协议与复现</x:v>
      </x:c>
      <x:c r="H882" s="95" t="str">
        <x:v>验收测试</x:v>
      </x:c>
      <x:c r="I882" s="95" t="str">
        <x:v>用测量不确定度、独立批次、确定性回放和复现包支撑科学结论。</x:v>
      </x:c>
      <x:c r="J882" s="95" t="str">
        <x:v>建立统一ID、原始数据不可变、协议/代码版本、W3C PROV/RO-Crate复现包。</x:v>
      </x:c>
      <x:c r="K882" s="95" t="str">
        <x:v>可直接支撑当前EIS-only闭环。</x:v>
      </x:c>
      <x:c r="L882" s="95" t="str">
        <x:v>M1 前瞻验证（2–5月）</x:v>
      </x:c>
      <x:c r="M882" s="95" t="str">
        <x:v>第二批接入</x:v>
      </x:c>
      <x:c r="N882" s="95" t="str">
        <x:v>P2</x:v>
      </x:c>
      <x:c r="O882" s="95" t="str">
        <x:v>https://www.nature.com/articles/s41467-024-45569-5</x:v>
      </x:c>
      <x:c r="P882" s="96" t="str">
        <x:v>待评审</x:v>
      </x:c>
    </x:row>
    <x:row r="883">
      <x:c r="A883" s="94" t="str">
        <x:v>T0879</x:v>
      </x:c>
      <x:c r="B883" s="95" t="str">
        <x:v>可信、安全、运营与思维模型</x:v>
      </x:c>
      <x:c r="C883" s="95" t="str">
        <x:v>可靠性、验证、复现与质量体系</x:v>
      </x:c>
      <x:c r="D883" s="95" t="str">
        <x:v>核心必需</x:v>
      </x:c>
      <x:c r="E883" s="100" t="n">
        <x:v>12</x:v>
      </x:c>
      <x:c r="F883" s="95" t="str">
        <x:v>两线共用</x:v>
      </x:c>
      <x:c r="G883" s="95" t="str">
        <x:v>F 数据、协议与复现</x:v>
      </x:c>
      <x:c r="H883" s="95" t="str">
        <x:v>回归测试</x:v>
      </x:c>
      <x:c r="I883" s="95" t="str">
        <x:v>用测量不确定度、独立批次、确定性回放和复现包支撑科学结论。</x:v>
      </x:c>
      <x:c r="J883" s="95" t="str">
        <x:v>建立统一ID、原始数据不可变、协议/代码版本、W3C PROV/RO-Crate复现包。</x:v>
      </x:c>
      <x:c r="K883" s="95" t="str">
        <x:v>可直接支撑当前EIS-only闭环。</x:v>
      </x:c>
      <x:c r="L883" s="95" t="str">
        <x:v>M1 前瞻验证（2–5月）</x:v>
      </x:c>
      <x:c r="M883" s="95" t="str">
        <x:v>第二批接入</x:v>
      </x:c>
      <x:c r="N883" s="95" t="str">
        <x:v>P2</x:v>
      </x:c>
      <x:c r="O883" s="95" t="str">
        <x:v>https://www.nature.com/articles/sdata201618</x:v>
      </x:c>
      <x:c r="P883" s="96" t="str">
        <x:v>待评审</x:v>
      </x:c>
    </x:row>
    <x:row r="884">
      <x:c r="A884" s="94" t="str">
        <x:v>T0880</x:v>
      </x:c>
      <x:c r="B884" s="95" t="str">
        <x:v>可信、安全、运营与思维模型</x:v>
      </x:c>
      <x:c r="C884" s="95" t="str">
        <x:v>可靠性、验证、复现与质量体系</x:v>
      </x:c>
      <x:c r="D884" s="95" t="str">
        <x:v>核心必需</x:v>
      </x:c>
      <x:c r="E884" s="100" t="n">
        <x:v>12</x:v>
      </x:c>
      <x:c r="F884" s="95" t="str">
        <x:v>两线共用</x:v>
      </x:c>
      <x:c r="G884" s="95" t="str">
        <x:v>F 数据、协议与复现</x:v>
      </x:c>
      <x:c r="H884" s="95" t="str">
        <x:v>复现包</x:v>
      </x:c>
      <x:c r="I884" s="95" t="str">
        <x:v>用测量不确定度、独立批次、确定性回放和复现包支撑科学结论。</x:v>
      </x:c>
      <x:c r="J884" s="95" t="str">
        <x:v>建立统一ID、原始数据不可变、协议/代码版本、W3C PROV/RO-Crate复现包。</x:v>
      </x:c>
      <x:c r="K884" s="95" t="str">
        <x:v>可直接支撑当前EIS-only闭环。</x:v>
      </x:c>
      <x:c r="L884" s="95" t="str">
        <x:v>M0 主流程接入（0–2月）</x:v>
      </x:c>
      <x:c r="M884" s="95" t="str">
        <x:v>首批接入</x:v>
      </x:c>
      <x:c r="N884" s="95" t="str">
        <x:v>P2</x:v>
      </x:c>
      <x:c r="O884" s="95" t="str">
        <x:v>https://www.fda.gov/regulatory-information/search-fda-guidance-documents/part-11-electronic-records-electronic-signatures-scope-and-application</x:v>
      </x:c>
      <x:c r="P884" s="96" t="str">
        <x:v>待评审</x:v>
      </x:c>
    </x:row>
    <x:row r="885">
      <x:c r="A885" s="94" t="str">
        <x:v>T0881</x:v>
      </x:c>
      <x:c r="B885" s="95" t="str">
        <x:v>可信、安全、运营与思维模型</x:v>
      </x:c>
      <x:c r="C885" s="95" t="str">
        <x:v>实验安全、网络安全、合规与负责任AI</x:v>
      </x:c>
      <x:c r="D885" s="95" t="str">
        <x:v>研究储备</x:v>
      </x:c>
      <x:c r="E885" s="100" t="n">
        <x:v>5</x:v>
      </x:c>
      <x:c r="F885" s="95" t="str">
        <x:v>两线共用</x:v>
      </x:c>
      <x:c r="G885" s="95" t="str">
        <x:v>E 可信智能体与控制架构</x:v>
      </x:c>
      <x:c r="H885" s="95" t="str">
        <x:v>化学卫生计划</x:v>
      </x:c>
      <x:c r="I885" s="95" t="str">
        <x:v>约束仪器权限、危险操作和数据/提示注入风险。</x:v>
      </x:c>
      <x:c r="J885" s="95" t="str">
        <x:v>接入外部验证器、结构化输出、置信校准、拒答、权限与人工门禁。</x:v>
      </x:c>
      <x:c r="K885" s="95" t="str">
        <x:v>可直接支撑当前EIS-only闭环。</x:v>
      </x:c>
      <x:c r="L885" s="95" t="str">
        <x:v>M3 研究储备</x:v>
      </x:c>
      <x:c r="M885" s="95" t="str">
        <x:v>条件具备后</x:v>
      </x:c>
      <x:c r="N885" s="95" t="str">
        <x:v>P0</x:v>
      </x:c>
      <x:c r="O885" s="95" t="str">
        <x:v>https://www.nature.com/articles/s41467-025-63913-1</x:v>
      </x:c>
      <x:c r="P885" s="96" t="str">
        <x:v>待评审</x:v>
      </x:c>
    </x:row>
    <x:row r="886">
      <x:c r="A886" s="94" t="str">
        <x:v>T0882</x:v>
      </x:c>
      <x:c r="B886" s="95" t="str">
        <x:v>可信、安全、运营与思维模型</x:v>
      </x:c>
      <x:c r="C886" s="95" t="str">
        <x:v>实验安全、网络安全、合规与负责任AI</x:v>
      </x:c>
      <x:c r="D886" s="95" t="str">
        <x:v>研究储备</x:v>
      </x:c>
      <x:c r="E886" s="100" t="n">
        <x:v>5</x:v>
      </x:c>
      <x:c r="F886" s="95" t="str">
        <x:v>两线共用</x:v>
      </x:c>
      <x:c r="G886" s="95" t="str">
        <x:v>E 可信智能体与控制架构</x:v>
      </x:c>
      <x:c r="H886" s="95" t="str">
        <x:v>作业风险评估</x:v>
      </x:c>
      <x:c r="I886" s="95" t="str">
        <x:v>约束仪器权限、危险操作和数据/提示注入风险。</x:v>
      </x:c>
      <x:c r="J886" s="95" t="str">
        <x:v>接入外部验证器、结构化输出、置信校准、拒答、权限与人工门禁。</x:v>
      </x:c>
      <x:c r="K886" s="95" t="str">
        <x:v>可直接支撑当前EIS-only闭环。</x:v>
      </x:c>
      <x:c r="L886" s="95" t="str">
        <x:v>M3 研究储备</x:v>
      </x:c>
      <x:c r="M886" s="95" t="str">
        <x:v>条件具备后</x:v>
      </x:c>
      <x:c r="N886" s="95" t="str">
        <x:v>P0</x:v>
      </x:c>
      <x:c r="O886" s="95" t="str">
        <x:v>https://www.nist.gov/itl/ai-risk-management-framework</x:v>
      </x:c>
      <x:c r="P886" s="96" t="str">
        <x:v>待评审</x:v>
      </x:c>
    </x:row>
    <x:row r="887">
      <x:c r="A887" s="94" t="str">
        <x:v>T0883</x:v>
      </x:c>
      <x:c r="B887" s="95" t="str">
        <x:v>可信、安全、运营与思维模型</x:v>
      </x:c>
      <x:c r="C887" s="95" t="str">
        <x:v>实验安全、网络安全、合规与负责任AI</x:v>
      </x:c>
      <x:c r="D887" s="95" t="str">
        <x:v>研究储备</x:v>
      </x:c>
      <x:c r="E887" s="100" t="n">
        <x:v>5</x:v>
      </x:c>
      <x:c r="F887" s="95" t="str">
        <x:v>两线共用</x:v>
      </x:c>
      <x:c r="G887" s="95" t="str">
        <x:v>E 可信智能体与控制架构</x:v>
      </x:c>
      <x:c r="H887" s="95" t="str">
        <x:v>HAZOP</x:v>
      </x:c>
      <x:c r="I887" s="95" t="str">
        <x:v>约束仪器权限、危险操作和数据/提示注入风险。</x:v>
      </x:c>
      <x:c r="J887" s="95" t="str">
        <x:v>接入外部验证器、结构化输出、置信校准、拒答、权限与人工门禁。</x:v>
      </x:c>
      <x:c r="K887" s="95" t="str">
        <x:v>可直接支撑当前EIS-only闭环。</x:v>
      </x:c>
      <x:c r="L887" s="95" t="str">
        <x:v>M3 研究储备</x:v>
      </x:c>
      <x:c r="M887" s="95" t="str">
        <x:v>条件具备后</x:v>
      </x:c>
      <x:c r="N887" s="95" t="str">
        <x:v>P0</x:v>
      </x:c>
      <x:c r="O887" s="95" t="str">
        <x:v>https://www.nist.gov/cyberframework</x:v>
      </x:c>
      <x:c r="P887" s="96" t="str">
        <x:v>待评审</x:v>
      </x:c>
    </x:row>
    <x:row r="888">
      <x:c r="A888" s="94" t="str">
        <x:v>T0884</x:v>
      </x:c>
      <x:c r="B888" s="95" t="str">
        <x:v>可信、安全、运营与思维模型</x:v>
      </x:c>
      <x:c r="C888" s="95" t="str">
        <x:v>实验安全、网络安全、合规与负责任AI</x:v>
      </x:c>
      <x:c r="D888" s="95" t="str">
        <x:v>研究储备</x:v>
      </x:c>
      <x:c r="E888" s="100" t="n">
        <x:v>5</x:v>
      </x:c>
      <x:c r="F888" s="95" t="str">
        <x:v>两线共用</x:v>
      </x:c>
      <x:c r="G888" s="95" t="str">
        <x:v>E 可信智能体与控制架构</x:v>
      </x:c>
      <x:c r="H888" s="95" t="str">
        <x:v>FMEA</x:v>
      </x:c>
      <x:c r="I888" s="95" t="str">
        <x:v>约束仪器权限、危险操作和数据/提示注入风险。</x:v>
      </x:c>
      <x:c r="J888" s="95" t="str">
        <x:v>接入外部验证器、结构化输出、置信校准、拒答、权限与人工门禁。</x:v>
      </x:c>
      <x:c r="K888" s="95" t="str">
        <x:v>可直接支撑当前EIS-only闭环。</x:v>
      </x:c>
      <x:c r="L888" s="95" t="str">
        <x:v>M3 研究储备</x:v>
      </x:c>
      <x:c r="M888" s="95" t="str">
        <x:v>条件具备后</x:v>
      </x:c>
      <x:c r="N888" s="95" t="str">
        <x:v>P0</x:v>
      </x:c>
      <x:c r="O888" s="95" t="str">
        <x:v>https://csrc.nist.gov/pubs/sp/800/82/r3/final</x:v>
      </x:c>
      <x:c r="P888" s="96" t="str">
        <x:v>待评审</x:v>
      </x:c>
    </x:row>
    <x:row r="889">
      <x:c r="A889" s="94" t="str">
        <x:v>T0885</x:v>
      </x:c>
      <x:c r="B889" s="95" t="str">
        <x:v>可信、安全、运营与思维模型</x:v>
      </x:c>
      <x:c r="C889" s="95" t="str">
        <x:v>实验安全、网络安全、合规与负责任AI</x:v>
      </x:c>
      <x:c r="D889" s="95" t="str">
        <x:v>研究储备</x:v>
      </x:c>
      <x:c r="E889" s="100" t="n">
        <x:v>5</x:v>
      </x:c>
      <x:c r="F889" s="95" t="str">
        <x:v>两线共用</x:v>
      </x:c>
      <x:c r="G889" s="95" t="str">
        <x:v>E 可信智能体与控制架构</x:v>
      </x:c>
      <x:c r="H889" s="95" t="str">
        <x:v>LOPA</x:v>
      </x:c>
      <x:c r="I889" s="95" t="str">
        <x:v>约束仪器权限、危险操作和数据/提示注入风险。</x:v>
      </x:c>
      <x:c r="J889" s="95" t="str">
        <x:v>接入外部验证器、结构化输出、置信校准、拒答、权限与人工门禁。</x:v>
      </x:c>
      <x:c r="K889" s="95" t="str">
        <x:v>可直接支撑当前EIS-only闭环。</x:v>
      </x:c>
      <x:c r="L889" s="95" t="str">
        <x:v>M3 研究储备</x:v>
      </x:c>
      <x:c r="M889" s="95" t="str">
        <x:v>条件具备后</x:v>
      </x:c>
      <x:c r="N889" s="95" t="str">
        <x:v>P0</x:v>
      </x:c>
      <x:c r="O889" s="95" t="str">
        <x:v>https://www.osha.gov/laws-regs/regulations/standardnumber/1910/1910.1450</x:v>
      </x:c>
      <x:c r="P889" s="96" t="str">
        <x:v>待评审</x:v>
      </x:c>
    </x:row>
    <x:row r="890">
      <x:c r="A890" s="94" t="str">
        <x:v>T0886</x:v>
      </x:c>
      <x:c r="B890" s="95" t="str">
        <x:v>可信、安全、运营与思维模型</x:v>
      </x:c>
      <x:c r="C890" s="95" t="str">
        <x:v>实验安全、网络安全、合规与负责任AI</x:v>
      </x:c>
      <x:c r="D890" s="95" t="str">
        <x:v>研究储备</x:v>
      </x:c>
      <x:c r="E890" s="100" t="n">
        <x:v>5</x:v>
      </x:c>
      <x:c r="F890" s="95" t="str">
        <x:v>两线共用</x:v>
      </x:c>
      <x:c r="G890" s="95" t="str">
        <x:v>E 可信智能体与控制架构</x:v>
      </x:c>
      <x:c r="H890" s="95" t="str">
        <x:v>Bow-tie分析</x:v>
      </x:c>
      <x:c r="I890" s="95" t="str">
        <x:v>约束仪器权限、危险操作和数据/提示注入风险。</x:v>
      </x:c>
      <x:c r="J890" s="95" t="str">
        <x:v>接入外部验证器、结构化输出、置信校准、拒答、权限与人工门禁。</x:v>
      </x:c>
      <x:c r="K890" s="95" t="str">
        <x:v>可直接支撑当前EIS-only闭环。</x:v>
      </x:c>
      <x:c r="L890" s="95" t="str">
        <x:v>M3 研究储备</x:v>
      </x:c>
      <x:c r="M890" s="95" t="str">
        <x:v>条件具备后</x:v>
      </x:c>
      <x:c r="N890" s="95" t="str">
        <x:v>P0</x:v>
      </x:c>
      <x:c r="O890" s="95" t="str">
        <x:v>https://www.fda.gov/regulatory-information/search-fda-guidance-documents/part-11-electronic-records-electronic-signatures-scope-and-application</x:v>
      </x:c>
      <x:c r="P890" s="96" t="str">
        <x:v>待评审</x:v>
      </x:c>
    </x:row>
    <x:row r="891">
      <x:c r="A891" s="94" t="str">
        <x:v>T0887</x:v>
      </x:c>
      <x:c r="B891" s="95" t="str">
        <x:v>可信、安全、运营与思维模型</x:v>
      </x:c>
      <x:c r="C891" s="95" t="str">
        <x:v>实验安全、网络安全、合规与负责任AI</x:v>
      </x:c>
      <x:c r="D891" s="95" t="str">
        <x:v>研究储备</x:v>
      </x:c>
      <x:c r="E891" s="100" t="n">
        <x:v>5</x:v>
      </x:c>
      <x:c r="F891" s="95" t="str">
        <x:v>两线共用</x:v>
      </x:c>
      <x:c r="G891" s="95" t="str">
        <x:v>E 可信智能体与控制架构</x:v>
      </x:c>
      <x:c r="H891" s="95" t="str">
        <x:v>SDS联动</x:v>
      </x:c>
      <x:c r="I891" s="95" t="str">
        <x:v>约束仪器权限、危险操作和数据/提示注入风险。</x:v>
      </x:c>
      <x:c r="J891" s="95" t="str">
        <x:v>接入外部验证器、结构化输出、置信校准、拒答、权限与人工门禁。</x:v>
      </x:c>
      <x:c r="K891" s="95" t="str">
        <x:v>可直接支撑当前EIS-only闭环。</x:v>
      </x:c>
      <x:c r="L891" s="95" t="str">
        <x:v>M3 研究储备</x:v>
      </x:c>
      <x:c r="M891" s="95" t="str">
        <x:v>条件具备后</x:v>
      </x:c>
      <x:c r="N891" s="95" t="str">
        <x:v>P0</x:v>
      </x:c>
      <x:c r="O891" s="95" t="str">
        <x:v>https://www.nature.com/articles/s41467-025-63913-1</x:v>
      </x:c>
      <x:c r="P891" s="96" t="str">
        <x:v>待评审</x:v>
      </x:c>
    </x:row>
    <x:row r="892">
      <x:c r="A892" s="94" t="str">
        <x:v>T0888</x:v>
      </x:c>
      <x:c r="B892" s="95" t="str">
        <x:v>可信、安全、运营与思维模型</x:v>
      </x:c>
      <x:c r="C892" s="95" t="str">
        <x:v>实验安全、网络安全、合规与负责任AI</x:v>
      </x:c>
      <x:c r="D892" s="95" t="str">
        <x:v>研究储备</x:v>
      </x:c>
      <x:c r="E892" s="100" t="n">
        <x:v>5</x:v>
      </x:c>
      <x:c r="F892" s="95" t="str">
        <x:v>两线共用</x:v>
      </x:c>
      <x:c r="G892" s="95" t="str">
        <x:v>E 可信智能体与控制架构</x:v>
      </x:c>
      <x:c r="H892" s="95" t="str">
        <x:v>化学相容性</x:v>
      </x:c>
      <x:c r="I892" s="95" t="str">
        <x:v>约束仪器权限、危险操作和数据/提示注入风险。</x:v>
      </x:c>
      <x:c r="J892" s="95" t="str">
        <x:v>接入外部验证器、结构化输出、置信校准、拒答、权限与人工门禁。</x:v>
      </x:c>
      <x:c r="K892" s="95" t="str">
        <x:v>可直接支撑当前EIS-only闭环。</x:v>
      </x:c>
      <x:c r="L892" s="95" t="str">
        <x:v>M3 研究储备</x:v>
      </x:c>
      <x:c r="M892" s="95" t="str">
        <x:v>条件具备后</x:v>
      </x:c>
      <x:c r="N892" s="95" t="str">
        <x:v>P0</x:v>
      </x:c>
      <x:c r="O892" s="95" t="str">
        <x:v>https://www.nist.gov/itl/ai-risk-management-framework</x:v>
      </x:c>
      <x:c r="P892" s="96" t="str">
        <x:v>待评审</x:v>
      </x:c>
    </x:row>
    <x:row r="893">
      <x:c r="A893" s="94" t="str">
        <x:v>T0889</x:v>
      </x:c>
      <x:c r="B893" s="95" t="str">
        <x:v>可信、安全、运营与思维模型</x:v>
      </x:c>
      <x:c r="C893" s="95" t="str">
        <x:v>实验安全、网络安全、合规与负责任AI</x:v>
      </x:c>
      <x:c r="D893" s="95" t="str">
        <x:v>研究储备</x:v>
      </x:c>
      <x:c r="E893" s="100" t="n">
        <x:v>5</x:v>
      </x:c>
      <x:c r="F893" s="95" t="str">
        <x:v>两线共用</x:v>
      </x:c>
      <x:c r="G893" s="95" t="str">
        <x:v>E 可信智能体与控制架构</x:v>
      </x:c>
      <x:c r="H893" s="95" t="str">
        <x:v>库存上限</x:v>
      </x:c>
      <x:c r="I893" s="95" t="str">
        <x:v>约束仪器权限、危险操作和数据/提示注入风险。</x:v>
      </x:c>
      <x:c r="J893" s="95" t="str">
        <x:v>接入外部验证器、结构化输出、置信校准、拒答、权限与人工门禁。</x:v>
      </x:c>
      <x:c r="K893" s="95" t="str">
        <x:v>可直接支撑当前EIS-only闭环。</x:v>
      </x:c>
      <x:c r="L893" s="95" t="str">
        <x:v>M3 研究储备</x:v>
      </x:c>
      <x:c r="M893" s="95" t="str">
        <x:v>条件具备后</x:v>
      </x:c>
      <x:c r="N893" s="95" t="str">
        <x:v>P0</x:v>
      </x:c>
      <x:c r="O893" s="95" t="str">
        <x:v>https://www.nist.gov/cyberframework</x:v>
      </x:c>
      <x:c r="P893" s="96" t="str">
        <x:v>待评审</x:v>
      </x:c>
    </x:row>
    <x:row r="894">
      <x:c r="A894" s="94" t="str">
        <x:v>T0890</x:v>
      </x:c>
      <x:c r="B894" s="95" t="str">
        <x:v>可信、安全、运营与思维模型</x:v>
      </x:c>
      <x:c r="C894" s="95" t="str">
        <x:v>实验安全、网络安全、合规与负责任AI</x:v>
      </x:c>
      <x:c r="D894" s="95" t="str">
        <x:v>研究储备</x:v>
      </x:c>
      <x:c r="E894" s="100" t="n">
        <x:v>5</x:v>
      </x:c>
      <x:c r="F894" s="95" t="str">
        <x:v>两线共用</x:v>
      </x:c>
      <x:c r="G894" s="95" t="str">
        <x:v>E 可信智能体与控制架构</x:v>
      </x:c>
      <x:c r="H894" s="95" t="str">
        <x:v>暴露监测</x:v>
      </x:c>
      <x:c r="I894" s="95" t="str">
        <x:v>约束仪器权限、危险操作和数据/提示注入风险。</x:v>
      </x:c>
      <x:c r="J894" s="95" t="str">
        <x:v>接入外部验证器、结构化输出、置信校准、拒答、权限与人工门禁。</x:v>
      </x:c>
      <x:c r="K894" s="95" t="str">
        <x:v>可直接支撑当前EIS-only闭环。</x:v>
      </x:c>
      <x:c r="L894" s="95" t="str">
        <x:v>M3 研究储备</x:v>
      </x:c>
      <x:c r="M894" s="95" t="str">
        <x:v>条件具备后</x:v>
      </x:c>
      <x:c r="N894" s="95" t="str">
        <x:v>P0</x:v>
      </x:c>
      <x:c r="O894" s="95" t="str">
        <x:v>https://csrc.nist.gov/pubs/sp/800/82/r3/final</x:v>
      </x:c>
      <x:c r="P894" s="96" t="str">
        <x:v>待评审</x:v>
      </x:c>
    </x:row>
    <x:row r="895">
      <x:c r="A895" s="94" t="str">
        <x:v>T0891</x:v>
      </x:c>
      <x:c r="B895" s="95" t="str">
        <x:v>可信、安全、运营与思维模型</x:v>
      </x:c>
      <x:c r="C895" s="95" t="str">
        <x:v>实验安全、网络安全、合规与负责任AI</x:v>
      </x:c>
      <x:c r="D895" s="95" t="str">
        <x:v>研究储备</x:v>
      </x:c>
      <x:c r="E895" s="100" t="n">
        <x:v>5</x:v>
      </x:c>
      <x:c r="F895" s="95" t="str">
        <x:v>两线共用</x:v>
      </x:c>
      <x:c r="G895" s="95" t="str">
        <x:v>E 可信智能体与控制架构</x:v>
      </x:c>
      <x:c r="H895" s="95" t="str">
        <x:v>通风橱/局部排风</x:v>
      </x:c>
      <x:c r="I895" s="95" t="str">
        <x:v>约束仪器权限、危险操作和数据/提示注入风险。</x:v>
      </x:c>
      <x:c r="J895" s="95" t="str">
        <x:v>接入外部验证器、结构化输出、置信校准、拒答、权限与人工门禁。</x:v>
      </x:c>
      <x:c r="K895" s="95" t="str">
        <x:v>可直接支撑当前EIS-only闭环。</x:v>
      </x:c>
      <x:c r="L895" s="95" t="str">
        <x:v>M3 研究储备</x:v>
      </x:c>
      <x:c r="M895" s="95" t="str">
        <x:v>条件具备后</x:v>
      </x:c>
      <x:c r="N895" s="95" t="str">
        <x:v>P1</x:v>
      </x:c>
      <x:c r="O895" s="95" t="str">
        <x:v>https://www.osha.gov/laws-regs/regulations/standardnumber/1910/1910.1450</x:v>
      </x:c>
      <x:c r="P895" s="96" t="str">
        <x:v>待评审</x:v>
      </x:c>
    </x:row>
    <x:row r="896">
      <x:c r="A896" s="94" t="str">
        <x:v>T0892</x:v>
      </x:c>
      <x:c r="B896" s="95" t="str">
        <x:v>可信、安全、运营与思维模型</x:v>
      </x:c>
      <x:c r="C896" s="95" t="str">
        <x:v>实验安全、网络安全、合规与负责任AI</x:v>
      </x:c>
      <x:c r="D896" s="95" t="str">
        <x:v>研究储备</x:v>
      </x:c>
      <x:c r="E896" s="100" t="n">
        <x:v>5</x:v>
      </x:c>
      <x:c r="F896" s="95" t="str">
        <x:v>两线共用</x:v>
      </x:c>
      <x:c r="G896" s="95" t="str">
        <x:v>E 可信智能体与控制架构</x:v>
      </x:c>
      <x:c r="H896" s="95" t="str">
        <x:v>一次/二次围护</x:v>
      </x:c>
      <x:c r="I896" s="95" t="str">
        <x:v>约束仪器权限、危险操作和数据/提示注入风险。</x:v>
      </x:c>
      <x:c r="J896" s="95" t="str">
        <x:v>接入外部验证器、结构化输出、置信校准、拒答、权限与人工门禁。</x:v>
      </x:c>
      <x:c r="K896" s="95" t="str">
        <x:v>可直接支撑当前EIS-only闭环。</x:v>
      </x:c>
      <x:c r="L896" s="95" t="str">
        <x:v>M3 研究储备</x:v>
      </x:c>
      <x:c r="M896" s="95" t="str">
        <x:v>条件具备后</x:v>
      </x:c>
      <x:c r="N896" s="95" t="str">
        <x:v>P1</x:v>
      </x:c>
      <x:c r="O896" s="95" t="str">
        <x:v>https://www.fda.gov/regulatory-information/search-fda-guidance-documents/part-11-electronic-records-electronic-signatures-scope-and-application</x:v>
      </x:c>
      <x:c r="P896" s="96" t="str">
        <x:v>待评审</x:v>
      </x:c>
    </x:row>
    <x:row r="897">
      <x:c r="A897" s="94" t="str">
        <x:v>T0893</x:v>
      </x:c>
      <x:c r="B897" s="95" t="str">
        <x:v>可信、安全、运营与思维模型</x:v>
      </x:c>
      <x:c r="C897" s="95" t="str">
        <x:v>实验安全、网络安全、合规与负责任AI</x:v>
      </x:c>
      <x:c r="D897" s="95" t="str">
        <x:v>研究储备</x:v>
      </x:c>
      <x:c r="E897" s="100" t="n">
        <x:v>5</x:v>
      </x:c>
      <x:c r="F897" s="95" t="str">
        <x:v>两线共用</x:v>
      </x:c>
      <x:c r="G897" s="95" t="str">
        <x:v>E 可信智能体与控制架构</x:v>
      </x:c>
      <x:c r="H897" s="95" t="str">
        <x:v>生物安全</x:v>
      </x:c>
      <x:c r="I897" s="95" t="str">
        <x:v>约束仪器权限、危险操作和数据/提示注入风险。</x:v>
      </x:c>
      <x:c r="J897" s="95" t="str">
        <x:v>接入外部验证器、结构化输出、置信校准、拒答、权限与人工门禁。</x:v>
      </x:c>
      <x:c r="K897" s="95" t="str">
        <x:v>可直接支撑当前EIS-only闭环。</x:v>
      </x:c>
      <x:c r="L897" s="95" t="str">
        <x:v>M3 研究储备</x:v>
      </x:c>
      <x:c r="M897" s="95" t="str">
        <x:v>条件具备后</x:v>
      </x:c>
      <x:c r="N897" s="95" t="str">
        <x:v>P1</x:v>
      </x:c>
      <x:c r="O897" s="95" t="str">
        <x:v>https://www.nature.com/articles/s41467-025-63913-1</x:v>
      </x:c>
      <x:c r="P897" s="96" t="str">
        <x:v>待评审</x:v>
      </x:c>
    </x:row>
    <x:row r="898">
      <x:c r="A898" s="94" t="str">
        <x:v>T0894</x:v>
      </x:c>
      <x:c r="B898" s="95" t="str">
        <x:v>可信、安全、运营与思维模型</x:v>
      </x:c>
      <x:c r="C898" s="95" t="str">
        <x:v>实验安全、网络安全、合规与负责任AI</x:v>
      </x:c>
      <x:c r="D898" s="95" t="str">
        <x:v>研究储备</x:v>
      </x:c>
      <x:c r="E898" s="100" t="n">
        <x:v>5</x:v>
      </x:c>
      <x:c r="F898" s="95" t="str">
        <x:v>两线共用</x:v>
      </x:c>
      <x:c r="G898" s="95" t="str">
        <x:v>E 可信智能体与控制架构</x:v>
      </x:c>
      <x:c r="H898" s="95" t="str">
        <x:v>辐射安全</x:v>
      </x:c>
      <x:c r="I898" s="95" t="str">
        <x:v>约束仪器权限、危险操作和数据/提示注入风险。</x:v>
      </x:c>
      <x:c r="J898" s="95" t="str">
        <x:v>接入外部验证器、结构化输出、置信校准、拒答、权限与人工门禁。</x:v>
      </x:c>
      <x:c r="K898" s="95" t="str">
        <x:v>可直接支撑当前EIS-only闭环。</x:v>
      </x:c>
      <x:c r="L898" s="95" t="str">
        <x:v>M3 研究储备</x:v>
      </x:c>
      <x:c r="M898" s="95" t="str">
        <x:v>条件具备后</x:v>
      </x:c>
      <x:c r="N898" s="95" t="str">
        <x:v>P1</x:v>
      </x:c>
      <x:c r="O898" s="95" t="str">
        <x:v>https://www.nist.gov/itl/ai-risk-management-framework</x:v>
      </x:c>
      <x:c r="P898" s="96" t="str">
        <x:v>待评审</x:v>
      </x:c>
    </x:row>
    <x:row r="899">
      <x:c r="A899" s="94" t="str">
        <x:v>T0895</x:v>
      </x:c>
      <x:c r="B899" s="95" t="str">
        <x:v>可信、安全、运营与思维模型</x:v>
      </x:c>
      <x:c r="C899" s="95" t="str">
        <x:v>实验安全、网络安全、合规与负责任AI</x:v>
      </x:c>
      <x:c r="D899" s="95" t="str">
        <x:v>研究储备</x:v>
      </x:c>
      <x:c r="E899" s="100" t="n">
        <x:v>5</x:v>
      </x:c>
      <x:c r="F899" s="95" t="str">
        <x:v>两线共用</x:v>
      </x:c>
      <x:c r="G899" s="95" t="str">
        <x:v>E 可信智能体与控制架构</x:v>
      </x:c>
      <x:c r="H899" s="95" t="str">
        <x:v>压力安全</x:v>
      </x:c>
      <x:c r="I899" s="95" t="str">
        <x:v>约束仪器权限、危险操作和数据/提示注入风险。</x:v>
      </x:c>
      <x:c r="J899" s="95" t="str">
        <x:v>接入外部验证器、结构化输出、置信校准、拒答、权限与人工门禁。</x:v>
      </x:c>
      <x:c r="K899" s="95" t="str">
        <x:v>可直接支撑当前EIS-only闭环。</x:v>
      </x:c>
      <x:c r="L899" s="95" t="str">
        <x:v>M3 研究储备</x:v>
      </x:c>
      <x:c r="M899" s="95" t="str">
        <x:v>条件具备后</x:v>
      </x:c>
      <x:c r="N899" s="95" t="str">
        <x:v>P1</x:v>
      </x:c>
      <x:c r="O899" s="95" t="str">
        <x:v>https://www.nist.gov/cyberframework</x:v>
      </x:c>
      <x:c r="P899" s="96" t="str">
        <x:v>待评审</x:v>
      </x:c>
    </x:row>
    <x:row r="900">
      <x:c r="A900" s="94" t="str">
        <x:v>T0896</x:v>
      </x:c>
      <x:c r="B900" s="95" t="str">
        <x:v>可信、安全、运营与思维模型</x:v>
      </x:c>
      <x:c r="C900" s="95" t="str">
        <x:v>实验安全、网络安全、合规与负责任AI</x:v>
      </x:c>
      <x:c r="D900" s="95" t="str">
        <x:v>研究储备</x:v>
      </x:c>
      <x:c r="E900" s="100" t="n">
        <x:v>5</x:v>
      </x:c>
      <x:c r="F900" s="95" t="str">
        <x:v>两线共用</x:v>
      </x:c>
      <x:c r="G900" s="95" t="str">
        <x:v>E 可信智能体与控制架构</x:v>
      </x:c>
      <x:c r="H900" s="95" t="str">
        <x:v>热安全</x:v>
      </x:c>
      <x:c r="I900" s="95" t="str">
        <x:v>约束仪器权限、危险操作和数据/提示注入风险。</x:v>
      </x:c>
      <x:c r="J900" s="95" t="str">
        <x:v>接入外部验证器、结构化输出、置信校准、拒答、权限与人工门禁。</x:v>
      </x:c>
      <x:c r="K900" s="95" t="str">
        <x:v>可直接支撑当前EIS-only闭环。</x:v>
      </x:c>
      <x:c r="L900" s="95" t="str">
        <x:v>M3 研究储备</x:v>
      </x:c>
      <x:c r="M900" s="95" t="str">
        <x:v>条件具备后</x:v>
      </x:c>
      <x:c r="N900" s="95" t="str">
        <x:v>P1</x:v>
      </x:c>
      <x:c r="O900" s="95" t="str">
        <x:v>https://csrc.nist.gov/pubs/sp/800/82/r3/final</x:v>
      </x:c>
      <x:c r="P900" s="96" t="str">
        <x:v>待评审</x:v>
      </x:c>
    </x:row>
    <x:row r="901">
      <x:c r="A901" s="94" t="str">
        <x:v>T0897</x:v>
      </x:c>
      <x:c r="B901" s="95" t="str">
        <x:v>可信、安全、运营与思维模型</x:v>
      </x:c>
      <x:c r="C901" s="95" t="str">
        <x:v>实验安全、网络安全、合规与负责任AI</x:v>
      </x:c>
      <x:c r="D901" s="95" t="str">
        <x:v>研究储备</x:v>
      </x:c>
      <x:c r="E901" s="100" t="n">
        <x:v>5</x:v>
      </x:c>
      <x:c r="F901" s="95" t="str">
        <x:v>两线共用</x:v>
      </x:c>
      <x:c r="G901" s="95" t="str">
        <x:v>E 可信智能体与控制架构</x:v>
      </x:c>
      <x:c r="H901" s="95" t="str">
        <x:v>电气安全</x:v>
      </x:c>
      <x:c r="I901" s="95" t="str">
        <x:v>约束仪器权限、危险操作和数据/提示注入风险。</x:v>
      </x:c>
      <x:c r="J901" s="95" t="str">
        <x:v>接入外部验证器、结构化输出、置信校准、拒答、权限与人工门禁。</x:v>
      </x:c>
      <x:c r="K901" s="95" t="str">
        <x:v>可直接支撑当前EIS-only闭环。</x:v>
      </x:c>
      <x:c r="L901" s="95" t="str">
        <x:v>M3 研究储备</x:v>
      </x:c>
      <x:c r="M901" s="95" t="str">
        <x:v>条件具备后</x:v>
      </x:c>
      <x:c r="N901" s="95" t="str">
        <x:v>P1</x:v>
      </x:c>
      <x:c r="O901" s="95" t="str">
        <x:v>https://www.osha.gov/laws-regs/regulations/standardnumber/1910/1910.1450</x:v>
      </x:c>
      <x:c r="P901" s="96" t="str">
        <x:v>待评审</x:v>
      </x:c>
    </x:row>
    <x:row r="902">
      <x:c r="A902" s="94" t="str">
        <x:v>T0898</x:v>
      </x:c>
      <x:c r="B902" s="95" t="str">
        <x:v>可信、安全、运营与思维模型</x:v>
      </x:c>
      <x:c r="C902" s="95" t="str">
        <x:v>实验安全、网络安全、合规与负责任AI</x:v>
      </x:c>
      <x:c r="D902" s="95" t="str">
        <x:v>研究储备</x:v>
      </x:c>
      <x:c r="E902" s="100" t="n">
        <x:v>5</x:v>
      </x:c>
      <x:c r="F902" s="95" t="str">
        <x:v>两线共用</x:v>
      </x:c>
      <x:c r="G902" s="95" t="str">
        <x:v>E 可信智能体与控制架构</x:v>
      </x:c>
      <x:c r="H902" s="95" t="str">
        <x:v>消防安全</x:v>
      </x:c>
      <x:c r="I902" s="95" t="str">
        <x:v>约束仪器权限、危险操作和数据/提示注入风险。</x:v>
      </x:c>
      <x:c r="J902" s="95" t="str">
        <x:v>接入外部验证器、结构化输出、置信校准、拒答、权限与人工门禁。</x:v>
      </x:c>
      <x:c r="K902" s="95" t="str">
        <x:v>可直接支撑当前EIS-only闭环。</x:v>
      </x:c>
      <x:c r="L902" s="95" t="str">
        <x:v>M3 研究储备</x:v>
      </x:c>
      <x:c r="M902" s="95" t="str">
        <x:v>条件具备后</x:v>
      </x:c>
      <x:c r="N902" s="95" t="str">
        <x:v>P1</x:v>
      </x:c>
      <x:c r="O902" s="95" t="str">
        <x:v>https://www.fda.gov/regulatory-information/search-fda-guidance-documents/part-11-electronic-records-electronic-signatures-scope-and-application</x:v>
      </x:c>
      <x:c r="P902" s="96" t="str">
        <x:v>待评审</x:v>
      </x:c>
    </x:row>
    <x:row r="903">
      <x:c r="A903" s="94" t="str">
        <x:v>T0899</x:v>
      </x:c>
      <x:c r="B903" s="95" t="str">
        <x:v>可信、安全、运营与思维模型</x:v>
      </x:c>
      <x:c r="C903" s="95" t="str">
        <x:v>实验安全、网络安全、合规与负责任AI</x:v>
      </x:c>
      <x:c r="D903" s="95" t="str">
        <x:v>研究储备</x:v>
      </x:c>
      <x:c r="E903" s="100" t="n">
        <x:v>5</x:v>
      </x:c>
      <x:c r="F903" s="95" t="str">
        <x:v>两线共用</x:v>
      </x:c>
      <x:c r="G903" s="95" t="str">
        <x:v>E 可信智能体与控制架构</x:v>
      </x:c>
      <x:c r="H903" s="95" t="str">
        <x:v>泄漏应急</x:v>
      </x:c>
      <x:c r="I903" s="95" t="str">
        <x:v>约束仪器权限、危险操作和数据/提示注入风险。</x:v>
      </x:c>
      <x:c r="J903" s="95" t="str">
        <x:v>接入外部验证器、结构化输出、置信校准、拒答、权限与人工门禁。</x:v>
      </x:c>
      <x:c r="K903" s="95" t="str">
        <x:v>可直接支撑当前EIS-only闭环。</x:v>
      </x:c>
      <x:c r="L903" s="95" t="str">
        <x:v>M3 研究储备</x:v>
      </x:c>
      <x:c r="M903" s="95" t="str">
        <x:v>条件具备后</x:v>
      </x:c>
      <x:c r="N903" s="95" t="str">
        <x:v>P1</x:v>
      </x:c>
      <x:c r="O903" s="95" t="str">
        <x:v>https://www.nature.com/articles/s41467-025-63913-1</x:v>
      </x:c>
      <x:c r="P903" s="96" t="str">
        <x:v>待评审</x:v>
      </x:c>
    </x:row>
    <x:row r="904">
      <x:c r="A904" s="94" t="str">
        <x:v>T0900</x:v>
      </x:c>
      <x:c r="B904" s="95" t="str">
        <x:v>可信、安全、运营与思维模型</x:v>
      </x:c>
      <x:c r="C904" s="95" t="str">
        <x:v>实验安全、网络安全、合规与负责任AI</x:v>
      </x:c>
      <x:c r="D904" s="95" t="str">
        <x:v>研究储备</x:v>
      </x:c>
      <x:c r="E904" s="100" t="n">
        <x:v>5</x:v>
      </x:c>
      <x:c r="F904" s="95" t="str">
        <x:v>两线共用</x:v>
      </x:c>
      <x:c r="G904" s="95" t="str">
        <x:v>E 可信智能体与控制架构</x:v>
      </x:c>
      <x:c r="H904" s="95" t="str">
        <x:v>废物分类</x:v>
      </x:c>
      <x:c r="I904" s="95" t="str">
        <x:v>约束仪器权限、危险操作和数据/提示注入风险。</x:v>
      </x:c>
      <x:c r="J904" s="95" t="str">
        <x:v>接入外部验证器、结构化输出、置信校准、拒答、权限与人工门禁。</x:v>
      </x:c>
      <x:c r="K904" s="95" t="str">
        <x:v>可直接支撑当前EIS-only闭环。</x:v>
      </x:c>
      <x:c r="L904" s="95" t="str">
        <x:v>M3 研究储备</x:v>
      </x:c>
      <x:c r="M904" s="95" t="str">
        <x:v>条件具备后</x:v>
      </x:c>
      <x:c r="N904" s="95" t="str">
        <x:v>P1</x:v>
      </x:c>
      <x:c r="O904" s="95" t="str">
        <x:v>https://www.nist.gov/itl/ai-risk-management-framework</x:v>
      </x:c>
      <x:c r="P904" s="96" t="str">
        <x:v>待评审</x:v>
      </x:c>
    </x:row>
    <x:row r="905">
      <x:c r="A905" s="94" t="str">
        <x:v>T0901</x:v>
      </x:c>
      <x:c r="B905" s="95" t="str">
        <x:v>可信、安全、运营与思维模型</x:v>
      </x:c>
      <x:c r="C905" s="95" t="str">
        <x:v>实验安全、网络安全、合规与负责任AI</x:v>
      </x:c>
      <x:c r="D905" s="95" t="str">
        <x:v>研究储备</x:v>
      </x:c>
      <x:c r="E905" s="100" t="n">
        <x:v>5</x:v>
      </x:c>
      <x:c r="F905" s="95" t="str">
        <x:v>两线共用</x:v>
      </x:c>
      <x:c r="G905" s="95" t="str">
        <x:v>E 可信智能体与控制架构</x:v>
      </x:c>
      <x:c r="H905" s="95" t="str">
        <x:v>身份认证</x:v>
      </x:c>
      <x:c r="I905" s="95" t="str">
        <x:v>约束仪器权限、危险操作和数据/提示注入风险。</x:v>
      </x:c>
      <x:c r="J905" s="95" t="str">
        <x:v>接入外部验证器、结构化输出、置信校准、拒答、权限与人工门禁。</x:v>
      </x:c>
      <x:c r="K905" s="95" t="str">
        <x:v>可直接支撑当前EIS-only闭环。</x:v>
      </x:c>
      <x:c r="L905" s="95" t="str">
        <x:v>M3 研究储备</x:v>
      </x:c>
      <x:c r="M905" s="95" t="str">
        <x:v>条件具备后</x:v>
      </x:c>
      <x:c r="N905" s="95" t="str">
        <x:v>P1</x:v>
      </x:c>
      <x:c r="O905" s="95" t="str">
        <x:v>https://www.nist.gov/cyberframework</x:v>
      </x:c>
      <x:c r="P905" s="96" t="str">
        <x:v>待评审</x:v>
      </x:c>
    </x:row>
    <x:row r="906">
      <x:c r="A906" s="94" t="str">
        <x:v>T0902</x:v>
      </x:c>
      <x:c r="B906" s="95" t="str">
        <x:v>可信、安全、运营与思维模型</x:v>
      </x:c>
      <x:c r="C906" s="95" t="str">
        <x:v>实验安全、网络安全、合规与负责任AI</x:v>
      </x:c>
      <x:c r="D906" s="95" t="str">
        <x:v>关键支撑</x:v>
      </x:c>
      <x:c r="E906" s="100" t="n">
        <x:v>8</x:v>
      </x:c>
      <x:c r="F906" s="95" t="str">
        <x:v>两线共用</x:v>
      </x:c>
      <x:c r="G906" s="95" t="str">
        <x:v>E 可信智能体与控制架构</x:v>
      </x:c>
      <x:c r="H906" s="95" t="str">
        <x:v>最小权限</x:v>
      </x:c>
      <x:c r="I906" s="95" t="str">
        <x:v>约束仪器权限、危险操作和数据/提示注入风险。</x:v>
      </x:c>
      <x:c r="J906" s="95" t="str">
        <x:v>接入外部验证器、结构化输出、置信校准、拒答、权限与人工门禁。</x:v>
      </x:c>
      <x:c r="K906" s="95" t="str">
        <x:v>可直接支撑当前EIS-only闭环。</x:v>
      </x:c>
      <x:c r="L906" s="95" t="str">
        <x:v>M2 扩展与复现（5–12月）</x:v>
      </x:c>
      <x:c r="M906" s="95" t="str">
        <x:v>按瓶颈接入</x:v>
      </x:c>
      <x:c r="N906" s="95" t="str">
        <x:v>P1</x:v>
      </x:c>
      <x:c r="O906" s="95" t="str">
        <x:v>https://csrc.nist.gov/pubs/sp/800/82/r3/final</x:v>
      </x:c>
      <x:c r="P906" s="96" t="str">
        <x:v>待评审</x:v>
      </x:c>
    </x:row>
    <x:row r="907">
      <x:c r="A907" s="94" t="str">
        <x:v>T0903</x:v>
      </x:c>
      <x:c r="B907" s="95" t="str">
        <x:v>可信、安全、运营与思维模型</x:v>
      </x:c>
      <x:c r="C907" s="95" t="str">
        <x:v>实验安全、网络安全、合规与负责任AI</x:v>
      </x:c>
      <x:c r="D907" s="95" t="str">
        <x:v>研究储备</x:v>
      </x:c>
      <x:c r="E907" s="100" t="n">
        <x:v>5</x:v>
      </x:c>
      <x:c r="F907" s="95" t="str">
        <x:v>两线共用</x:v>
      </x:c>
      <x:c r="G907" s="95" t="str">
        <x:v>E 可信智能体与控制架构</x:v>
      </x:c>
      <x:c r="H907" s="95" t="str">
        <x:v>网络分区</x:v>
      </x:c>
      <x:c r="I907" s="95" t="str">
        <x:v>约束仪器权限、危险操作和数据/提示注入风险。</x:v>
      </x:c>
      <x:c r="J907" s="95" t="str">
        <x:v>接入外部验证器、结构化输出、置信校准、拒答、权限与人工门禁。</x:v>
      </x:c>
      <x:c r="K907" s="95" t="str">
        <x:v>可直接支撑当前EIS-only闭环。</x:v>
      </x:c>
      <x:c r="L907" s="95" t="str">
        <x:v>M3 研究储备</x:v>
      </x:c>
      <x:c r="M907" s="95" t="str">
        <x:v>条件具备后</x:v>
      </x:c>
      <x:c r="N907" s="95" t="str">
        <x:v>P1</x:v>
      </x:c>
      <x:c r="O907" s="95" t="str">
        <x:v>https://www.osha.gov/laws-regs/regulations/standardnumber/1910/1910.1450</x:v>
      </x:c>
      <x:c r="P907" s="96" t="str">
        <x:v>待评审</x:v>
      </x:c>
    </x:row>
    <x:row r="908">
      <x:c r="A908" s="94" t="str">
        <x:v>T0904</x:v>
      </x:c>
      <x:c r="B908" s="95" t="str">
        <x:v>可信、安全、运营与思维模型</x:v>
      </x:c>
      <x:c r="C908" s="95" t="str">
        <x:v>实验安全、网络安全、合规与负责任AI</x:v>
      </x:c>
      <x:c r="D908" s="95" t="str">
        <x:v>研究储备</x:v>
      </x:c>
      <x:c r="E908" s="100" t="n">
        <x:v>5</x:v>
      </x:c>
      <x:c r="F908" s="95" t="str">
        <x:v>两线共用</x:v>
      </x:c>
      <x:c r="G908" s="95" t="str">
        <x:v>E 可信智能体与控制架构</x:v>
      </x:c>
      <x:c r="H908" s="95" t="str">
        <x:v>零信任</x:v>
      </x:c>
      <x:c r="I908" s="95" t="str">
        <x:v>约束仪器权限、危险操作和数据/提示注入风险。</x:v>
      </x:c>
      <x:c r="J908" s="95" t="str">
        <x:v>接入外部验证器、结构化输出、置信校准、拒答、权限与人工门禁。</x:v>
      </x:c>
      <x:c r="K908" s="95" t="str">
        <x:v>可直接支撑当前EIS-only闭环。</x:v>
      </x:c>
      <x:c r="L908" s="95" t="str">
        <x:v>M3 研究储备</x:v>
      </x:c>
      <x:c r="M908" s="95" t="str">
        <x:v>条件具备后</x:v>
      </x:c>
      <x:c r="N908" s="95" t="str">
        <x:v>P1</x:v>
      </x:c>
      <x:c r="O908" s="95" t="str">
        <x:v>https://www.fda.gov/regulatory-information/search-fda-guidance-documents/part-11-electronic-records-electronic-signatures-scope-and-application</x:v>
      </x:c>
      <x:c r="P908" s="96" t="str">
        <x:v>待评审</x:v>
      </x:c>
    </x:row>
    <x:row r="909">
      <x:c r="A909" s="94" t="str">
        <x:v>T0905</x:v>
      </x:c>
      <x:c r="B909" s="95" t="str">
        <x:v>可信、安全、运营与思维模型</x:v>
      </x:c>
      <x:c r="C909" s="95" t="str">
        <x:v>实验安全、网络安全、合规与负责任AI</x:v>
      </x:c>
      <x:c r="D909" s="95" t="str">
        <x:v>研究储备</x:v>
      </x:c>
      <x:c r="E909" s="100" t="n">
        <x:v>5</x:v>
      </x:c>
      <x:c r="F909" s="95" t="str">
        <x:v>两线共用</x:v>
      </x:c>
      <x:c r="G909" s="95" t="str">
        <x:v>E 可信智能体与控制架构</x:v>
      </x:c>
      <x:c r="H909" s="95" t="str">
        <x:v>OT安全</x:v>
      </x:c>
      <x:c r="I909" s="95" t="str">
        <x:v>约束仪器权限、危险操作和数据/提示注入风险。</x:v>
      </x:c>
      <x:c r="J909" s="95" t="str">
        <x:v>接入外部验证器、结构化输出、置信校准、拒答、权限与人工门禁。</x:v>
      </x:c>
      <x:c r="K909" s="95" t="str">
        <x:v>可直接支撑当前EIS-only闭环。</x:v>
      </x:c>
      <x:c r="L909" s="95" t="str">
        <x:v>M3 研究储备</x:v>
      </x:c>
      <x:c r="M909" s="95" t="str">
        <x:v>条件具备后</x:v>
      </x:c>
      <x:c r="N909" s="95" t="str">
        <x:v>P1</x:v>
      </x:c>
      <x:c r="O909" s="95" t="str">
        <x:v>https://www.nature.com/articles/s41467-025-63913-1</x:v>
      </x:c>
      <x:c r="P909" s="96" t="str">
        <x:v>待评审</x:v>
      </x:c>
    </x:row>
    <x:row r="910">
      <x:c r="A910" s="94" t="str">
        <x:v>T0906</x:v>
      </x:c>
      <x:c r="B910" s="95" t="str">
        <x:v>可信、安全、运营与思维模型</x:v>
      </x:c>
      <x:c r="C910" s="95" t="str">
        <x:v>实验安全、网络安全、合规与负责任AI</x:v>
      </x:c>
      <x:c r="D910" s="95" t="str">
        <x:v>研究储备</x:v>
      </x:c>
      <x:c r="E910" s="100" t="n">
        <x:v>5</x:v>
      </x:c>
      <x:c r="F910" s="95" t="str">
        <x:v>两线共用</x:v>
      </x:c>
      <x:c r="G910" s="95" t="str">
        <x:v>E 可信智能体与控制架构</x:v>
      </x:c>
      <x:c r="H910" s="95" t="str">
        <x:v>安全启动</x:v>
      </x:c>
      <x:c r="I910" s="95" t="str">
        <x:v>约束仪器权限、危险操作和数据/提示注入风险。</x:v>
      </x:c>
      <x:c r="J910" s="95" t="str">
        <x:v>接入外部验证器、结构化输出、置信校准、拒答、权限与人工门禁。</x:v>
      </x:c>
      <x:c r="K910" s="95" t="str">
        <x:v>可直接支撑当前EIS-only闭环。</x:v>
      </x:c>
      <x:c r="L910" s="95" t="str">
        <x:v>M3 研究储备</x:v>
      </x:c>
      <x:c r="M910" s="95" t="str">
        <x:v>条件具备后</x:v>
      </x:c>
      <x:c r="N910" s="95" t="str">
        <x:v>P1</x:v>
      </x:c>
      <x:c r="O910" s="95" t="str">
        <x:v>https://www.nist.gov/itl/ai-risk-management-framework</x:v>
      </x:c>
      <x:c r="P910" s="96" t="str">
        <x:v>待评审</x:v>
      </x:c>
    </x:row>
    <x:row r="911">
      <x:c r="A911" s="94" t="str">
        <x:v>T0907</x:v>
      </x:c>
      <x:c r="B911" s="95" t="str">
        <x:v>可信、安全、运营与思维模型</x:v>
      </x:c>
      <x:c r="C911" s="95" t="str">
        <x:v>实验安全、网络安全、合规与负责任AI</x:v>
      </x:c>
      <x:c r="D911" s="95" t="str">
        <x:v>研究储备</x:v>
      </x:c>
      <x:c r="E911" s="100" t="n">
        <x:v>5</x:v>
      </x:c>
      <x:c r="F911" s="95" t="str">
        <x:v>两线共用</x:v>
      </x:c>
      <x:c r="G911" s="95" t="str">
        <x:v>E 可信智能体与控制架构</x:v>
      </x:c>
      <x:c r="H911" s="95" t="str">
        <x:v>固件签名</x:v>
      </x:c>
      <x:c r="I911" s="95" t="str">
        <x:v>约束仪器权限、危险操作和数据/提示注入风险。</x:v>
      </x:c>
      <x:c r="J911" s="95" t="str">
        <x:v>接入外部验证器、结构化输出、置信校准、拒答、权限与人工门禁。</x:v>
      </x:c>
      <x:c r="K911" s="95" t="str">
        <x:v>可直接支撑当前EIS-only闭环。</x:v>
      </x:c>
      <x:c r="L911" s="95" t="str">
        <x:v>M3 研究储备</x:v>
      </x:c>
      <x:c r="M911" s="95" t="str">
        <x:v>条件具备后</x:v>
      </x:c>
      <x:c r="N911" s="95" t="str">
        <x:v>P1</x:v>
      </x:c>
      <x:c r="O911" s="95" t="str">
        <x:v>https://www.nist.gov/cyberframework</x:v>
      </x:c>
      <x:c r="P911" s="96" t="str">
        <x:v>待评审</x:v>
      </x:c>
    </x:row>
    <x:row r="912">
      <x:c r="A912" s="94" t="str">
        <x:v>T0908</x:v>
      </x:c>
      <x:c r="B912" s="95" t="str">
        <x:v>可信、安全、运营与思维模型</x:v>
      </x:c>
      <x:c r="C912" s="95" t="str">
        <x:v>实验安全、网络安全、合规与负责任AI</x:v>
      </x:c>
      <x:c r="D912" s="95" t="str">
        <x:v>研究储备</x:v>
      </x:c>
      <x:c r="E912" s="100" t="n">
        <x:v>5</x:v>
      </x:c>
      <x:c r="F912" s="95" t="str">
        <x:v>两线共用</x:v>
      </x:c>
      <x:c r="G912" s="95" t="str">
        <x:v>E 可信智能体与控制架构</x:v>
      </x:c>
      <x:c r="H912" s="95" t="str">
        <x:v>补丁管理</x:v>
      </x:c>
      <x:c r="I912" s="95" t="str">
        <x:v>约束仪器权限、危险操作和数据/提示注入风险。</x:v>
      </x:c>
      <x:c r="J912" s="95" t="str">
        <x:v>接入外部验证器、结构化输出、置信校准、拒答、权限与人工门禁。</x:v>
      </x:c>
      <x:c r="K912" s="95" t="str">
        <x:v>可直接支撑当前EIS-only闭环。</x:v>
      </x:c>
      <x:c r="L912" s="95" t="str">
        <x:v>M3 研究储备</x:v>
      </x:c>
      <x:c r="M912" s="95" t="str">
        <x:v>条件具备后</x:v>
      </x:c>
      <x:c r="N912" s="95" t="str">
        <x:v>P1</x:v>
      </x:c>
      <x:c r="O912" s="95" t="str">
        <x:v>https://csrc.nist.gov/pubs/sp/800/82/r3/final</x:v>
      </x:c>
      <x:c r="P912" s="96" t="str">
        <x:v>待评审</x:v>
      </x:c>
    </x:row>
    <x:row r="913">
      <x:c r="A913" s="94" t="str">
        <x:v>T0909</x:v>
      </x:c>
      <x:c r="B913" s="95" t="str">
        <x:v>可信、安全、运营与思维模型</x:v>
      </x:c>
      <x:c r="C913" s="95" t="str">
        <x:v>实验安全、网络安全、合规与负责任AI</x:v>
      </x:c>
      <x:c r="D913" s="95" t="str">
        <x:v>研究储备</x:v>
      </x:c>
      <x:c r="E913" s="100" t="n">
        <x:v>5</x:v>
      </x:c>
      <x:c r="F913" s="95" t="str">
        <x:v>两线共用</x:v>
      </x:c>
      <x:c r="G913" s="95" t="str">
        <x:v>E 可信智能体与控制架构</x:v>
      </x:c>
      <x:c r="H913" s="95" t="str">
        <x:v>漏洞管理</x:v>
      </x:c>
      <x:c r="I913" s="95" t="str">
        <x:v>约束仪器权限、危险操作和数据/提示注入风险。</x:v>
      </x:c>
      <x:c r="J913" s="95" t="str">
        <x:v>接入外部验证器、结构化输出、置信校准、拒答、权限与人工门禁。</x:v>
      </x:c>
      <x:c r="K913" s="95" t="str">
        <x:v>可直接支撑当前EIS-only闭环。</x:v>
      </x:c>
      <x:c r="L913" s="95" t="str">
        <x:v>M3 研究储备</x:v>
      </x:c>
      <x:c r="M913" s="95" t="str">
        <x:v>条件具备后</x:v>
      </x:c>
      <x:c r="N913" s="95" t="str">
        <x:v>P2</x:v>
      </x:c>
      <x:c r="O913" s="95" t="str">
        <x:v>https://www.osha.gov/laws-regs/regulations/standardnumber/1910/1910.1450</x:v>
      </x:c>
      <x:c r="P913" s="96" t="str">
        <x:v>待评审</x:v>
      </x:c>
    </x:row>
    <x:row r="914">
      <x:c r="A914" s="94" t="str">
        <x:v>T0910</x:v>
      </x:c>
      <x:c r="B914" s="95" t="str">
        <x:v>可信、安全、运营与思维模型</x:v>
      </x:c>
      <x:c r="C914" s="95" t="str">
        <x:v>实验安全、网络安全、合规与负责任AI</x:v>
      </x:c>
      <x:c r="D914" s="95" t="str">
        <x:v>研究储备</x:v>
      </x:c>
      <x:c r="E914" s="100" t="n">
        <x:v>5</x:v>
      </x:c>
      <x:c r="F914" s="95" t="str">
        <x:v>两线共用</x:v>
      </x:c>
      <x:c r="G914" s="95" t="str">
        <x:v>E 可信智能体与控制架构</x:v>
      </x:c>
      <x:c r="H914" s="95" t="str">
        <x:v>密钥与秘密管理</x:v>
      </x:c>
      <x:c r="I914" s="95" t="str">
        <x:v>约束仪器权限、危险操作和数据/提示注入风险。</x:v>
      </x:c>
      <x:c r="J914" s="95" t="str">
        <x:v>接入外部验证器、结构化输出、置信校准、拒答、权限与人工门禁。</x:v>
      </x:c>
      <x:c r="K914" s="95" t="str">
        <x:v>可直接支撑当前EIS-only闭环。</x:v>
      </x:c>
      <x:c r="L914" s="95" t="str">
        <x:v>M3 研究储备</x:v>
      </x:c>
      <x:c r="M914" s="95" t="str">
        <x:v>条件具备后</x:v>
      </x:c>
      <x:c r="N914" s="95" t="str">
        <x:v>P2</x:v>
      </x:c>
      <x:c r="O914" s="95" t="str">
        <x:v>https://www.fda.gov/regulatory-information/search-fda-guidance-documents/part-11-electronic-records-electronic-signatures-scope-and-application</x:v>
      </x:c>
      <x:c r="P914" s="96" t="str">
        <x:v>待评审</x:v>
      </x:c>
    </x:row>
    <x:row r="915">
      <x:c r="A915" s="94" t="str">
        <x:v>T0911</x:v>
      </x:c>
      <x:c r="B915" s="95" t="str">
        <x:v>可信、安全、运营与思维模型</x:v>
      </x:c>
      <x:c r="C915" s="95" t="str">
        <x:v>实验安全、网络安全、合规与负责任AI</x:v>
      </x:c>
      <x:c r="D915" s="95" t="str">
        <x:v>研究储备</x:v>
      </x:c>
      <x:c r="E915" s="100" t="n">
        <x:v>5</x:v>
      </x:c>
      <x:c r="F915" s="95" t="str">
        <x:v>两线共用</x:v>
      </x:c>
      <x:c r="G915" s="95" t="str">
        <x:v>E 可信智能体与控制架构</x:v>
      </x:c>
      <x:c r="H915" s="95" t="str">
        <x:v>传输/静态加密</x:v>
      </x:c>
      <x:c r="I915" s="95" t="str">
        <x:v>约束仪器权限、危险操作和数据/提示注入风险。</x:v>
      </x:c>
      <x:c r="J915" s="95" t="str">
        <x:v>接入外部验证器、结构化输出、置信校准、拒答、权限与人工门禁。</x:v>
      </x:c>
      <x:c r="K915" s="95" t="str">
        <x:v>可直接支撑当前EIS-only闭环。</x:v>
      </x:c>
      <x:c r="L915" s="95" t="str">
        <x:v>M3 研究储备</x:v>
      </x:c>
      <x:c r="M915" s="95" t="str">
        <x:v>条件具备后</x:v>
      </x:c>
      <x:c r="N915" s="95" t="str">
        <x:v>P2</x:v>
      </x:c>
      <x:c r="O915" s="95" t="str">
        <x:v>https://www.nature.com/articles/s41467-025-63913-1</x:v>
      </x:c>
      <x:c r="P915" s="96" t="str">
        <x:v>待评审</x:v>
      </x:c>
    </x:row>
    <x:row r="916">
      <x:c r="A916" s="94" t="str">
        <x:v>T0912</x:v>
      </x:c>
      <x:c r="B916" s="95" t="str">
        <x:v>可信、安全、运营与思维模型</x:v>
      </x:c>
      <x:c r="C916" s="95" t="str">
        <x:v>实验安全、网络安全、合规与负责任AI</x:v>
      </x:c>
      <x:c r="D916" s="95" t="str">
        <x:v>研究储备</x:v>
      </x:c>
      <x:c r="E916" s="100" t="n">
        <x:v>6</x:v>
      </x:c>
      <x:c r="F916" s="95" t="str">
        <x:v>两线共用</x:v>
      </x:c>
      <x:c r="G916" s="95" t="str">
        <x:v>E 可信智能体与控制架构</x:v>
      </x:c>
      <x:c r="H916" s="95" t="str">
        <x:v>防篡改审计日志</x:v>
      </x:c>
      <x:c r="I916" s="95" t="str">
        <x:v>约束仪器权限、危险操作和数据/提示注入风险。</x:v>
      </x:c>
      <x:c r="J916" s="95" t="str">
        <x:v>接入外部验证器、结构化输出、置信校准、拒答、权限与人工门禁。</x:v>
      </x:c>
      <x:c r="K916" s="95" t="str">
        <x:v>可直接支撑当前EIS-only闭环。</x:v>
      </x:c>
      <x:c r="L916" s="95" t="str">
        <x:v>M3 研究储备</x:v>
      </x:c>
      <x:c r="M916" s="95" t="str">
        <x:v>条件具备后</x:v>
      </x:c>
      <x:c r="N916" s="95" t="str">
        <x:v>P2</x:v>
      </x:c>
      <x:c r="O916" s="95" t="str">
        <x:v>https://www.nist.gov/itl/ai-risk-management-framework</x:v>
      </x:c>
      <x:c r="P916" s="96" t="str">
        <x:v>待评审</x:v>
      </x:c>
    </x:row>
    <x:row r="917">
      <x:c r="A917" s="94" t="str">
        <x:v>T0913</x:v>
      </x:c>
      <x:c r="B917" s="95" t="str">
        <x:v>可信、安全、运营与思维模型</x:v>
      </x:c>
      <x:c r="C917" s="95" t="str">
        <x:v>实验安全、网络安全、合规与负责任AI</x:v>
      </x:c>
      <x:c r="D917" s="95" t="str">
        <x:v>研究储备</x:v>
      </x:c>
      <x:c r="E917" s="100" t="n">
        <x:v>5</x:v>
      </x:c>
      <x:c r="F917" s="95" t="str">
        <x:v>两线共用</x:v>
      </x:c>
      <x:c r="G917" s="95" t="str">
        <x:v>E 可信智能体与控制架构</x:v>
      </x:c>
      <x:c r="H917" s="95" t="str">
        <x:v>软件供应链安全</x:v>
      </x:c>
      <x:c r="I917" s="95" t="str">
        <x:v>约束仪器权限、危险操作和数据/提示注入风险。</x:v>
      </x:c>
      <x:c r="J917" s="95" t="str">
        <x:v>接入外部验证器、结构化输出、置信校准、拒答、权限与人工门禁。</x:v>
      </x:c>
      <x:c r="K917" s="95" t="str">
        <x:v>可直接支撑当前EIS-only闭环。</x:v>
      </x:c>
      <x:c r="L917" s="95" t="str">
        <x:v>M3 研究储备</x:v>
      </x:c>
      <x:c r="M917" s="95" t="str">
        <x:v>条件具备后</x:v>
      </x:c>
      <x:c r="N917" s="95" t="str">
        <x:v>P2</x:v>
      </x:c>
      <x:c r="O917" s="95" t="str">
        <x:v>https://www.nist.gov/cyberframework</x:v>
      </x:c>
      <x:c r="P917" s="96" t="str">
        <x:v>待评审</x:v>
      </x:c>
    </x:row>
    <x:row r="918">
      <x:c r="A918" s="94" t="str">
        <x:v>T0914</x:v>
      </x:c>
      <x:c r="B918" s="95" t="str">
        <x:v>可信、安全、运营与思维模型</x:v>
      </x:c>
      <x:c r="C918" s="95" t="str">
        <x:v>实验安全、网络安全、合规与负责任AI</x:v>
      </x:c>
      <x:c r="D918" s="95" t="str">
        <x:v>关键支撑</x:v>
      </x:c>
      <x:c r="E918" s="100" t="n">
        <x:v>8</x:v>
      </x:c>
      <x:c r="F918" s="95" t="str">
        <x:v>两线共用</x:v>
      </x:c>
      <x:c r="G918" s="95" t="str">
        <x:v>E 可信智能体与控制架构</x:v>
      </x:c>
      <x:c r="H918" s="95" t="str">
        <x:v>提示注入</x:v>
      </x:c>
      <x:c r="I918" s="95" t="str">
        <x:v>约束仪器权限、危险操作和数据/提示注入风险。</x:v>
      </x:c>
      <x:c r="J918" s="95" t="str">
        <x:v>接入外部验证器、结构化输出、置信校准、拒答、权限与人工门禁。</x:v>
      </x:c>
      <x:c r="K918" s="95" t="str">
        <x:v>可直接支撑当前EIS-only闭环。</x:v>
      </x:c>
      <x:c r="L918" s="95" t="str">
        <x:v>M2 扩展与复现（5–12月）</x:v>
      </x:c>
      <x:c r="M918" s="95" t="str">
        <x:v>按瓶颈接入</x:v>
      </x:c>
      <x:c r="N918" s="95" t="str">
        <x:v>P2</x:v>
      </x:c>
      <x:c r="O918" s="95" t="str">
        <x:v>https://csrc.nist.gov/pubs/sp/800/82/r3/final</x:v>
      </x:c>
      <x:c r="P918" s="96" t="str">
        <x:v>待评审</x:v>
      </x:c>
    </x:row>
    <x:row r="919">
      <x:c r="A919" s="94" t="str">
        <x:v>T0915</x:v>
      </x:c>
      <x:c r="B919" s="95" t="str">
        <x:v>可信、安全、运营与思维模型</x:v>
      </x:c>
      <x:c r="C919" s="95" t="str">
        <x:v>实验安全、网络安全、合规与负责任AI</x:v>
      </x:c>
      <x:c r="D919" s="95" t="str">
        <x:v>研究储备</x:v>
      </x:c>
      <x:c r="E919" s="100" t="n">
        <x:v>5</x:v>
      </x:c>
      <x:c r="F919" s="95" t="str">
        <x:v>两线共用</x:v>
      </x:c>
      <x:c r="G919" s="95" t="str">
        <x:v>E 可信智能体与控制架构</x:v>
      </x:c>
      <x:c r="H919" s="95" t="str">
        <x:v>工具投毒</x:v>
      </x:c>
      <x:c r="I919" s="95" t="str">
        <x:v>约束仪器权限、危险操作和数据/提示注入风险。</x:v>
      </x:c>
      <x:c r="J919" s="95" t="str">
        <x:v>接入外部验证器、结构化输出、置信校准、拒答、权限与人工门禁。</x:v>
      </x:c>
      <x:c r="K919" s="95" t="str">
        <x:v>可直接支撑当前EIS-only闭环。</x:v>
      </x:c>
      <x:c r="L919" s="95" t="str">
        <x:v>M3 研究储备</x:v>
      </x:c>
      <x:c r="M919" s="95" t="str">
        <x:v>条件具备后</x:v>
      </x:c>
      <x:c r="N919" s="95" t="str">
        <x:v>P2</x:v>
      </x:c>
      <x:c r="O919" s="95" t="str">
        <x:v>https://www.osha.gov/laws-regs/regulations/standardnumber/1910/1910.1450</x:v>
      </x:c>
      <x:c r="P919" s="96" t="str">
        <x:v>待评审</x:v>
      </x:c>
    </x:row>
    <x:row r="920">
      <x:c r="A920" s="94" t="str">
        <x:v>T0916</x:v>
      </x:c>
      <x:c r="B920" s="95" t="str">
        <x:v>可信、安全、运营与思维模型</x:v>
      </x:c>
      <x:c r="C920" s="95" t="str">
        <x:v>实验安全、网络安全、合规与负责任AI</x:v>
      </x:c>
      <x:c r="D920" s="95" t="str">
        <x:v>研究储备</x:v>
      </x:c>
      <x:c r="E920" s="100" t="n">
        <x:v>5</x:v>
      </x:c>
      <x:c r="F920" s="95" t="str">
        <x:v>两线共用</x:v>
      </x:c>
      <x:c r="G920" s="95" t="str">
        <x:v>E 可信智能体与控制架构</x:v>
      </x:c>
      <x:c r="H920" s="95" t="str">
        <x:v>数据外泄防护</x:v>
      </x:c>
      <x:c r="I920" s="95" t="str">
        <x:v>约束仪器权限、危险操作和数据/提示注入风险。</x:v>
      </x:c>
      <x:c r="J920" s="95" t="str">
        <x:v>接入外部验证器、结构化输出、置信校准、拒答、权限与人工门禁。</x:v>
      </x:c>
      <x:c r="K920" s="95" t="str">
        <x:v>可直接支撑当前EIS-only闭环。</x:v>
      </x:c>
      <x:c r="L920" s="95" t="str">
        <x:v>M3 研究储备</x:v>
      </x:c>
      <x:c r="M920" s="95" t="str">
        <x:v>条件具备后</x:v>
      </x:c>
      <x:c r="N920" s="95" t="str">
        <x:v>P2</x:v>
      </x:c>
      <x:c r="O920" s="95" t="str">
        <x:v>https://www.fda.gov/regulatory-information/search-fda-guidance-documents/part-11-electronic-records-electronic-signatures-scope-and-application</x:v>
      </x:c>
      <x:c r="P920" s="96" t="str">
        <x:v>待评审</x:v>
      </x:c>
    </x:row>
    <x:row r="921">
      <x:c r="A921" s="94" t="str">
        <x:v>T0917</x:v>
      </x:c>
      <x:c r="B921" s="95" t="str">
        <x:v>可信、安全、运营与思维模型</x:v>
      </x:c>
      <x:c r="C921" s="95" t="str">
        <x:v>实验安全、网络安全、合规与负责任AI</x:v>
      </x:c>
      <x:c r="D921" s="95" t="str">
        <x:v>研究储备</x:v>
      </x:c>
      <x:c r="E921" s="100" t="n">
        <x:v>5</x:v>
      </x:c>
      <x:c r="F921" s="95" t="str">
        <x:v>两线共用</x:v>
      </x:c>
      <x:c r="G921" s="95" t="str">
        <x:v>E 可信智能体与控制架构</x:v>
      </x:c>
      <x:c r="H921" s="95" t="str">
        <x:v>双重用途筛查</x:v>
      </x:c>
      <x:c r="I921" s="95" t="str">
        <x:v>约束仪器权限、危险操作和数据/提示注入风险。</x:v>
      </x:c>
      <x:c r="J921" s="95" t="str">
        <x:v>接入外部验证器、结构化输出、置信校准、拒答、权限与人工门禁。</x:v>
      </x:c>
      <x:c r="K921" s="95" t="str">
        <x:v>可直接支撑当前EIS-only闭环。</x:v>
      </x:c>
      <x:c r="L921" s="95" t="str">
        <x:v>M3 研究储备</x:v>
      </x:c>
      <x:c r="M921" s="95" t="str">
        <x:v>条件具备后</x:v>
      </x:c>
      <x:c r="N921" s="95" t="str">
        <x:v>P2</x:v>
      </x:c>
      <x:c r="O921" s="95" t="str">
        <x:v>https://www.nature.com/articles/s41467-025-63913-1</x:v>
      </x:c>
      <x:c r="P921" s="96" t="str">
        <x:v>待评审</x:v>
      </x:c>
    </x:row>
    <x:row r="922">
      <x:c r="A922" s="94" t="str">
        <x:v>T0918</x:v>
      </x:c>
      <x:c r="B922" s="95" t="str">
        <x:v>可信、安全、运营与思维模型</x:v>
      </x:c>
      <x:c r="C922" s="95" t="str">
        <x:v>实验安全、网络安全、合规与负责任AI</x:v>
      </x:c>
      <x:c r="D922" s="95" t="str">
        <x:v>关键支撑</x:v>
      </x:c>
      <x:c r="E922" s="100" t="n">
        <x:v>8</x:v>
      </x:c>
      <x:c r="F922" s="95" t="str">
        <x:v>两线共用</x:v>
      </x:c>
      <x:c r="G922" s="95" t="str">
        <x:v>E 可信智能体与控制架构</x:v>
      </x:c>
      <x:c r="H922" s="95" t="str">
        <x:v>策略引擎</x:v>
      </x:c>
      <x:c r="I922" s="95" t="str">
        <x:v>约束仪器权限、危险操作和数据/提示注入风险。</x:v>
      </x:c>
      <x:c r="J922" s="95" t="str">
        <x:v>接入外部验证器、结构化输出、置信校准、拒答、权限与人工门禁。</x:v>
      </x:c>
      <x:c r="K922" s="95" t="str">
        <x:v>可直接支撑当前EIS-only闭环。</x:v>
      </x:c>
      <x:c r="L922" s="95" t="str">
        <x:v>M2 扩展与复现（5–12月）</x:v>
      </x:c>
      <x:c r="M922" s="95" t="str">
        <x:v>按瓶颈接入</x:v>
      </x:c>
      <x:c r="N922" s="95" t="str">
        <x:v>P2</x:v>
      </x:c>
      <x:c r="O922" s="95" t="str">
        <x:v>https://www.nist.gov/itl/ai-risk-management-framework</x:v>
      </x:c>
      <x:c r="P922" s="96" t="str">
        <x:v>待评审</x:v>
      </x:c>
    </x:row>
    <x:row r="923">
      <x:c r="A923" s="94" t="str">
        <x:v>T0919</x:v>
      </x:c>
      <x:c r="B923" s="95" t="str">
        <x:v>可信、安全、运营与思维模型</x:v>
      </x:c>
      <x:c r="C923" s="95" t="str">
        <x:v>实验安全、网络安全、合规与负责任AI</x:v>
      </x:c>
      <x:c r="D923" s="95" t="str">
        <x:v>关键支撑</x:v>
      </x:c>
      <x:c r="E923" s="100" t="n">
        <x:v>8</x:v>
      </x:c>
      <x:c r="F923" s="95" t="str">
        <x:v>两线共用</x:v>
      </x:c>
      <x:c r="G923" s="95" t="str">
        <x:v>E 可信智能体与控制架构</x:v>
      </x:c>
      <x:c r="H923" s="95" t="str">
        <x:v>高风险人工授权</x:v>
      </x:c>
      <x:c r="I923" s="95" t="str">
        <x:v>约束仪器权限、危险操作和数据/提示注入风险。</x:v>
      </x:c>
      <x:c r="J923" s="95" t="str">
        <x:v>接入外部验证器、结构化输出、置信校准、拒答、权限与人工门禁。</x:v>
      </x:c>
      <x:c r="K923" s="95" t="str">
        <x:v>可直接支撑当前EIS-only闭环。</x:v>
      </x:c>
      <x:c r="L923" s="95" t="str">
        <x:v>M2 扩展与复现（5–12月）</x:v>
      </x:c>
      <x:c r="M923" s="95" t="str">
        <x:v>按瓶颈接入</x:v>
      </x:c>
      <x:c r="N923" s="95" t="str">
        <x:v>P2</x:v>
      </x:c>
      <x:c r="O923" s="95" t="str">
        <x:v>https://www.nist.gov/cyberframework</x:v>
      </x:c>
      <x:c r="P923" s="96" t="str">
        <x:v>待评审</x:v>
      </x:c>
    </x:row>
    <x:row r="924">
      <x:c r="A924" s="94" t="str">
        <x:v>T0920</x:v>
      </x:c>
      <x:c r="B924" s="95" t="str">
        <x:v>可信、安全、运营与思维模型</x:v>
      </x:c>
      <x:c r="C924" s="95" t="str">
        <x:v>实验安全、网络安全、合规与负责任AI</x:v>
      </x:c>
      <x:c r="D924" s="95" t="str">
        <x:v>研究储备</x:v>
      </x:c>
      <x:c r="E924" s="100" t="n">
        <x:v>5</x:v>
      </x:c>
      <x:c r="F924" s="95" t="str">
        <x:v>两线共用</x:v>
      </x:c>
      <x:c r="G924" s="95" t="str">
        <x:v>E 可信智能体与控制架构</x:v>
      </x:c>
      <x:c r="H924" s="95" t="str">
        <x:v>紧急停机</x:v>
      </x:c>
      <x:c r="I924" s="95" t="str">
        <x:v>约束仪器权限、危险操作和数据/提示注入风险。</x:v>
      </x:c>
      <x:c r="J924" s="95" t="str">
        <x:v>接入外部验证器、结构化输出、置信校准、拒答、权限与人工门禁。</x:v>
      </x:c>
      <x:c r="K924" s="95" t="str">
        <x:v>可直接支撑当前EIS-only闭环。</x:v>
      </x:c>
      <x:c r="L924" s="95" t="str">
        <x:v>M3 研究储备</x:v>
      </x:c>
      <x:c r="M924" s="95" t="str">
        <x:v>条件具备后</x:v>
      </x:c>
      <x:c r="N924" s="95" t="str">
        <x:v>P2</x:v>
      </x:c>
      <x:c r="O924" s="95" t="str">
        <x:v>https://csrc.nist.gov/pubs/sp/800/82/r3/final</x:v>
      </x:c>
      <x:c r="P924" s="96" t="str">
        <x:v>待评审</x:v>
      </x:c>
    </x:row>
    <x:row r="925">
      <x:c r="A925" s="94" t="str">
        <x:v>T0921</x:v>
      </x:c>
      <x:c r="B925" s="95" t="str">
        <x:v>可信、安全、运营与思维模型</x:v>
      </x:c>
      <x:c r="C925" s="95" t="str">
        <x:v>运营、经济性、扩展与绩效指标</x:v>
      </x:c>
      <x:c r="D925" s="95" t="str">
        <x:v>关键支撑</x:v>
      </x:c>
      <x:c r="E925" s="100" t="n">
        <x:v>9</x:v>
      </x:c>
      <x:c r="F925" s="95" t="str">
        <x:v>两线共用</x:v>
      </x:c>
      <x:c r="G925" s="95" t="str">
        <x:v>F 数据、协议与复现</x:v>
      </x:c>
      <x:c r="H925" s="95" t="str">
        <x:v>实验吞吐量</x:v>
      </x:c>
      <x:c r="I925" s="95" t="str">
        <x:v>用成本、周期、干预率、复现实验数评价自主发现是否真正有效。</x:v>
      </x:c>
      <x:c r="J925" s="95" t="str">
        <x:v>建立统一ID、原始数据不可变、协议/代码版本、W3C PROV/RO-Crate复现包。</x:v>
      </x:c>
      <x:c r="K925" s="95" t="str">
        <x:v>可直接支撑当前EIS-only闭环。</x:v>
      </x:c>
      <x:c r="L925" s="95" t="str">
        <x:v>M2 扩展与复现（5–12月）</x:v>
      </x:c>
      <x:c r="M925" s="95" t="str">
        <x:v>按瓶颈接入</x:v>
      </x:c>
      <x:c r="N925" s="95" t="str">
        <x:v>P0</x:v>
      </x:c>
      <x:c r="O925" s="95" t="str">
        <x:v>https://www.nature.com/articles/s41467-024-45569-5</x:v>
      </x:c>
      <x:c r="P925" s="96" t="str">
        <x:v>待评审</x:v>
      </x:c>
    </x:row>
    <x:row r="926">
      <x:c r="A926" s="94" t="str">
        <x:v>T0922</x:v>
      </x:c>
      <x:c r="B926" s="95" t="str">
        <x:v>可信、安全、运营与思维模型</x:v>
      </x:c>
      <x:c r="C926" s="95" t="str">
        <x:v>运营、经济性、扩展与绩效指标</x:v>
      </x:c>
      <x:c r="D926" s="95" t="str">
        <x:v>关键支撑</x:v>
      </x:c>
      <x:c r="E926" s="100" t="n">
        <x:v>9</x:v>
      </x:c>
      <x:c r="F926" s="95" t="str">
        <x:v>两线共用</x:v>
      </x:c>
      <x:c r="G926" s="95" t="str">
        <x:v>F 数据、协议与复现</x:v>
      </x:c>
      <x:c r="H926" s="95" t="str">
        <x:v>周期时间</x:v>
      </x:c>
      <x:c r="I926" s="95" t="str">
        <x:v>用成本、周期、干预率、复现实验数评价自主发现是否真正有效。</x:v>
      </x:c>
      <x:c r="J926" s="95" t="str">
        <x:v>建立统一ID、原始数据不可变、协议/代码版本、W3C PROV/RO-Crate复现包。</x:v>
      </x:c>
      <x:c r="K926" s="95" t="str">
        <x:v>可直接支撑当前EIS-only闭环。</x:v>
      </x:c>
      <x:c r="L926" s="95" t="str">
        <x:v>M2 扩展与复现（5–12月）</x:v>
      </x:c>
      <x:c r="M926" s="95" t="str">
        <x:v>按瓶颈接入</x:v>
      </x:c>
      <x:c r="N926" s="95" t="str">
        <x:v>P0</x:v>
      </x:c>
      <x:c r="O926" s="95" t="str">
        <x:v>https://www.nature.com/articles/s42004-026-01932-9</x:v>
      </x:c>
      <x:c r="P926" s="96" t="str">
        <x:v>待评审</x:v>
      </x:c>
    </x:row>
    <x:row r="927">
      <x:c r="A927" s="94" t="str">
        <x:v>T0923</x:v>
      </x:c>
      <x:c r="B927" s="95" t="str">
        <x:v>可信、安全、运营与思维模型</x:v>
      </x:c>
      <x:c r="C927" s="95" t="str">
        <x:v>运营、经济性、扩展与绩效指标</x:v>
      </x:c>
      <x:c r="D927" s="95" t="str">
        <x:v>关键支撑</x:v>
      </x:c>
      <x:c r="E927" s="100" t="n">
        <x:v>9</x:v>
      </x:c>
      <x:c r="F927" s="95" t="str">
        <x:v>两线共用</x:v>
      </x:c>
      <x:c r="G927" s="95" t="str">
        <x:v>F 数据、协议与复现</x:v>
      </x:c>
      <x:c r="H927" s="95" t="str">
        <x:v>设备可用率</x:v>
      </x:c>
      <x:c r="I927" s="95" t="str">
        <x:v>用成本、周期、干预率、复现实验数评价自主发现是否真正有效。</x:v>
      </x:c>
      <x:c r="J927" s="95" t="str">
        <x:v>建立统一ID、原始数据不可变、协议/代码版本、W3C PROV/RO-Crate复现包。</x:v>
      </x:c>
      <x:c r="K927" s="95" t="str">
        <x:v>可直接支撑当前EIS-only闭环。</x:v>
      </x:c>
      <x:c r="L927" s="95" t="str">
        <x:v>M2 扩展与复现（5–12月）</x:v>
      </x:c>
      <x:c r="M927" s="95" t="str">
        <x:v>按瓶颈接入</x:v>
      </x:c>
      <x:c r="N927" s="95" t="str">
        <x:v>P0</x:v>
      </x:c>
      <x:c r="O927" s="95" t="str">
        <x:v>https://www.science.org/doi/10.1126/scirobotics.adm6991</x:v>
      </x:c>
      <x:c r="P927" s="96" t="str">
        <x:v>待评审</x:v>
      </x:c>
    </x:row>
    <x:row r="928">
      <x:c r="A928" s="94" t="str">
        <x:v>T0924</x:v>
      </x:c>
      <x:c r="B928" s="95" t="str">
        <x:v>可信、安全、运营与思维模型</x:v>
      </x:c>
      <x:c r="C928" s="95" t="str">
        <x:v>运营、经济性、扩展与绩效指标</x:v>
      </x:c>
      <x:c r="D928" s="95" t="str">
        <x:v>关键支撑</x:v>
      </x:c>
      <x:c r="E928" s="100" t="n">
        <x:v>9</x:v>
      </x:c>
      <x:c r="F928" s="95" t="str">
        <x:v>两线共用</x:v>
      </x:c>
      <x:c r="G928" s="95" t="str">
        <x:v>F 数据、协议与复现</x:v>
      </x:c>
      <x:c r="H928" s="95" t="str">
        <x:v>OEE</x:v>
      </x:c>
      <x:c r="I928" s="95" t="str">
        <x:v>用成本、周期、干预率、复现实验数评价自主发现是否真正有效。</x:v>
      </x:c>
      <x:c r="J928" s="95" t="str">
        <x:v>建立统一ID、原始数据不可变、协议/代码版本、W3C PROV/RO-Crate复现包。</x:v>
      </x:c>
      <x:c r="K928" s="95" t="str">
        <x:v>可直接支撑当前EIS-only闭环。</x:v>
      </x:c>
      <x:c r="L928" s="95" t="str">
        <x:v>M2 扩展与复现（5–12月）</x:v>
      </x:c>
      <x:c r="M928" s="95" t="str">
        <x:v>按瓶颈接入</x:v>
      </x:c>
      <x:c r="N928" s="95" t="str">
        <x:v>P0</x:v>
      </x:c>
      <x:c r="O928" s="95" t="str">
        <x:v>https://www.nature.com/articles/s41467-025-59231-1</x:v>
      </x:c>
      <x:c r="P928" s="96" t="str">
        <x:v>待评审</x:v>
      </x:c>
    </x:row>
    <x:row r="929">
      <x:c r="A929" s="94" t="str">
        <x:v>T0925</x:v>
      </x:c>
      <x:c r="B929" s="95" t="str">
        <x:v>可信、安全、运营与思维模型</x:v>
      </x:c>
      <x:c r="C929" s="95" t="str">
        <x:v>运营、经济性、扩展与绩效指标</x:v>
      </x:c>
      <x:c r="D929" s="95" t="str">
        <x:v>关键支撑</x:v>
      </x:c>
      <x:c r="E929" s="100" t="n">
        <x:v>9</x:v>
      </x:c>
      <x:c r="F929" s="95" t="str">
        <x:v>两线共用</x:v>
      </x:c>
      <x:c r="G929" s="95" t="str">
        <x:v>F 数据、协议与复现</x:v>
      </x:c>
      <x:c r="H929" s="95" t="str">
        <x:v>设备利用率</x:v>
      </x:c>
      <x:c r="I929" s="95" t="str">
        <x:v>用成本、周期、干预率、复现实验数评价自主发现是否真正有效。</x:v>
      </x:c>
      <x:c r="J929" s="95" t="str">
        <x:v>建立统一ID、原始数据不可变、协议/代码版本、W3C PROV/RO-Crate复现包。</x:v>
      </x:c>
      <x:c r="K929" s="95" t="str">
        <x:v>可直接支撑当前EIS-only闭环。</x:v>
      </x:c>
      <x:c r="L929" s="95" t="str">
        <x:v>M2 扩展与复现（5–12月）</x:v>
      </x:c>
      <x:c r="M929" s="95" t="str">
        <x:v>按瓶颈接入</x:v>
      </x:c>
      <x:c r="N929" s="95" t="str">
        <x:v>P0</x:v>
      </x:c>
      <x:c r="O929" s="95" t="str">
        <x:v>https://www.nature.com/articles/s41467-024-45569-5</x:v>
      </x:c>
      <x:c r="P929" s="96" t="str">
        <x:v>待评审</x:v>
      </x:c>
    </x:row>
    <x:row r="930">
      <x:c r="A930" s="94" t="str">
        <x:v>T0926</x:v>
      </x:c>
      <x:c r="B930" s="95" t="str">
        <x:v>可信、安全、运营与思维模型</x:v>
      </x:c>
      <x:c r="C930" s="95" t="str">
        <x:v>运营、经济性、扩展与绩效指标</x:v>
      </x:c>
      <x:c r="D930" s="95" t="str">
        <x:v>关键支撑</x:v>
      </x:c>
      <x:c r="E930" s="100" t="n">
        <x:v>9</x:v>
      </x:c>
      <x:c r="F930" s="95" t="str">
        <x:v>两线共用</x:v>
      </x:c>
      <x:c r="G930" s="95" t="str">
        <x:v>F 数据、协议与复现</x:v>
      </x:c>
      <x:c r="H930" s="95" t="str">
        <x:v>产率</x:v>
      </x:c>
      <x:c r="I930" s="95" t="str">
        <x:v>用成本、周期、干预率、复现实验数评价自主发现是否真正有效。</x:v>
      </x:c>
      <x:c r="J930" s="95" t="str">
        <x:v>建立统一ID、原始数据不可变、协议/代码版本、W3C PROV/RO-Crate复现包。</x:v>
      </x:c>
      <x:c r="K930" s="95" t="str">
        <x:v>可直接支撑当前EIS-only闭环。</x:v>
      </x:c>
      <x:c r="L930" s="95" t="str">
        <x:v>M2 扩展与复现（5–12月）</x:v>
      </x:c>
      <x:c r="M930" s="95" t="str">
        <x:v>按瓶颈接入</x:v>
      </x:c>
      <x:c r="N930" s="95" t="str">
        <x:v>P0</x:v>
      </x:c>
      <x:c r="O930" s="95" t="str">
        <x:v>https://www.nature.com/articles/s42004-026-01932-9</x:v>
      </x:c>
      <x:c r="P930" s="96" t="str">
        <x:v>待评审</x:v>
      </x:c>
    </x:row>
    <x:row r="931">
      <x:c r="A931" s="94" t="str">
        <x:v>T0927</x:v>
      </x:c>
      <x:c r="B931" s="95" t="str">
        <x:v>可信、安全、运营与思维模型</x:v>
      </x:c>
      <x:c r="C931" s="95" t="str">
        <x:v>运营、经济性、扩展与绩效指标</x:v>
      </x:c>
      <x:c r="D931" s="95" t="str">
        <x:v>关键支撑</x:v>
      </x:c>
      <x:c r="E931" s="100" t="n">
        <x:v>9</x:v>
      </x:c>
      <x:c r="F931" s="95" t="str">
        <x:v>两线共用</x:v>
      </x:c>
      <x:c r="G931" s="95" t="str">
        <x:v>F 数据、协议与复现</x:v>
      </x:c>
      <x:c r="H931" s="95" t="str">
        <x:v>一次成功率</x:v>
      </x:c>
      <x:c r="I931" s="95" t="str">
        <x:v>用成本、周期、干预率、复现实验数评价自主发现是否真正有效。</x:v>
      </x:c>
      <x:c r="J931" s="95" t="str">
        <x:v>建立统一ID、原始数据不可变、协议/代码版本、W3C PROV/RO-Crate复现包。</x:v>
      </x:c>
      <x:c r="K931" s="95" t="str">
        <x:v>可直接支撑当前EIS-only闭环。</x:v>
      </x:c>
      <x:c r="L931" s="95" t="str">
        <x:v>M2 扩展与复现（5–12月）</x:v>
      </x:c>
      <x:c r="M931" s="95" t="str">
        <x:v>按瓶颈接入</x:v>
      </x:c>
      <x:c r="N931" s="95" t="str">
        <x:v>P0</x:v>
      </x:c>
      <x:c r="O931" s="95" t="str">
        <x:v>https://www.science.org/doi/10.1126/scirobotics.adm6991</x:v>
      </x:c>
      <x:c r="P931" s="96" t="str">
        <x:v>待评审</x:v>
      </x:c>
    </x:row>
    <x:row r="932">
      <x:c r="A932" s="94" t="str">
        <x:v>T0928</x:v>
      </x:c>
      <x:c r="B932" s="95" t="str">
        <x:v>可信、安全、运营与思维模型</x:v>
      </x:c>
      <x:c r="C932" s="95" t="str">
        <x:v>运营、经济性、扩展与绩效指标</x:v>
      </x:c>
      <x:c r="D932" s="95" t="str">
        <x:v>关键支撑</x:v>
      </x:c>
      <x:c r="E932" s="100" t="n">
        <x:v>9</x:v>
      </x:c>
      <x:c r="F932" s="95" t="str">
        <x:v>两线共用</x:v>
      </x:c>
      <x:c r="G932" s="95" t="str">
        <x:v>F 数据、协议与复现</x:v>
      </x:c>
      <x:c r="H932" s="95" t="str">
        <x:v>重复实验率</x:v>
      </x:c>
      <x:c r="I932" s="95" t="str">
        <x:v>用成本、周期、干预率、复现实验数评价自主发现是否真正有效。</x:v>
      </x:c>
      <x:c r="J932" s="95" t="str">
        <x:v>建立统一ID、原始数据不可变、协议/代码版本、W3C PROV/RO-Crate复现包。</x:v>
      </x:c>
      <x:c r="K932" s="95" t="str">
        <x:v>可直接支撑当前EIS-only闭环。</x:v>
      </x:c>
      <x:c r="L932" s="95" t="str">
        <x:v>M2 扩展与复现（5–12月）</x:v>
      </x:c>
      <x:c r="M932" s="95" t="str">
        <x:v>按瓶颈接入</x:v>
      </x:c>
      <x:c r="N932" s="95" t="str">
        <x:v>P0</x:v>
      </x:c>
      <x:c r="O932" s="95" t="str">
        <x:v>https://www.nature.com/articles/s41467-025-59231-1</x:v>
      </x:c>
      <x:c r="P932" s="96" t="str">
        <x:v>待评审</x:v>
      </x:c>
    </x:row>
    <x:row r="933">
      <x:c r="A933" s="94" t="str">
        <x:v>T0929</x:v>
      </x:c>
      <x:c r="B933" s="95" t="str">
        <x:v>可信、安全、运营与思维模型</x:v>
      </x:c>
      <x:c r="C933" s="95" t="str">
        <x:v>运营、经济性、扩展与绩效指标</x:v>
      </x:c>
      <x:c r="D933" s="95" t="str">
        <x:v>关键支撑</x:v>
      </x:c>
      <x:c r="E933" s="100" t="n">
        <x:v>9</x:v>
      </x:c>
      <x:c r="F933" s="95" t="str">
        <x:v>两线共用</x:v>
      </x:c>
      <x:c r="G933" s="95" t="str">
        <x:v>F 数据、协议与复现</x:v>
      </x:c>
      <x:c r="H933" s="95" t="str">
        <x:v>人工干预率</x:v>
      </x:c>
      <x:c r="I933" s="95" t="str">
        <x:v>用成本、周期、干预率、复现实验数评价自主发现是否真正有效。</x:v>
      </x:c>
      <x:c r="J933" s="95" t="str">
        <x:v>建立统一ID、原始数据不可变、协议/代码版本、W3C PROV/RO-Crate复现包。</x:v>
      </x:c>
      <x:c r="K933" s="95" t="str">
        <x:v>可直接支撑当前EIS-only闭环。</x:v>
      </x:c>
      <x:c r="L933" s="95" t="str">
        <x:v>M2 扩展与复现（5–12月）</x:v>
      </x:c>
      <x:c r="M933" s="95" t="str">
        <x:v>按瓶颈接入</x:v>
      </x:c>
      <x:c r="N933" s="95" t="str">
        <x:v>P0</x:v>
      </x:c>
      <x:c r="O933" s="95" t="str">
        <x:v>https://www.nature.com/articles/s41467-024-45569-5</x:v>
      </x:c>
      <x:c r="P933" s="96" t="str">
        <x:v>待评审</x:v>
      </x:c>
    </x:row>
    <x:row r="934">
      <x:c r="A934" s="94" t="str">
        <x:v>T0930</x:v>
      </x:c>
      <x:c r="B934" s="95" t="str">
        <x:v>可信、安全、运营与思维模型</x:v>
      </x:c>
      <x:c r="C934" s="95" t="str">
        <x:v>运营、经济性、扩展与绩效指标</x:v>
      </x:c>
      <x:c r="D934" s="95" t="str">
        <x:v>关键支撑</x:v>
      </x:c>
      <x:c r="E934" s="100" t="n">
        <x:v>9</x:v>
      </x:c>
      <x:c r="F934" s="95" t="str">
        <x:v>两线共用</x:v>
      </x:c>
      <x:c r="G934" s="95" t="str">
        <x:v>F 数据、协议与复现</x:v>
      </x:c>
      <x:c r="H934" s="95" t="str">
        <x:v>连续自主运行时长</x:v>
      </x:c>
      <x:c r="I934" s="95" t="str">
        <x:v>用成本、周期、干预率、复现实验数评价自主发现是否真正有效。</x:v>
      </x:c>
      <x:c r="J934" s="95" t="str">
        <x:v>建立统一ID、原始数据不可变、协议/代码版本、W3C PROV/RO-Crate复现包。</x:v>
      </x:c>
      <x:c r="K934" s="95" t="str">
        <x:v>可直接支撑当前EIS-only闭环。</x:v>
      </x:c>
      <x:c r="L934" s="95" t="str">
        <x:v>M2 扩展与复现（5–12月）</x:v>
      </x:c>
      <x:c r="M934" s="95" t="str">
        <x:v>按瓶颈接入</x:v>
      </x:c>
      <x:c r="N934" s="95" t="str">
        <x:v>P0</x:v>
      </x:c>
      <x:c r="O934" s="95" t="str">
        <x:v>https://www.nature.com/articles/s42004-026-01932-9</x:v>
      </x:c>
      <x:c r="P934" s="96" t="str">
        <x:v>待评审</x:v>
      </x:c>
    </x:row>
    <x:row r="935">
      <x:c r="A935" s="94" t="str">
        <x:v>T0931</x:v>
      </x:c>
      <x:c r="B935" s="95" t="str">
        <x:v>可信、安全、运营与思维模型</x:v>
      </x:c>
      <x:c r="C935" s="95" t="str">
        <x:v>运营、经济性、扩展与绩效指标</x:v>
      </x:c>
      <x:c r="D935" s="95" t="str">
        <x:v>关键支撑</x:v>
      </x:c>
      <x:c r="E935" s="100" t="n">
        <x:v>9</x:v>
      </x:c>
      <x:c r="F935" s="95" t="str">
        <x:v>两线共用</x:v>
      </x:c>
      <x:c r="G935" s="95" t="str">
        <x:v>F 数据、协议与复现</x:v>
      </x:c>
      <x:c r="H935" s="95" t="str">
        <x:v>单实验人工分钟</x:v>
      </x:c>
      <x:c r="I935" s="95" t="str">
        <x:v>用成本、周期、干预率、复现实验数评价自主发现是否真正有效。</x:v>
      </x:c>
      <x:c r="J935" s="95" t="str">
        <x:v>建立统一ID、原始数据不可变、协议/代码版本、W3C PROV/RO-Crate复现包。</x:v>
      </x:c>
      <x:c r="K935" s="95" t="str">
        <x:v>可直接支撑当前EIS-only闭环。</x:v>
      </x:c>
      <x:c r="L935" s="95" t="str">
        <x:v>M2 扩展与复现（5–12月）</x:v>
      </x:c>
      <x:c r="M935" s="95" t="str">
        <x:v>按瓶颈接入</x:v>
      </x:c>
      <x:c r="N935" s="95" t="str">
        <x:v>P1</x:v>
      </x:c>
      <x:c r="O935" s="95" t="str">
        <x:v>https://www.science.org/doi/10.1126/scirobotics.adm6991</x:v>
      </x:c>
      <x:c r="P935" s="96" t="str">
        <x:v>待评审</x:v>
      </x:c>
    </x:row>
    <x:row r="936">
      <x:c r="A936" s="94" t="str">
        <x:v>T0932</x:v>
      </x:c>
      <x:c r="B936" s="95" t="str">
        <x:v>可信、安全、运营与思维模型</x:v>
      </x:c>
      <x:c r="C936" s="95" t="str">
        <x:v>运营、经济性、扩展与绩效指标</x:v>
      </x:c>
      <x:c r="D936" s="95" t="str">
        <x:v>关键支撑</x:v>
      </x:c>
      <x:c r="E936" s="100" t="n">
        <x:v>9</x:v>
      </x:c>
      <x:c r="F936" s="95" t="str">
        <x:v>两线共用</x:v>
      </x:c>
      <x:c r="G936" s="95" t="str">
        <x:v>F 数据、协议与复现</x:v>
      </x:c>
      <x:c r="H936" s="95" t="str">
        <x:v>每次发现所需实验数</x:v>
      </x:c>
      <x:c r="I936" s="95" t="str">
        <x:v>用成本、周期、干预率、复现实验数评价自主发现是否真正有效。</x:v>
      </x:c>
      <x:c r="J936" s="95" t="str">
        <x:v>建立统一ID、原始数据不可变、协议/代码版本、W3C PROV/RO-Crate复现包。</x:v>
      </x:c>
      <x:c r="K936" s="95" t="str">
        <x:v>可直接支撑当前EIS-only闭环。</x:v>
      </x:c>
      <x:c r="L936" s="95" t="str">
        <x:v>M2 扩展与复现（5–12月）</x:v>
      </x:c>
      <x:c r="M936" s="95" t="str">
        <x:v>按瓶颈接入</x:v>
      </x:c>
      <x:c r="N936" s="95" t="str">
        <x:v>P1</x:v>
      </x:c>
      <x:c r="O936" s="95" t="str">
        <x:v>https://www.nature.com/articles/s41467-025-59231-1</x:v>
      </x:c>
      <x:c r="P936" s="96" t="str">
        <x:v>待评审</x:v>
      </x:c>
    </x:row>
    <x:row r="937">
      <x:c r="A937" s="94" t="str">
        <x:v>T0933</x:v>
      </x:c>
      <x:c r="B937" s="95" t="str">
        <x:v>可信、安全、运营与思维模型</x:v>
      </x:c>
      <x:c r="C937" s="95" t="str">
        <x:v>运营、经济性、扩展与绩效指标</x:v>
      </x:c>
      <x:c r="D937" s="95" t="str">
        <x:v>关键支撑</x:v>
      </x:c>
      <x:c r="E937" s="100" t="n">
        <x:v>9</x:v>
      </x:c>
      <x:c r="F937" s="95" t="str">
        <x:v>两线共用</x:v>
      </x:c>
      <x:c r="G937" s="95" t="str">
        <x:v>F 数据、协议与复现</x:v>
      </x:c>
      <x:c r="H937" s="95" t="str">
        <x:v>加速因子</x:v>
      </x:c>
      <x:c r="I937" s="95" t="str">
        <x:v>用成本、周期、干预率、复现实验数评价自主发现是否真正有效。</x:v>
      </x:c>
      <x:c r="J937" s="95" t="str">
        <x:v>建立统一ID、原始数据不可变、协议/代码版本、W3C PROV/RO-Crate复现包。</x:v>
      </x:c>
      <x:c r="K937" s="95" t="str">
        <x:v>可直接支撑当前EIS-only闭环。</x:v>
      </x:c>
      <x:c r="L937" s="95" t="str">
        <x:v>M2 扩展与复现（5–12月）</x:v>
      </x:c>
      <x:c r="M937" s="95" t="str">
        <x:v>按瓶颈接入</x:v>
      </x:c>
      <x:c r="N937" s="95" t="str">
        <x:v>P1</x:v>
      </x:c>
      <x:c r="O937" s="95" t="str">
        <x:v>https://www.nature.com/articles/s41467-024-45569-5</x:v>
      </x:c>
      <x:c r="P937" s="96" t="str">
        <x:v>待评审</x:v>
      </x:c>
    </x:row>
    <x:row r="938">
      <x:c r="A938" s="94" t="str">
        <x:v>T0934</x:v>
      </x:c>
      <x:c r="B938" s="95" t="str">
        <x:v>可信、安全、运营与思维模型</x:v>
      </x:c>
      <x:c r="C938" s="95" t="str">
        <x:v>运营、经济性、扩展与绩效指标</x:v>
      </x:c>
      <x:c r="D938" s="95" t="str">
        <x:v>关键支撑</x:v>
      </x:c>
      <x:c r="E938" s="100" t="n">
        <x:v>9</x:v>
      </x:c>
      <x:c r="F938" s="95" t="str">
        <x:v>两线共用</x:v>
      </x:c>
      <x:c r="G938" s="95" t="str">
        <x:v>F 数据、协议与复现</x:v>
      </x:c>
      <x:c r="H938" s="95" t="str">
        <x:v>增强因子</x:v>
      </x:c>
      <x:c r="I938" s="95" t="str">
        <x:v>用成本、周期、干预率、复现实验数评价自主发现是否真正有效。</x:v>
      </x:c>
      <x:c r="J938" s="95" t="str">
        <x:v>建立统一ID、原始数据不可变、协议/代码版本、W3C PROV/RO-Crate复现包。</x:v>
      </x:c>
      <x:c r="K938" s="95" t="str">
        <x:v>可直接支撑当前EIS-only闭环。</x:v>
      </x:c>
      <x:c r="L938" s="95" t="str">
        <x:v>M2 扩展与复现（5–12月）</x:v>
      </x:c>
      <x:c r="M938" s="95" t="str">
        <x:v>按瓶颈接入</x:v>
      </x:c>
      <x:c r="N938" s="95" t="str">
        <x:v>P1</x:v>
      </x:c>
      <x:c r="O938" s="95" t="str">
        <x:v>https://www.nature.com/articles/s42004-026-01932-9</x:v>
      </x:c>
      <x:c r="P938" s="96" t="str">
        <x:v>待评审</x:v>
      </x:c>
    </x:row>
    <x:row r="939">
      <x:c r="A939" s="94" t="str">
        <x:v>T0935</x:v>
      </x:c>
      <x:c r="B939" s="95" t="str">
        <x:v>可信、安全、运营与思维模型</x:v>
      </x:c>
      <x:c r="C939" s="95" t="str">
        <x:v>运营、经济性、扩展与绩效指标</x:v>
      </x:c>
      <x:c r="D939" s="95" t="str">
        <x:v>关键支撑</x:v>
      </x:c>
      <x:c r="E939" s="100" t="n">
        <x:v>9</x:v>
      </x:c>
      <x:c r="F939" s="95" t="str">
        <x:v>两线共用</x:v>
      </x:c>
      <x:c r="G939" s="95" t="str">
        <x:v>F 数据、协议与复现</x:v>
      </x:c>
      <x:c r="H939" s="95" t="str">
        <x:v>发现率</x:v>
      </x:c>
      <x:c r="I939" s="95" t="str">
        <x:v>用成本、周期、干预率、复现实验数评价自主发现是否真正有效。</x:v>
      </x:c>
      <x:c r="J939" s="95" t="str">
        <x:v>建立统一ID、原始数据不可变、协议/代码版本、W3C PROV/RO-Crate复现包。</x:v>
      </x:c>
      <x:c r="K939" s="95" t="str">
        <x:v>可直接支撑当前EIS-only闭环。</x:v>
      </x:c>
      <x:c r="L939" s="95" t="str">
        <x:v>M2 扩展与复现（5–12月）</x:v>
      </x:c>
      <x:c r="M939" s="95" t="str">
        <x:v>按瓶颈接入</x:v>
      </x:c>
      <x:c r="N939" s="95" t="str">
        <x:v>P1</x:v>
      </x:c>
      <x:c r="O939" s="95" t="str">
        <x:v>https://www.science.org/doi/10.1126/scirobotics.adm6991</x:v>
      </x:c>
      <x:c r="P939" s="96" t="str">
        <x:v>待评审</x:v>
      </x:c>
    </x:row>
    <x:row r="940">
      <x:c r="A940" s="94" t="str">
        <x:v>T0936</x:v>
      </x:c>
      <x:c r="B940" s="95" t="str">
        <x:v>可信、安全、运营与思维模型</x:v>
      </x:c>
      <x:c r="C940" s="95" t="str">
        <x:v>运营、经济性、扩展与绩效指标</x:v>
      </x:c>
      <x:c r="D940" s="95" t="str">
        <x:v>关键支撑</x:v>
      </x:c>
      <x:c r="E940" s="100" t="n">
        <x:v>9</x:v>
      </x:c>
      <x:c r="F940" s="95" t="str">
        <x:v>两线共用</x:v>
      </x:c>
      <x:c r="G940" s="95" t="str">
        <x:v>F 数据、协议与复现</x:v>
      </x:c>
      <x:c r="H940" s="95" t="str">
        <x:v>单实验成本</x:v>
      </x:c>
      <x:c r="I940" s="95" t="str">
        <x:v>用成本、周期、干预率、复现实验数评价自主发现是否真正有效。</x:v>
      </x:c>
      <x:c r="J940" s="95" t="str">
        <x:v>建立统一ID、原始数据不可变、协议/代码版本、W3C PROV/RO-Crate复现包。</x:v>
      </x:c>
      <x:c r="K940" s="95" t="str">
        <x:v>可直接支撑当前EIS-only闭环。</x:v>
      </x:c>
      <x:c r="L940" s="95" t="str">
        <x:v>M2 扩展与复现（5–12月）</x:v>
      </x:c>
      <x:c r="M940" s="95" t="str">
        <x:v>按瓶颈接入</x:v>
      </x:c>
      <x:c r="N940" s="95" t="str">
        <x:v>P1</x:v>
      </x:c>
      <x:c r="O940" s="95" t="str">
        <x:v>https://www.nature.com/articles/s41467-025-59231-1</x:v>
      </x:c>
      <x:c r="P940" s="96" t="str">
        <x:v>待评审</x:v>
      </x:c>
    </x:row>
    <x:row r="941">
      <x:c r="A941" s="94" t="str">
        <x:v>T0937</x:v>
      </x:c>
      <x:c r="B941" s="95" t="str">
        <x:v>可信、安全、运营与思维模型</x:v>
      </x:c>
      <x:c r="C941" s="95" t="str">
        <x:v>运营、经济性、扩展与绩效指标</x:v>
      </x:c>
      <x:c r="D941" s="95" t="str">
        <x:v>关键支撑</x:v>
      </x:c>
      <x:c r="E941" s="100" t="n">
        <x:v>9</x:v>
      </x:c>
      <x:c r="F941" s="95" t="str">
        <x:v>两线共用</x:v>
      </x:c>
      <x:c r="G941" s="95" t="str">
        <x:v>F 数据、协议与复现</x:v>
      </x:c>
      <x:c r="H941" s="95" t="str">
        <x:v>单成功候选成本</x:v>
      </x:c>
      <x:c r="I941" s="95" t="str">
        <x:v>用成本、周期、干预率、复现实验数评价自主发现是否真正有效。</x:v>
      </x:c>
      <x:c r="J941" s="95" t="str">
        <x:v>建立统一ID、原始数据不可变、协议/代码版本、W3C PROV/RO-Crate复现包。</x:v>
      </x:c>
      <x:c r="K941" s="95" t="str">
        <x:v>可直接支撑当前EIS-only闭环。</x:v>
      </x:c>
      <x:c r="L941" s="95" t="str">
        <x:v>M2 扩展与复现（5–12月）</x:v>
      </x:c>
      <x:c r="M941" s="95" t="str">
        <x:v>按瓶颈接入</x:v>
      </x:c>
      <x:c r="N941" s="95" t="str">
        <x:v>P1</x:v>
      </x:c>
      <x:c r="O941" s="95" t="str">
        <x:v>https://www.nature.com/articles/s41467-024-45569-5</x:v>
      </x:c>
      <x:c r="P941" s="96" t="str">
        <x:v>待评审</x:v>
      </x:c>
    </x:row>
    <x:row r="942">
      <x:c r="A942" s="94" t="str">
        <x:v>T0938</x:v>
      </x:c>
      <x:c r="B942" s="95" t="str">
        <x:v>可信、安全、运营与思维模型</x:v>
      </x:c>
      <x:c r="C942" s="95" t="str">
        <x:v>运营、经济性、扩展与绩效指标</x:v>
      </x:c>
      <x:c r="D942" s="95" t="str">
        <x:v>关键支撑</x:v>
      </x:c>
      <x:c r="E942" s="100" t="n">
        <x:v>9</x:v>
      </x:c>
      <x:c r="F942" s="95" t="str">
        <x:v>两线共用</x:v>
      </x:c>
      <x:c r="G942" s="95" t="str">
        <x:v>F 数据、协议与复现</x:v>
      </x:c>
      <x:c r="H942" s="95" t="str">
        <x:v>材料利用率</x:v>
      </x:c>
      <x:c r="I942" s="95" t="str">
        <x:v>用成本、周期、干预率、复现实验数评价自主发现是否真正有效。</x:v>
      </x:c>
      <x:c r="J942" s="95" t="str">
        <x:v>建立统一ID、原始数据不可变、协议/代码版本、W3C PROV/RO-Crate复现包。</x:v>
      </x:c>
      <x:c r="K942" s="95" t="str">
        <x:v>可直接支撑当前EIS-only闭环。</x:v>
      </x:c>
      <x:c r="L942" s="95" t="str">
        <x:v>M2 扩展与复现（5–12月）</x:v>
      </x:c>
      <x:c r="M942" s="95" t="str">
        <x:v>按瓶颈接入</x:v>
      </x:c>
      <x:c r="N942" s="95" t="str">
        <x:v>P1</x:v>
      </x:c>
      <x:c r="O942" s="95" t="str">
        <x:v>https://www.nature.com/articles/s42004-026-01932-9</x:v>
      </x:c>
      <x:c r="P942" s="96" t="str">
        <x:v>待评审</x:v>
      </x:c>
    </x:row>
    <x:row r="943">
      <x:c r="A943" s="94" t="str">
        <x:v>T0939</x:v>
      </x:c>
      <x:c r="B943" s="95" t="str">
        <x:v>可信、安全、运营与思维模型</x:v>
      </x:c>
      <x:c r="C943" s="95" t="str">
        <x:v>运营、经济性、扩展与绩效指标</x:v>
      </x:c>
      <x:c r="D943" s="95" t="str">
        <x:v>关键支撑</x:v>
      </x:c>
      <x:c r="E943" s="100" t="n">
        <x:v>9</x:v>
      </x:c>
      <x:c r="F943" s="95" t="str">
        <x:v>两线共用</x:v>
      </x:c>
      <x:c r="G943" s="95" t="str">
        <x:v>F 数据、协议与复现</x:v>
      </x:c>
      <x:c r="H943" s="95" t="str">
        <x:v>能耗强度</x:v>
      </x:c>
      <x:c r="I943" s="95" t="str">
        <x:v>用成本、周期、干预率、复现实验数评价自主发现是否真正有效。</x:v>
      </x:c>
      <x:c r="J943" s="95" t="str">
        <x:v>建立统一ID、原始数据不可变、协议/代码版本、W3C PROV/RO-Crate复现包。</x:v>
      </x:c>
      <x:c r="K943" s="95" t="str">
        <x:v>可直接支撑当前EIS-only闭环。</x:v>
      </x:c>
      <x:c r="L943" s="95" t="str">
        <x:v>M2 扩展与复现（5–12月）</x:v>
      </x:c>
      <x:c r="M943" s="95" t="str">
        <x:v>按瓶颈接入</x:v>
      </x:c>
      <x:c r="N943" s="95" t="str">
        <x:v>P1</x:v>
      </x:c>
      <x:c r="O943" s="95" t="str">
        <x:v>https://www.science.org/doi/10.1126/scirobotics.adm6991</x:v>
      </x:c>
      <x:c r="P943" s="96" t="str">
        <x:v>待评审</x:v>
      </x:c>
    </x:row>
    <x:row r="944">
      <x:c r="A944" s="94" t="str">
        <x:v>T0940</x:v>
      </x:c>
      <x:c r="B944" s="95" t="str">
        <x:v>可信、安全、运营与思维模型</x:v>
      </x:c>
      <x:c r="C944" s="95" t="str">
        <x:v>运营、经济性、扩展与绩效指标</x:v>
      </x:c>
      <x:c r="D944" s="95" t="str">
        <x:v>关键支撑</x:v>
      </x:c>
      <x:c r="E944" s="100" t="n">
        <x:v>9</x:v>
      </x:c>
      <x:c r="F944" s="95" t="str">
        <x:v>两线共用</x:v>
      </x:c>
      <x:c r="G944" s="95" t="str">
        <x:v>F 数据、协议与复现</x:v>
      </x:c>
      <x:c r="H944" s="95" t="str">
        <x:v>E-factor</x:v>
      </x:c>
      <x:c r="I944" s="95" t="str">
        <x:v>用成本、周期、干预率、复现实验数评价自主发现是否真正有效。</x:v>
      </x:c>
      <x:c r="J944" s="95" t="str">
        <x:v>建立统一ID、原始数据不可变、协议/代码版本、W3C PROV/RO-Crate复现包。</x:v>
      </x:c>
      <x:c r="K944" s="95" t="str">
        <x:v>可直接支撑当前EIS-only闭环。</x:v>
      </x:c>
      <x:c r="L944" s="95" t="str">
        <x:v>M2 扩展与复现（5–12月）</x:v>
      </x:c>
      <x:c r="M944" s="95" t="str">
        <x:v>按瓶颈接入</x:v>
      </x:c>
      <x:c r="N944" s="95" t="str">
        <x:v>P1</x:v>
      </x:c>
      <x:c r="O944" s="95" t="str">
        <x:v>https://www.nature.com/articles/s41467-025-59231-1</x:v>
      </x:c>
      <x:c r="P944" s="96" t="str">
        <x:v>待评审</x:v>
      </x:c>
    </x:row>
    <x:row r="945">
      <x:c r="A945" s="94" t="str">
        <x:v>T0941</x:v>
      </x:c>
      <x:c r="B945" s="95" t="str">
        <x:v>可信、安全、运营与思维模型</x:v>
      </x:c>
      <x:c r="C945" s="95" t="str">
        <x:v>运营、经济性、扩展与绩效指标</x:v>
      </x:c>
      <x:c r="D945" s="95" t="str">
        <x:v>关键支撑</x:v>
      </x:c>
      <x:c r="E945" s="100" t="n">
        <x:v>9</x:v>
      </x:c>
      <x:c r="F945" s="95" t="str">
        <x:v>两线共用</x:v>
      </x:c>
      <x:c r="G945" s="95" t="str">
        <x:v>F 数据、协议与复现</x:v>
      </x:c>
      <x:c r="H945" s="95" t="str">
        <x:v>碳足迹</x:v>
      </x:c>
      <x:c r="I945" s="95" t="str">
        <x:v>用成本、周期、干预率、复现实验数评价自主发现是否真正有效。</x:v>
      </x:c>
      <x:c r="J945" s="95" t="str">
        <x:v>建立统一ID、原始数据不可变、协议/代码版本、W3C PROV/RO-Crate复现包。</x:v>
      </x:c>
      <x:c r="K945" s="95" t="str">
        <x:v>可直接支撑当前EIS-only闭环。</x:v>
      </x:c>
      <x:c r="L945" s="95" t="str">
        <x:v>M2 扩展与复现（5–12月）</x:v>
      </x:c>
      <x:c r="M945" s="95" t="str">
        <x:v>按瓶颈接入</x:v>
      </x:c>
      <x:c r="N945" s="95" t="str">
        <x:v>P1</x:v>
      </x:c>
      <x:c r="O945" s="95" t="str">
        <x:v>https://www.nature.com/articles/s41467-024-45569-5</x:v>
      </x:c>
      <x:c r="P945" s="96" t="str">
        <x:v>待评审</x:v>
      </x:c>
    </x:row>
    <x:row r="946">
      <x:c r="A946" s="94" t="str">
        <x:v>T0942</x:v>
      </x:c>
      <x:c r="B946" s="95" t="str">
        <x:v>可信、安全、运营与思维模型</x:v>
      </x:c>
      <x:c r="C946" s="95" t="str">
        <x:v>运营、经济性、扩展与绩效指标</x:v>
      </x:c>
      <x:c r="D946" s="95" t="str">
        <x:v>关键支撑</x:v>
      </x:c>
      <x:c r="E946" s="100" t="n">
        <x:v>9</x:v>
      </x:c>
      <x:c r="F946" s="95" t="str">
        <x:v>两线共用</x:v>
      </x:c>
      <x:c r="G946" s="95" t="str">
        <x:v>F 数据、协议与复现</x:v>
      </x:c>
      <x:c r="H946" s="95" t="str">
        <x:v>排队时间</x:v>
      </x:c>
      <x:c r="I946" s="95" t="str">
        <x:v>用成本、周期、干预率、复现实验数评价自主发现是否真正有效。</x:v>
      </x:c>
      <x:c r="J946" s="95" t="str">
        <x:v>建立统一ID、原始数据不可变、协议/代码版本、W3C PROV/RO-Crate复现包。</x:v>
      </x:c>
      <x:c r="K946" s="95" t="str">
        <x:v>可直接支撑当前EIS-only闭环。</x:v>
      </x:c>
      <x:c r="L946" s="95" t="str">
        <x:v>M2 扩展与复现（5–12月）</x:v>
      </x:c>
      <x:c r="M946" s="95" t="str">
        <x:v>按瓶颈接入</x:v>
      </x:c>
      <x:c r="N946" s="95" t="str">
        <x:v>P1</x:v>
      </x:c>
      <x:c r="O946" s="95" t="str">
        <x:v>https://www.nature.com/articles/s42004-026-01932-9</x:v>
      </x:c>
      <x:c r="P946" s="96" t="str">
        <x:v>待评审</x:v>
      </x:c>
    </x:row>
    <x:row r="947">
      <x:c r="A947" s="94" t="str">
        <x:v>T0943</x:v>
      </x:c>
      <x:c r="B947" s="95" t="str">
        <x:v>可信、安全、运营与思维模型</x:v>
      </x:c>
      <x:c r="C947" s="95" t="str">
        <x:v>运营、经济性、扩展与绩效指标</x:v>
      </x:c>
      <x:c r="D947" s="95" t="str">
        <x:v>关键支撑</x:v>
      </x:c>
      <x:c r="E947" s="100" t="n">
        <x:v>9</x:v>
      </x:c>
      <x:c r="F947" s="95" t="str">
        <x:v>两线共用</x:v>
      </x:c>
      <x:c r="G947" s="95" t="str">
        <x:v>F 数据、协议与复现</x:v>
      </x:c>
      <x:c r="H947" s="95" t="str">
        <x:v>瓶颈分析</x:v>
      </x:c>
      <x:c r="I947" s="95" t="str">
        <x:v>用成本、周期、干预率、复现实验数评价自主发现是否真正有效。</x:v>
      </x:c>
      <x:c r="J947" s="95" t="str">
        <x:v>建立统一ID、原始数据不可变、协议/代码版本、W3C PROV/RO-Crate复现包。</x:v>
      </x:c>
      <x:c r="K947" s="95" t="str">
        <x:v>可直接支撑当前EIS-only闭环。</x:v>
      </x:c>
      <x:c r="L947" s="95" t="str">
        <x:v>M2 扩展与复现（5–12月）</x:v>
      </x:c>
      <x:c r="M947" s="95" t="str">
        <x:v>按瓶颈接入</x:v>
      </x:c>
      <x:c r="N947" s="95" t="str">
        <x:v>P1</x:v>
      </x:c>
      <x:c r="O947" s="95" t="str">
        <x:v>https://www.science.org/doi/10.1126/scirobotics.adm6991</x:v>
      </x:c>
      <x:c r="P947" s="96" t="str">
        <x:v>待评审</x:v>
      </x:c>
    </x:row>
    <x:row r="948">
      <x:c r="A948" s="94" t="str">
        <x:v>T0944</x:v>
      </x:c>
      <x:c r="B948" s="95" t="str">
        <x:v>可信、安全、运营与思维模型</x:v>
      </x:c>
      <x:c r="C948" s="95" t="str">
        <x:v>运营、经济性、扩展与绩效指标</x:v>
      </x:c>
      <x:c r="D948" s="95" t="str">
        <x:v>关键支撑</x:v>
      </x:c>
      <x:c r="E948" s="100" t="n">
        <x:v>9</x:v>
      </x:c>
      <x:c r="F948" s="95" t="str">
        <x:v>两线共用</x:v>
      </x:c>
      <x:c r="G948" s="95" t="str">
        <x:v>F 数据、协议与复现</x:v>
      </x:c>
      <x:c r="H948" s="95" t="str">
        <x:v>节拍时间</x:v>
      </x:c>
      <x:c r="I948" s="95" t="str">
        <x:v>用成本、周期、干预率、复现实验数评价自主发现是否真正有效。</x:v>
      </x:c>
      <x:c r="J948" s="95" t="str">
        <x:v>建立统一ID、原始数据不可变、协议/代码版本、W3C PROV/RO-Crate复现包。</x:v>
      </x:c>
      <x:c r="K948" s="95" t="str">
        <x:v>可直接支撑当前EIS-only闭环。</x:v>
      </x:c>
      <x:c r="L948" s="95" t="str">
        <x:v>M2 扩展与复现（5–12月）</x:v>
      </x:c>
      <x:c r="M948" s="95" t="str">
        <x:v>按瓶颈接入</x:v>
      </x:c>
      <x:c r="N948" s="95" t="str">
        <x:v>P1</x:v>
      </x:c>
      <x:c r="O948" s="95" t="str">
        <x:v>https://www.nature.com/articles/s41467-025-59231-1</x:v>
      </x:c>
      <x:c r="P948" s="96" t="str">
        <x:v>待评审</x:v>
      </x:c>
    </x:row>
    <x:row r="949">
      <x:c r="A949" s="94" t="str">
        <x:v>T0945</x:v>
      </x:c>
      <x:c r="B949" s="95" t="str">
        <x:v>可信、安全、运营与思维模型</x:v>
      </x:c>
      <x:c r="C949" s="95" t="str">
        <x:v>运营、经济性、扩展与绩效指标</x:v>
      </x:c>
      <x:c r="D949" s="95" t="str">
        <x:v>关键支撑</x:v>
      </x:c>
      <x:c r="E949" s="100" t="n">
        <x:v>9</x:v>
      </x:c>
      <x:c r="F949" s="95" t="str">
        <x:v>两线共用</x:v>
      </x:c>
      <x:c r="G949" s="95" t="str">
        <x:v>F 数据、协议与复现</x:v>
      </x:c>
      <x:c r="H949" s="95" t="str">
        <x:v>在制品WIP</x:v>
      </x:c>
      <x:c r="I949" s="95" t="str">
        <x:v>用成本、周期、干预率、复现实验数评价自主发现是否真正有效。</x:v>
      </x:c>
      <x:c r="J949" s="95" t="str">
        <x:v>建立统一ID、原始数据不可变、协议/代码版本、W3C PROV/RO-Crate复现包。</x:v>
      </x:c>
      <x:c r="K949" s="95" t="str">
        <x:v>可直接支撑当前EIS-only闭环。</x:v>
      </x:c>
      <x:c r="L949" s="95" t="str">
        <x:v>M2 扩展与复现（5–12月）</x:v>
      </x:c>
      <x:c r="M949" s="95" t="str">
        <x:v>按瓶颈接入</x:v>
      </x:c>
      <x:c r="N949" s="95" t="str">
        <x:v>P1</x:v>
      </x:c>
      <x:c r="O949" s="95" t="str">
        <x:v>https://www.nature.com/articles/s41467-024-45569-5</x:v>
      </x:c>
      <x:c r="P949" s="96" t="str">
        <x:v>待评审</x:v>
      </x:c>
    </x:row>
    <x:row r="950">
      <x:c r="A950" s="94" t="str">
        <x:v>T0946</x:v>
      </x:c>
      <x:c r="B950" s="95" t="str">
        <x:v>可信、安全、运营与思维模型</x:v>
      </x:c>
      <x:c r="C950" s="95" t="str">
        <x:v>运营、经济性、扩展与绩效指标</x:v>
      </x:c>
      <x:c r="D950" s="95" t="str">
        <x:v>关键支撑</x:v>
      </x:c>
      <x:c r="E950" s="100" t="n">
        <x:v>9</x:v>
      </x:c>
      <x:c r="F950" s="95" t="str">
        <x:v>两线共用</x:v>
      </x:c>
      <x:c r="G950" s="95" t="str">
        <x:v>F 数据、协议与复现</x:v>
      </x:c>
      <x:c r="H950" s="95" t="str">
        <x:v>Little定律</x:v>
      </x:c>
      <x:c r="I950" s="95" t="str">
        <x:v>用成本、周期、干预率、复现实验数评价自主发现是否真正有效。</x:v>
      </x:c>
      <x:c r="J950" s="95" t="str">
        <x:v>建立统一ID、原始数据不可变、协议/代码版本、W3C PROV/RO-Crate复现包。</x:v>
      </x:c>
      <x:c r="K950" s="95" t="str">
        <x:v>可直接支撑当前EIS-only闭环。</x:v>
      </x:c>
      <x:c r="L950" s="95" t="str">
        <x:v>M2 扩展与复现（5–12月）</x:v>
      </x:c>
      <x:c r="M950" s="95" t="str">
        <x:v>按瓶颈接入</x:v>
      </x:c>
      <x:c r="N950" s="95" t="str">
        <x:v>P1</x:v>
      </x:c>
      <x:c r="O950" s="95" t="str">
        <x:v>https://www.nature.com/articles/s42004-026-01932-9</x:v>
      </x:c>
      <x:c r="P950" s="96" t="str">
        <x:v>待评审</x:v>
      </x:c>
    </x:row>
    <x:row r="951">
      <x:c r="A951" s="94" t="str">
        <x:v>T0947</x:v>
      </x:c>
      <x:c r="B951" s="95" t="str">
        <x:v>可信、安全、运营与思维模型</x:v>
      </x:c>
      <x:c r="C951" s="95" t="str">
        <x:v>运营、经济性、扩展与绩效指标</x:v>
      </x:c>
      <x:c r="D951" s="95" t="str">
        <x:v>关键支撑</x:v>
      </x:c>
      <x:c r="E951" s="100" t="n">
        <x:v>9</x:v>
      </x:c>
      <x:c r="F951" s="95" t="str">
        <x:v>两线共用</x:v>
      </x:c>
      <x:c r="G951" s="95" t="str">
        <x:v>F 数据、协议与复现</x:v>
      </x:c>
      <x:c r="H951" s="95" t="str">
        <x:v>产能规划</x:v>
      </x:c>
      <x:c r="I951" s="95" t="str">
        <x:v>用成本、周期、干预率、复现实验数评价自主发现是否真正有效。</x:v>
      </x:c>
      <x:c r="J951" s="95" t="str">
        <x:v>建立统一ID、原始数据不可变、协议/代码版本、W3C PROV/RO-Crate复现包。</x:v>
      </x:c>
      <x:c r="K951" s="95" t="str">
        <x:v>可直接支撑当前EIS-only闭环。</x:v>
      </x:c>
      <x:c r="L951" s="95" t="str">
        <x:v>M2 扩展与复现（5–12月）</x:v>
      </x:c>
      <x:c r="M951" s="95" t="str">
        <x:v>按瓶颈接入</x:v>
      </x:c>
      <x:c r="N951" s="95" t="str">
        <x:v>P1</x:v>
      </x:c>
      <x:c r="O951" s="95" t="str">
        <x:v>https://www.science.org/doi/10.1126/scirobotics.adm6991</x:v>
      </x:c>
      <x:c r="P951" s="96" t="str">
        <x:v>待评审</x:v>
      </x:c>
    </x:row>
    <x:row r="952">
      <x:c r="A952" s="94" t="str">
        <x:v>T0948</x:v>
      </x:c>
      <x:c r="B952" s="95" t="str">
        <x:v>可信、安全、运营与思维模型</x:v>
      </x:c>
      <x:c r="C952" s="95" t="str">
        <x:v>运营、经济性、扩展与绩效指标</x:v>
      </x:c>
      <x:c r="D952" s="95" t="str">
        <x:v>关键支撑</x:v>
      </x:c>
      <x:c r="E952" s="100" t="n">
        <x:v>9</x:v>
      </x:c>
      <x:c r="F952" s="95" t="str">
        <x:v>两线共用</x:v>
      </x:c>
      <x:c r="G952" s="95" t="str">
        <x:v>F 数据、协议与复现</x:v>
      </x:c>
      <x:c r="H952" s="95" t="str">
        <x:v>产线平衡</x:v>
      </x:c>
      <x:c r="I952" s="95" t="str">
        <x:v>用成本、周期、干预率、复现实验数评价自主发现是否真正有效。</x:v>
      </x:c>
      <x:c r="J952" s="95" t="str">
        <x:v>建立统一ID、原始数据不可变、协议/代码版本、W3C PROV/RO-Crate复现包。</x:v>
      </x:c>
      <x:c r="K952" s="95" t="str">
        <x:v>可直接支撑当前EIS-only闭环。</x:v>
      </x:c>
      <x:c r="L952" s="95" t="str">
        <x:v>M2 扩展与复现（5–12月）</x:v>
      </x:c>
      <x:c r="M952" s="95" t="str">
        <x:v>按瓶颈接入</x:v>
      </x:c>
      <x:c r="N952" s="95" t="str">
        <x:v>P1</x:v>
      </x:c>
      <x:c r="O952" s="95" t="str">
        <x:v>https://www.nature.com/articles/s41467-025-59231-1</x:v>
      </x:c>
      <x:c r="P952" s="96" t="str">
        <x:v>待评审</x:v>
      </x:c>
    </x:row>
    <x:row r="953">
      <x:c r="A953" s="94" t="str">
        <x:v>T0949</x:v>
      </x:c>
      <x:c r="B953" s="95" t="str">
        <x:v>可信、安全、运营与思维模型</x:v>
      </x:c>
      <x:c r="C953" s="95" t="str">
        <x:v>运营、经济性、扩展与绩效指标</x:v>
      </x:c>
      <x:c r="D953" s="95" t="str">
        <x:v>关键支撑</x:v>
      </x:c>
      <x:c r="E953" s="100" t="n">
        <x:v>9</x:v>
      </x:c>
      <x:c r="F953" s="95" t="str">
        <x:v>两线共用</x:v>
      </x:c>
      <x:c r="G953" s="95" t="str">
        <x:v>F 数据、协议与复现</x:v>
      </x:c>
      <x:c r="H953" s="95" t="str">
        <x:v>调度性能</x:v>
      </x:c>
      <x:c r="I953" s="95" t="str">
        <x:v>用成本、周期、干预率、复现实验数评价自主发现是否真正有效。</x:v>
      </x:c>
      <x:c r="J953" s="95" t="str">
        <x:v>建立统一ID、原始数据不可变、协议/代码版本、W3C PROV/RO-Crate复现包。</x:v>
      </x:c>
      <x:c r="K953" s="95" t="str">
        <x:v>可直接支撑当前EIS-only闭环。</x:v>
      </x:c>
      <x:c r="L953" s="95" t="str">
        <x:v>M2 扩展与复现（5–12月）</x:v>
      </x:c>
      <x:c r="M953" s="95" t="str">
        <x:v>按瓶颈接入</x:v>
      </x:c>
      <x:c r="N953" s="95" t="str">
        <x:v>P2</x:v>
      </x:c>
      <x:c r="O953" s="95" t="str">
        <x:v>https://www.nature.com/articles/s41467-024-45569-5</x:v>
      </x:c>
      <x:c r="P953" s="96" t="str">
        <x:v>待评审</x:v>
      </x:c>
    </x:row>
    <x:row r="954">
      <x:c r="A954" s="94" t="str">
        <x:v>T0950</x:v>
      </x:c>
      <x:c r="B954" s="95" t="str">
        <x:v>可信、安全、运营与思维模型</x:v>
      </x:c>
      <x:c r="C954" s="95" t="str">
        <x:v>运营、经济性、扩展与绩效指标</x:v>
      </x:c>
      <x:c r="D954" s="95" t="str">
        <x:v>关键支撑</x:v>
      </x:c>
      <x:c r="E954" s="100" t="n">
        <x:v>9</x:v>
      </x:c>
      <x:c r="F954" s="95" t="str">
        <x:v>两线共用</x:v>
      </x:c>
      <x:c r="G954" s="95" t="str">
        <x:v>F 数据、协议与复现</x:v>
      </x:c>
      <x:c r="H954" s="95" t="str">
        <x:v>换型时间</x:v>
      </x:c>
      <x:c r="I954" s="95" t="str">
        <x:v>用成本、周期、干预率、复现实验数评价自主发现是否真正有效。</x:v>
      </x:c>
      <x:c r="J954" s="95" t="str">
        <x:v>建立统一ID、原始数据不可变、协议/代码版本、W3C PROV/RO-Crate复现包。</x:v>
      </x:c>
      <x:c r="K954" s="95" t="str">
        <x:v>可直接支撑当前EIS-only闭环。</x:v>
      </x:c>
      <x:c r="L954" s="95" t="str">
        <x:v>M2 扩展与复现（5–12月）</x:v>
      </x:c>
      <x:c r="M954" s="95" t="str">
        <x:v>按瓶颈接入</x:v>
      </x:c>
      <x:c r="N954" s="95" t="str">
        <x:v>P2</x:v>
      </x:c>
      <x:c r="O954" s="95" t="str">
        <x:v>https://www.nature.com/articles/s42004-026-01932-9</x:v>
      </x:c>
      <x:c r="P954" s="96" t="str">
        <x:v>待评审</x:v>
      </x:c>
    </x:row>
    <x:row r="955">
      <x:c r="A955" s="94" t="str">
        <x:v>T0951</x:v>
      </x:c>
      <x:c r="B955" s="95" t="str">
        <x:v>可信、安全、运营与思维模型</x:v>
      </x:c>
      <x:c r="C955" s="95" t="str">
        <x:v>运营、经济性、扩展与绩效指标</x:v>
      </x:c>
      <x:c r="D955" s="95" t="str">
        <x:v>关键支撑</x:v>
      </x:c>
      <x:c r="E955" s="100" t="n">
        <x:v>9</x:v>
      </x:c>
      <x:c r="F955" s="95" t="str">
        <x:v>两线共用</x:v>
      </x:c>
      <x:c r="G955" s="95" t="str">
        <x:v>F 数据、协议与复现</x:v>
      </x:c>
      <x:c r="H955" s="95" t="str">
        <x:v>SMED</x:v>
      </x:c>
      <x:c r="I955" s="95" t="str">
        <x:v>用成本、周期、干预率、复现实验数评价自主发现是否真正有效。</x:v>
      </x:c>
      <x:c r="J955" s="95" t="str">
        <x:v>建立统一ID、原始数据不可变、协议/代码版本、W3C PROV/RO-Crate复现包。</x:v>
      </x:c>
      <x:c r="K955" s="95" t="str">
        <x:v>可直接支撑当前EIS-only闭环。</x:v>
      </x:c>
      <x:c r="L955" s="95" t="str">
        <x:v>M2 扩展与复现（5–12月）</x:v>
      </x:c>
      <x:c r="M955" s="95" t="str">
        <x:v>按瓶颈接入</x:v>
      </x:c>
      <x:c r="N955" s="95" t="str">
        <x:v>P2</x:v>
      </x:c>
      <x:c r="O955" s="95" t="str">
        <x:v>https://www.science.org/doi/10.1126/scirobotics.adm6991</x:v>
      </x:c>
      <x:c r="P955" s="96" t="str">
        <x:v>待评审</x:v>
      </x:c>
    </x:row>
    <x:row r="956">
      <x:c r="A956" s="94" t="str">
        <x:v>T0952</x:v>
      </x:c>
      <x:c r="B956" s="95" t="str">
        <x:v>可信、安全、运营与思维模型</x:v>
      </x:c>
      <x:c r="C956" s="95" t="str">
        <x:v>运营、经济性、扩展与绩效指标</x:v>
      </x:c>
      <x:c r="D956" s="95" t="str">
        <x:v>关键支撑</x:v>
      </x:c>
      <x:c r="E956" s="100" t="n">
        <x:v>9</x:v>
      </x:c>
      <x:c r="F956" s="95" t="str">
        <x:v>两线共用</x:v>
      </x:c>
      <x:c r="G956" s="95" t="str">
        <x:v>F 数据、协议与复现</x:v>
      </x:c>
      <x:c r="H956" s="95" t="str">
        <x:v>库存周转</x:v>
      </x:c>
      <x:c r="I956" s="95" t="str">
        <x:v>用成本、周期、干预率、复现实验数评价自主发现是否真正有效。</x:v>
      </x:c>
      <x:c r="J956" s="95" t="str">
        <x:v>建立统一ID、原始数据不可变、协议/代码版本、W3C PROV/RO-Crate复现包。</x:v>
      </x:c>
      <x:c r="K956" s="95" t="str">
        <x:v>可直接支撑当前EIS-only闭环。</x:v>
      </x:c>
      <x:c r="L956" s="95" t="str">
        <x:v>M2 扩展与复现（5–12月）</x:v>
      </x:c>
      <x:c r="M956" s="95" t="str">
        <x:v>按瓶颈接入</x:v>
      </x:c>
      <x:c r="N956" s="95" t="str">
        <x:v>P2</x:v>
      </x:c>
      <x:c r="O956" s="95" t="str">
        <x:v>https://www.nature.com/articles/s41467-025-59231-1</x:v>
      </x:c>
      <x:c r="P956" s="96" t="str">
        <x:v>待评审</x:v>
      </x:c>
    </x:row>
    <x:row r="957">
      <x:c r="A957" s="94" t="str">
        <x:v>T0953</x:v>
      </x:c>
      <x:c r="B957" s="95" t="str">
        <x:v>可信、安全、运营与思维模型</x:v>
      </x:c>
      <x:c r="C957" s="95" t="str">
        <x:v>运营、经济性、扩展与绩效指标</x:v>
      </x:c>
      <x:c r="D957" s="95" t="str">
        <x:v>关键支撑</x:v>
      </x:c>
      <x:c r="E957" s="100" t="n">
        <x:v>9</x:v>
      </x:c>
      <x:c r="F957" s="95" t="str">
        <x:v>两线共用</x:v>
      </x:c>
      <x:c r="G957" s="95" t="str">
        <x:v>F 数据、协议与复现</x:v>
      </x:c>
      <x:c r="H957" s="95" t="str">
        <x:v>耗材需求预测</x:v>
      </x:c>
      <x:c r="I957" s="95" t="str">
        <x:v>用成本、周期、干预率、复现实验数评价自主发现是否真正有效。</x:v>
      </x:c>
      <x:c r="J957" s="95" t="str">
        <x:v>建立统一ID、原始数据不可变、协议/代码版本、W3C PROV/RO-Crate复现包。</x:v>
      </x:c>
      <x:c r="K957" s="95" t="str">
        <x:v>可直接支撑当前EIS-only闭环。</x:v>
      </x:c>
      <x:c r="L957" s="95" t="str">
        <x:v>M2 扩展与复现（5–12月）</x:v>
      </x:c>
      <x:c r="M957" s="95" t="str">
        <x:v>按瓶颈接入</x:v>
      </x:c>
      <x:c r="N957" s="95" t="str">
        <x:v>P2</x:v>
      </x:c>
      <x:c r="O957" s="95" t="str">
        <x:v>https://www.nature.com/articles/s41467-024-45569-5</x:v>
      </x:c>
      <x:c r="P957" s="96" t="str">
        <x:v>待评审</x:v>
      </x:c>
    </x:row>
    <x:row r="958">
      <x:c r="A958" s="94" t="str">
        <x:v>T0954</x:v>
      </x:c>
      <x:c r="B958" s="95" t="str">
        <x:v>可信、安全、运营与思维模型</x:v>
      </x:c>
      <x:c r="C958" s="95" t="str">
        <x:v>运营、经济性、扩展与绩效指标</x:v>
      </x:c>
      <x:c r="D958" s="95" t="str">
        <x:v>关键支撑</x:v>
      </x:c>
      <x:c r="E958" s="100" t="n">
        <x:v>9</x:v>
      </x:c>
      <x:c r="F958" s="95" t="str">
        <x:v>两线共用</x:v>
      </x:c>
      <x:c r="G958" s="95" t="str">
        <x:v>F 数据、协议与复现</x:v>
      </x:c>
      <x:c r="H958" s="95" t="str">
        <x:v>自动补货</x:v>
      </x:c>
      <x:c r="I958" s="95" t="str">
        <x:v>用成本、周期、干预率、复现实验数评价自主发现是否真正有效。</x:v>
      </x:c>
      <x:c r="J958" s="95" t="str">
        <x:v>建立统一ID、原始数据不可变、协议/代码版本、W3C PROV/RO-Crate复现包。</x:v>
      </x:c>
      <x:c r="K958" s="95" t="str">
        <x:v>可直接支撑当前EIS-only闭环。</x:v>
      </x:c>
      <x:c r="L958" s="95" t="str">
        <x:v>M2 扩展与复现（5–12月）</x:v>
      </x:c>
      <x:c r="M958" s="95" t="str">
        <x:v>按瓶颈接入</x:v>
      </x:c>
      <x:c r="N958" s="95" t="str">
        <x:v>P2</x:v>
      </x:c>
      <x:c r="O958" s="95" t="str">
        <x:v>https://www.nature.com/articles/s42004-026-01932-9</x:v>
      </x:c>
      <x:c r="P958" s="96" t="str">
        <x:v>待评审</x:v>
      </x:c>
    </x:row>
    <x:row r="959">
      <x:c r="A959" s="94" t="str">
        <x:v>T0955</x:v>
      </x:c>
      <x:c r="B959" s="95" t="str">
        <x:v>可信、安全、运营与思维模型</x:v>
      </x:c>
      <x:c r="C959" s="95" t="str">
        <x:v>运营、经济性、扩展与绩效指标</x:v>
      </x:c>
      <x:c r="D959" s="95" t="str">
        <x:v>关键支撑</x:v>
      </x:c>
      <x:c r="E959" s="100" t="n">
        <x:v>9</x:v>
      </x:c>
      <x:c r="F959" s="95" t="str">
        <x:v>两线共用</x:v>
      </x:c>
      <x:c r="G959" s="95" t="str">
        <x:v>F 数据、协议与复现</x:v>
      </x:c>
      <x:c r="H959" s="95" t="str">
        <x:v>实验室布局</x:v>
      </x:c>
      <x:c r="I959" s="95" t="str">
        <x:v>用成本、周期、干预率、复现实验数评价自主发现是否真正有效。</x:v>
      </x:c>
      <x:c r="J959" s="95" t="str">
        <x:v>建立统一ID、原始数据不可变、协议/代码版本、W3C PROV/RO-Crate复现包。</x:v>
      </x:c>
      <x:c r="K959" s="95" t="str">
        <x:v>可直接支撑当前EIS-only闭环。</x:v>
      </x:c>
      <x:c r="L959" s="95" t="str">
        <x:v>M2 扩展与复现（5–12月）</x:v>
      </x:c>
      <x:c r="M959" s="95" t="str">
        <x:v>按瓶颈接入</x:v>
      </x:c>
      <x:c r="N959" s="95" t="str">
        <x:v>P2</x:v>
      </x:c>
      <x:c r="O959" s="95" t="str">
        <x:v>https://www.science.org/doi/10.1126/scirobotics.adm6991</x:v>
      </x:c>
      <x:c r="P959" s="96" t="str">
        <x:v>待评审</x:v>
      </x:c>
    </x:row>
    <x:row r="960">
      <x:c r="A960" s="94" t="str">
        <x:v>T0956</x:v>
      </x:c>
      <x:c r="B960" s="95" t="str">
        <x:v>可信、安全、运营与思维模型</x:v>
      </x:c>
      <x:c r="C960" s="95" t="str">
        <x:v>运营、经济性、扩展与绩效指标</x:v>
      </x:c>
      <x:c r="D960" s="95" t="str">
        <x:v>关键支撑</x:v>
      </x:c>
      <x:c r="E960" s="100" t="n">
        <x:v>9</x:v>
      </x:c>
      <x:c r="F960" s="95" t="str">
        <x:v>两线共用</x:v>
      </x:c>
      <x:c r="G960" s="95" t="str">
        <x:v>F 数据、协议与复现</x:v>
      </x:c>
      <x:c r="H960" s="95" t="str">
        <x:v>模块化扩容</x:v>
      </x:c>
      <x:c r="I960" s="95" t="str">
        <x:v>用成本、周期、干预率、复现实验数评价自主发现是否真正有效。</x:v>
      </x:c>
      <x:c r="J960" s="95" t="str">
        <x:v>建立统一ID、原始数据不可变、协议/代码版本、W3C PROV/RO-Crate复现包。</x:v>
      </x:c>
      <x:c r="K960" s="95" t="str">
        <x:v>可直接支撑当前EIS-only闭环。</x:v>
      </x:c>
      <x:c r="L960" s="95" t="str">
        <x:v>M2 扩展与复现（5–12月）</x:v>
      </x:c>
      <x:c r="M960" s="95" t="str">
        <x:v>按瓶颈接入</x:v>
      </x:c>
      <x:c r="N960" s="95" t="str">
        <x:v>P2</x:v>
      </x:c>
      <x:c r="O960" s="95" t="str">
        <x:v>https://www.nature.com/articles/s41467-025-59231-1</x:v>
      </x:c>
      <x:c r="P960" s="96" t="str">
        <x:v>待评审</x:v>
      </x:c>
    </x:row>
    <x:row r="961">
      <x:c r="A961" s="94" t="str">
        <x:v>T0957</x:v>
      </x:c>
      <x:c r="B961" s="95" t="str">
        <x:v>可信、安全、运营与思维模型</x:v>
      </x:c>
      <x:c r="C961" s="95" t="str">
        <x:v>运营、经济性、扩展与绩效指标</x:v>
      </x:c>
      <x:c r="D961" s="95" t="str">
        <x:v>关键支撑</x:v>
      </x:c>
      <x:c r="E961" s="100" t="n">
        <x:v>9</x:v>
      </x:c>
      <x:c r="F961" s="95" t="str">
        <x:v>两线共用</x:v>
      </x:c>
      <x:c r="G961" s="95" t="str">
        <x:v>F 数据、协议与复现</x:v>
      </x:c>
      <x:c r="H961" s="95" t="str">
        <x:v>总拥有成本TCO</x:v>
      </x:c>
      <x:c r="I961" s="95" t="str">
        <x:v>用成本、周期、干预率、复现实验数评价自主发现是否真正有效。</x:v>
      </x:c>
      <x:c r="J961" s="95" t="str">
        <x:v>建立统一ID、原始数据不可变、协议/代码版本、W3C PROV/RO-Crate复现包。</x:v>
      </x:c>
      <x:c r="K961" s="95" t="str">
        <x:v>可直接支撑当前EIS-only闭环。</x:v>
      </x:c>
      <x:c r="L961" s="95" t="str">
        <x:v>M2 扩展与复现（5–12月）</x:v>
      </x:c>
      <x:c r="M961" s="95" t="str">
        <x:v>按瓶颈接入</x:v>
      </x:c>
      <x:c r="N961" s="95" t="str">
        <x:v>P2</x:v>
      </x:c>
      <x:c r="O961" s="95" t="str">
        <x:v>https://www.nature.com/articles/s41467-024-45569-5</x:v>
      </x:c>
      <x:c r="P961" s="96" t="str">
        <x:v>待评审</x:v>
      </x:c>
    </x:row>
    <x:row r="962">
      <x:c r="A962" s="94" t="str">
        <x:v>T0958</x:v>
      </x:c>
      <x:c r="B962" s="95" t="str">
        <x:v>可信、安全、运营与思维模型</x:v>
      </x:c>
      <x:c r="C962" s="95" t="str">
        <x:v>运营、经济性、扩展与绩效指标</x:v>
      </x:c>
      <x:c r="D962" s="95" t="str">
        <x:v>关键支撑</x:v>
      </x:c>
      <x:c r="E962" s="100" t="n">
        <x:v>9</x:v>
      </x:c>
      <x:c r="F962" s="95" t="str">
        <x:v>两线共用</x:v>
      </x:c>
      <x:c r="G962" s="95" t="str">
        <x:v>F 数据、协议与复现</x:v>
      </x:c>
      <x:c r="H962" s="95" t="str">
        <x:v>投资回报ROI</x:v>
      </x:c>
      <x:c r="I962" s="95" t="str">
        <x:v>用成本、周期、干预率、复现实验数评价自主发现是否真正有效。</x:v>
      </x:c>
      <x:c r="J962" s="95" t="str">
        <x:v>建立统一ID、原始数据不可变、协议/代码版本、W3C PROV/RO-Crate复现包。</x:v>
      </x:c>
      <x:c r="K962" s="95" t="str">
        <x:v>可直接支撑当前EIS-only闭环。</x:v>
      </x:c>
      <x:c r="L962" s="95" t="str">
        <x:v>M2 扩展与复现（5–12月）</x:v>
      </x:c>
      <x:c r="M962" s="95" t="str">
        <x:v>按瓶颈接入</x:v>
      </x:c>
      <x:c r="N962" s="95" t="str">
        <x:v>P2</x:v>
      </x:c>
      <x:c r="O962" s="95" t="str">
        <x:v>https://www.nature.com/articles/s42004-026-01932-9</x:v>
      </x:c>
      <x:c r="P962" s="96" t="str">
        <x:v>待评审</x:v>
      </x:c>
    </x:row>
    <x:row r="963">
      <x:c r="A963" s="94" t="str">
        <x:v>T0959</x:v>
      </x:c>
      <x:c r="B963" s="95" t="str">
        <x:v>可信、安全、运营与思维模型</x:v>
      </x:c>
      <x:c r="C963" s="95" t="str">
        <x:v>运营、经济性、扩展与绩效指标</x:v>
      </x:c>
      <x:c r="D963" s="95" t="str">
        <x:v>关键支撑</x:v>
      </x:c>
      <x:c r="E963" s="100" t="n">
        <x:v>9</x:v>
      </x:c>
      <x:c r="F963" s="95" t="str">
        <x:v>两线共用</x:v>
      </x:c>
      <x:c r="G963" s="95" t="str">
        <x:v>F 数据、协议与复现</x:v>
      </x:c>
      <x:c r="H963" s="95" t="str">
        <x:v>技术成熟度TRL</x:v>
      </x:c>
      <x:c r="I963" s="95" t="str">
        <x:v>用成本、周期、干预率、复现实验数评价自主发现是否真正有效。</x:v>
      </x:c>
      <x:c r="J963" s="95" t="str">
        <x:v>建立统一ID、原始数据不可变、协议/代码版本、W3C PROV/RO-Crate复现包。</x:v>
      </x:c>
      <x:c r="K963" s="95" t="str">
        <x:v>可直接支撑当前EIS-only闭环。</x:v>
      </x:c>
      <x:c r="L963" s="95" t="str">
        <x:v>M2 扩展与复现（5–12月）</x:v>
      </x:c>
      <x:c r="M963" s="95" t="str">
        <x:v>按瓶颈接入</x:v>
      </x:c>
      <x:c r="N963" s="95" t="str">
        <x:v>P2</x:v>
      </x:c>
      <x:c r="O963" s="95" t="str">
        <x:v>https://www.science.org/doi/10.1126/scirobotics.adm6991</x:v>
      </x:c>
      <x:c r="P963" s="96" t="str">
        <x:v>待评审</x:v>
      </x:c>
    </x:row>
    <x:row r="964">
      <x:c r="A964" s="94" t="str">
        <x:v>T0960</x:v>
      </x:c>
      <x:c r="B964" s="95" t="str">
        <x:v>可信、安全、运营与思维模型</x:v>
      </x:c>
      <x:c r="C964" s="95" t="str">
        <x:v>运营、经济性、扩展与绩效指标</x:v>
      </x:c>
      <x:c r="D964" s="95" t="str">
        <x:v>关键支撑</x:v>
      </x:c>
      <x:c r="E964" s="100" t="n">
        <x:v>9</x:v>
      </x:c>
      <x:c r="F964" s="95" t="str">
        <x:v>两线共用</x:v>
      </x:c>
      <x:c r="G964" s="95" t="str">
        <x:v>F 数据、协议与复现</x:v>
      </x:c>
      <x:c r="H964" s="95" t="str">
        <x:v>自主成熟度ARL</x:v>
      </x:c>
      <x:c r="I964" s="95" t="str">
        <x:v>用成本、周期、干预率、复现实验数评价自主发现是否真正有效。</x:v>
      </x:c>
      <x:c r="J964" s="95" t="str">
        <x:v>建立统一ID、原始数据不可变、协议/代码版本、W3C PROV/RO-Crate复现包。</x:v>
      </x:c>
      <x:c r="K964" s="95" t="str">
        <x:v>可直接支撑当前EIS-only闭环。</x:v>
      </x:c>
      <x:c r="L964" s="95" t="str">
        <x:v>M2 扩展与复现（5–12月）</x:v>
      </x:c>
      <x:c r="M964" s="95" t="str">
        <x:v>按瓶颈接入</x:v>
      </x:c>
      <x:c r="N964" s="95" t="str">
        <x:v>P2</x:v>
      </x:c>
      <x:c r="O964" s="95" t="str">
        <x:v>https://www.nature.com/articles/s41467-025-59231-1</x:v>
      </x:c>
      <x:c r="P964" s="96" t="str">
        <x:v>待评审</x:v>
      </x:c>
    </x:row>
    <x:row r="965">
      <x:c r="A965" s="94" t="str">
        <x:v>T0961</x:v>
      </x:c>
      <x:c r="B965" s="95" t="str">
        <x:v>可信、安全、运营与思维模型</x:v>
      </x:c>
      <x:c r="C965" s="95" t="str">
        <x:v>关键思维模型</x:v>
      </x:c>
      <x:c r="D965" s="95" t="str">
        <x:v>关键支撑</x:v>
      </x:c>
      <x:c r="E965" s="100" t="n">
        <x:v>8</x:v>
      </x:c>
      <x:c r="F965" s="95" t="str">
        <x:v>两线共用</x:v>
      </x:c>
      <x:c r="G965" s="95" t="str">
        <x:v>A 证据、假设与科学闭环</x:v>
      </x:c>
      <x:c r="H965" s="95" t="str">
        <x:v>闭环思维</x:v>
      </x:c>
      <x:c r="I965" s="95" t="str">
        <x:v>坚持可证伪、证据阶梯、信息价值、先复现后扩展等决策纪律。</x:v>
      </x:c>
      <x:c r="J965" s="95" t="str">
        <x:v>落实为假设卡、替代解释、可证伪预测、停止规则和证据更新记录。</x:v>
      </x:c>
      <x:c r="K965" s="95" t="str">
        <x:v>可直接支撑当前EIS-only闭环。</x:v>
      </x:c>
      <x:c r="L965" s="95" t="str">
        <x:v>M2 扩展与复现（5–12月）</x:v>
      </x:c>
      <x:c r="M965" s="95" t="str">
        <x:v>按瓶颈接入</x:v>
      </x:c>
      <x:c r="N965" s="95" t="str">
        <x:v>P0</x:v>
      </x:c>
      <x:c r="O965" s="95" t="str">
        <x:v>https://pubs.acs.org/doi/10.1021/acs.chemrev.4c00055</x:v>
      </x:c>
      <x:c r="P965" s="96" t="str">
        <x:v>待评审</x:v>
      </x:c>
    </x:row>
    <x:row r="966">
      <x:c r="A966" s="94" t="str">
        <x:v>T0962</x:v>
      </x:c>
      <x:c r="B966" s="95" t="str">
        <x:v>可信、安全、运营与思维模型</x:v>
      </x:c>
      <x:c r="C966" s="95" t="str">
        <x:v>关键思维模型</x:v>
      </x:c>
      <x:c r="D966" s="95" t="str">
        <x:v>关键支撑</x:v>
      </x:c>
      <x:c r="E966" s="100" t="n">
        <x:v>8</x:v>
      </x:c>
      <x:c r="F966" s="95" t="str">
        <x:v>两线共用</x:v>
      </x:c>
      <x:c r="G966" s="95" t="str">
        <x:v>A 证据、假设与科学闭环</x:v>
      </x:c>
      <x:c r="H966" s="95" t="str">
        <x:v>科学方法</x:v>
      </x:c>
      <x:c r="I966" s="95" t="str">
        <x:v>坚持可证伪、证据阶梯、信息价值、先复现后扩展等决策纪律。</x:v>
      </x:c>
      <x:c r="J966" s="95" t="str">
        <x:v>落实为假设卡、替代解释、可证伪预测、停止规则和证据更新记录。</x:v>
      </x:c>
      <x:c r="K966" s="95" t="str">
        <x:v>可直接支撑当前EIS-only闭环。</x:v>
      </x:c>
      <x:c r="L966" s="95" t="str">
        <x:v>M2 扩展与复现（5–12月）</x:v>
      </x:c>
      <x:c r="M966" s="95" t="str">
        <x:v>按瓶颈接入</x:v>
      </x:c>
      <x:c r="N966" s="95" t="str">
        <x:v>P0</x:v>
      </x:c>
      <x:c r="O966" s="95" t="str">
        <x:v>https://www.itl.nist.gov/div898/handbook/</x:v>
      </x:c>
      <x:c r="P966" s="96" t="str">
        <x:v>待评审</x:v>
      </x:c>
    </x:row>
    <x:row r="967">
      <x:c r="A967" s="94" t="str">
        <x:v>T0963</x:v>
      </x:c>
      <x:c r="B967" s="95" t="str">
        <x:v>可信、安全、运营与思维模型</x:v>
      </x:c>
      <x:c r="C967" s="95" t="str">
        <x:v>关键思维模型</x:v>
      </x:c>
      <x:c r="D967" s="95" t="str">
        <x:v>关键支撑</x:v>
      </x:c>
      <x:c r="E967" s="100" t="n">
        <x:v>8</x:v>
      </x:c>
      <x:c r="F967" s="95" t="str">
        <x:v>两线共用</x:v>
      </x:c>
      <x:c r="G967" s="95" t="str">
        <x:v>A 证据、假设与科学闭环</x:v>
      </x:c>
      <x:c r="H967" s="95" t="str">
        <x:v>贝叶斯更新</x:v>
      </x:c>
      <x:c r="I967" s="95" t="str">
        <x:v>坚持可证伪、证据阶梯、信息价值、先复现后扩展等决策纪律。</x:v>
      </x:c>
      <x:c r="J967" s="95" t="str">
        <x:v>落实为假设卡、替代解释、可证伪预测、停止规则和证据更新记录。</x:v>
      </x:c>
      <x:c r="K967" s="95" t="str">
        <x:v>可直接支撑当前EIS-only闭环。</x:v>
      </x:c>
      <x:c r="L967" s="95" t="str">
        <x:v>M2 扩展与复现（5–12月）</x:v>
      </x:c>
      <x:c r="M967" s="95" t="str">
        <x:v>按瓶颈接入</x:v>
      </x:c>
      <x:c r="N967" s="95" t="str">
        <x:v>P0</x:v>
      </x:c>
      <x:c r="O967" s="95" t="str">
        <x:v>https://www.nature.com/articles/sdata201618</x:v>
      </x:c>
      <x:c r="P967" s="96" t="str">
        <x:v>待评审</x:v>
      </x:c>
    </x:row>
    <x:row r="968">
      <x:c r="A968" s="94" t="str">
        <x:v>T0964</x:v>
      </x:c>
      <x:c r="B968" s="95" t="str">
        <x:v>可信、安全、运营与思维模型</x:v>
      </x:c>
      <x:c r="C968" s="95" t="str">
        <x:v>关键思维模型</x:v>
      </x:c>
      <x:c r="D968" s="95" t="str">
        <x:v>核心必需</x:v>
      </x:c>
      <x:c r="E968" s="100" t="n">
        <x:v>11</x:v>
      </x:c>
      <x:c r="F968" s="95" t="str">
        <x:v>两线共用</x:v>
      </x:c>
      <x:c r="G968" s="95" t="str">
        <x:v>A 证据、假设与科学闭环</x:v>
      </x:c>
      <x:c r="H968" s="95" t="str">
        <x:v>探索—利用</x:v>
      </x:c>
      <x:c r="I968" s="95" t="str">
        <x:v>坚持可证伪、证据阶梯、信息价值、先复现后扩展等决策纪律。</x:v>
      </x:c>
      <x:c r="J968" s="95" t="str">
        <x:v>落实为假设卡、替代解释、可证伪预测、停止规则和证据更新记录。</x:v>
      </x:c>
      <x:c r="K968" s="95" t="str">
        <x:v>可直接支撑当前EIS-only闭环。</x:v>
      </x:c>
      <x:c r="L968" s="95" t="str">
        <x:v>M1 前瞻验证（2–5月）</x:v>
      </x:c>
      <x:c r="M968" s="95" t="str">
        <x:v>第二批接入</x:v>
      </x:c>
      <x:c r="N968" s="95" t="str">
        <x:v>P0</x:v>
      </x:c>
      <x:c r="O968" s="95" t="str">
        <x:v>https://www.nist.gov/itl/ai-risk-management-framework</x:v>
      </x:c>
      <x:c r="P968" s="96" t="str">
        <x:v>待评审</x:v>
      </x:c>
    </x:row>
    <x:row r="969">
      <x:c r="A969" s="94" t="str">
        <x:v>T0965</x:v>
      </x:c>
      <x:c r="B969" s="95" t="str">
        <x:v>可信、安全、运营与思维模型</x:v>
      </x:c>
      <x:c r="C969" s="95" t="str">
        <x:v>关键思维模型</x:v>
      </x:c>
      <x:c r="D969" s="95" t="str">
        <x:v>核心必需</x:v>
      </x:c>
      <x:c r="E969" s="100" t="n">
        <x:v>11</x:v>
      </x:c>
      <x:c r="F969" s="95" t="str">
        <x:v>两线共用</x:v>
      </x:c>
      <x:c r="G969" s="95" t="str">
        <x:v>A 证据、假设与科学闭环</x:v>
      </x:c>
      <x:c r="H969" s="95" t="str">
        <x:v>期望信息价值思维</x:v>
      </x:c>
      <x:c r="I969" s="95" t="str">
        <x:v>坚持可证伪、证据阶梯、信息价值、先复现后扩展等决策纪律。</x:v>
      </x:c>
      <x:c r="J969" s="95" t="str">
        <x:v>落实为假设卡、替代解释、可证伪预测、停止规则和证据更新记录。</x:v>
      </x:c>
      <x:c r="K969" s="95" t="str">
        <x:v>可直接支撑当前EIS-only闭环。</x:v>
      </x:c>
      <x:c r="L969" s="95" t="str">
        <x:v>M1 前瞻验证（2–5月）</x:v>
      </x:c>
      <x:c r="M969" s="95" t="str">
        <x:v>第二批接入</x:v>
      </x:c>
      <x:c r="N969" s="95" t="str">
        <x:v>P0</x:v>
      </x:c>
      <x:c r="O969" s="95" t="str">
        <x:v>https://pubs.acs.org/doi/10.1021/acs.chemrev.4c00055</x:v>
      </x:c>
      <x:c r="P969" s="96" t="str">
        <x:v>待评审</x:v>
      </x:c>
    </x:row>
    <x:row r="970">
      <x:c r="A970" s="94" t="str">
        <x:v>T0966</x:v>
      </x:c>
      <x:c r="B970" s="95" t="str">
        <x:v>可信、安全、运营与思维模型</x:v>
      </x:c>
      <x:c r="C970" s="95" t="str">
        <x:v>关键思维模型</x:v>
      </x:c>
      <x:c r="D970" s="95" t="str">
        <x:v>关键支撑</x:v>
      </x:c>
      <x:c r="E970" s="100" t="n">
        <x:v>9</x:v>
      </x:c>
      <x:c r="F970" s="95" t="str">
        <x:v>两线共用</x:v>
      </x:c>
      <x:c r="G970" s="95" t="str">
        <x:v>A 证据、假设与科学闭环</x:v>
      </x:c>
      <x:c r="H970" s="95" t="str">
        <x:v>Pareto思维</x:v>
      </x:c>
      <x:c r="I970" s="95" t="str">
        <x:v>坚持可证伪、证据阶梯、信息价值、先复现后扩展等决策纪律。</x:v>
      </x:c>
      <x:c r="J970" s="95" t="str">
        <x:v>落实为假设卡、替代解释、可证伪预测、停止规则和证据更新记录。</x:v>
      </x:c>
      <x:c r="K970" s="95" t="str">
        <x:v>可直接支撑当前EIS-only闭环。</x:v>
      </x:c>
      <x:c r="L970" s="95" t="str">
        <x:v>M2 扩展与复现（5–12月）</x:v>
      </x:c>
      <x:c r="M970" s="95" t="str">
        <x:v>按瓶颈接入</x:v>
      </x:c>
      <x:c r="N970" s="95" t="str">
        <x:v>P0</x:v>
      </x:c>
      <x:c r="O970" s="95" t="str">
        <x:v>https://www.itl.nist.gov/div898/handbook/</x:v>
      </x:c>
      <x:c r="P970" s="96" t="str">
        <x:v>待评审</x:v>
      </x:c>
    </x:row>
    <x:row r="971">
      <x:c r="A971" s="94" t="str">
        <x:v>T0967</x:v>
      </x:c>
      <x:c r="B971" s="95" t="str">
        <x:v>可信、安全、运营与思维模型</x:v>
      </x:c>
      <x:c r="C971" s="95" t="str">
        <x:v>关键思维模型</x:v>
      </x:c>
      <x:c r="D971" s="95" t="str">
        <x:v>关键支撑</x:v>
      </x:c>
      <x:c r="E971" s="100" t="n">
        <x:v>8</x:v>
      </x:c>
      <x:c r="F971" s="95" t="str">
        <x:v>两线共用</x:v>
      </x:c>
      <x:c r="G971" s="95" t="str">
        <x:v>A 证据、假设与科学闭环</x:v>
      </x:c>
      <x:c r="H971" s="95" t="str">
        <x:v>第一性原理</x:v>
      </x:c>
      <x:c r="I971" s="95" t="str">
        <x:v>坚持可证伪、证据阶梯、信息价值、先复现后扩展等决策纪律。</x:v>
      </x:c>
      <x:c r="J971" s="95" t="str">
        <x:v>落实为假设卡、替代解释、可证伪预测、停止规则和证据更新记录。</x:v>
      </x:c>
      <x:c r="K971" s="95" t="str">
        <x:v>可直接支撑当前EIS-only闭环。</x:v>
      </x:c>
      <x:c r="L971" s="95" t="str">
        <x:v>M2 扩展与复现（5–12月）</x:v>
      </x:c>
      <x:c r="M971" s="95" t="str">
        <x:v>按瓶颈接入</x:v>
      </x:c>
      <x:c r="N971" s="95" t="str">
        <x:v>P0</x:v>
      </x:c>
      <x:c r="O971" s="95" t="str">
        <x:v>https://www.nature.com/articles/sdata201618</x:v>
      </x:c>
      <x:c r="P971" s="96" t="str">
        <x:v>待评审</x:v>
      </x:c>
    </x:row>
    <x:row r="972">
      <x:c r="A972" s="94" t="str">
        <x:v>T0968</x:v>
      </x:c>
      <x:c r="B972" s="95" t="str">
        <x:v>可信、安全、运营与思维模型</x:v>
      </x:c>
      <x:c r="C972" s="95" t="str">
        <x:v>关键思维模型</x:v>
      </x:c>
      <x:c r="D972" s="95" t="str">
        <x:v>关键支撑</x:v>
      </x:c>
      <x:c r="E972" s="100" t="n">
        <x:v>8</x:v>
      </x:c>
      <x:c r="F972" s="95" t="str">
        <x:v>两线共用</x:v>
      </x:c>
      <x:c r="G972" s="95" t="str">
        <x:v>A 证据、假设与科学闭环</x:v>
      </x:c>
      <x:c r="H972" s="95" t="str">
        <x:v>系统思维</x:v>
      </x:c>
      <x:c r="I972" s="95" t="str">
        <x:v>坚持可证伪、证据阶梯、信息价值、先复现后扩展等决策纪律。</x:v>
      </x:c>
      <x:c r="J972" s="95" t="str">
        <x:v>落实为假设卡、替代解释、可证伪预测、停止规则和证据更新记录。</x:v>
      </x:c>
      <x:c r="K972" s="95" t="str">
        <x:v>可直接支撑当前EIS-only闭环。</x:v>
      </x:c>
      <x:c r="L972" s="95" t="str">
        <x:v>M2 扩展与复现（5–12月）</x:v>
      </x:c>
      <x:c r="M972" s="95" t="str">
        <x:v>按瓶颈接入</x:v>
      </x:c>
      <x:c r="N972" s="95" t="str">
        <x:v>P0</x:v>
      </x:c>
      <x:c r="O972" s="95" t="str">
        <x:v>https://www.nist.gov/itl/ai-risk-management-framework</x:v>
      </x:c>
      <x:c r="P972" s="96" t="str">
        <x:v>待评审</x:v>
      </x:c>
    </x:row>
    <x:row r="973">
      <x:c r="A973" s="94" t="str">
        <x:v>T0969</x:v>
      </x:c>
      <x:c r="B973" s="95" t="str">
        <x:v>可信、安全、运营与思维模型</x:v>
      </x:c>
      <x:c r="C973" s="95" t="str">
        <x:v>关键思维模型</x:v>
      </x:c>
      <x:c r="D973" s="95" t="str">
        <x:v>关键支撑</x:v>
      </x:c>
      <x:c r="E973" s="100" t="n">
        <x:v>8</x:v>
      </x:c>
      <x:c r="F973" s="95" t="str">
        <x:v>两线共用</x:v>
      </x:c>
      <x:c r="G973" s="95" t="str">
        <x:v>A 证据、假设与科学闭环</x:v>
      </x:c>
      <x:c r="H973" s="95" t="str">
        <x:v>反馈控制思维</x:v>
      </x:c>
      <x:c r="I973" s="95" t="str">
        <x:v>坚持可证伪、证据阶梯、信息价值、先复现后扩展等决策纪律。</x:v>
      </x:c>
      <x:c r="J973" s="95" t="str">
        <x:v>落实为假设卡、替代解释、可证伪预测、停止规则和证据更新记录。</x:v>
      </x:c>
      <x:c r="K973" s="95" t="str">
        <x:v>可直接支撑当前EIS-only闭环。</x:v>
      </x:c>
      <x:c r="L973" s="95" t="str">
        <x:v>M2 扩展与复现（5–12月）</x:v>
      </x:c>
      <x:c r="M973" s="95" t="str">
        <x:v>按瓶颈接入</x:v>
      </x:c>
      <x:c r="N973" s="95" t="str">
        <x:v>P0</x:v>
      </x:c>
      <x:c r="O973" s="95" t="str">
        <x:v>https://pubs.acs.org/doi/10.1021/acs.chemrev.4c00055</x:v>
      </x:c>
      <x:c r="P973" s="96" t="str">
        <x:v>待评审</x:v>
      </x:c>
    </x:row>
    <x:row r="974">
      <x:c r="A974" s="94" t="str">
        <x:v>T0970</x:v>
      </x:c>
      <x:c r="B974" s="95" t="str">
        <x:v>可信、安全、运营与思维模型</x:v>
      </x:c>
      <x:c r="C974" s="95" t="str">
        <x:v>关键思维模型</x:v>
      </x:c>
      <x:c r="D974" s="95" t="str">
        <x:v>关键支撑</x:v>
      </x:c>
      <x:c r="E974" s="100" t="n">
        <x:v>8</x:v>
      </x:c>
      <x:c r="F974" s="95" t="str">
        <x:v>两线共用</x:v>
      </x:c>
      <x:c r="G974" s="95" t="str">
        <x:v>A 证据、假设与科学闭环</x:v>
      </x:c>
      <x:c r="H974" s="95" t="str">
        <x:v>OODA循环</x:v>
      </x:c>
      <x:c r="I974" s="95" t="str">
        <x:v>坚持可证伪、证据阶梯、信息价值、先复现后扩展等决策纪律。</x:v>
      </x:c>
      <x:c r="J974" s="95" t="str">
        <x:v>落实为假设卡、替代解释、可证伪预测、停止规则和证据更新记录。</x:v>
      </x:c>
      <x:c r="K974" s="95" t="str">
        <x:v>可直接支撑当前EIS-only闭环。</x:v>
      </x:c>
      <x:c r="L974" s="95" t="str">
        <x:v>M2 扩展与复现（5–12月）</x:v>
      </x:c>
      <x:c r="M974" s="95" t="str">
        <x:v>按瓶颈接入</x:v>
      </x:c>
      <x:c r="N974" s="95" t="str">
        <x:v>P0</x:v>
      </x:c>
      <x:c r="O974" s="95" t="str">
        <x:v>https://www.itl.nist.gov/div898/handbook/</x:v>
      </x:c>
      <x:c r="P974" s="96" t="str">
        <x:v>待评审</x:v>
      </x:c>
    </x:row>
    <x:row r="975">
      <x:c r="A975" s="94" t="str">
        <x:v>T0971</x:v>
      </x:c>
      <x:c r="B975" s="95" t="str">
        <x:v>可信、安全、运营与思维模型</x:v>
      </x:c>
      <x:c r="C975" s="95" t="str">
        <x:v>关键思维模型</x:v>
      </x:c>
      <x:c r="D975" s="95" t="str">
        <x:v>关键支撑</x:v>
      </x:c>
      <x:c r="E975" s="100" t="n">
        <x:v>8</x:v>
      </x:c>
      <x:c r="F975" s="95" t="str">
        <x:v>两线共用</x:v>
      </x:c>
      <x:c r="G975" s="95" t="str">
        <x:v>A 证据、假设与科学闭环</x:v>
      </x:c>
      <x:c r="H975" s="95" t="str">
        <x:v>MAPE-K循环</x:v>
      </x:c>
      <x:c r="I975" s="95" t="str">
        <x:v>坚持可证伪、证据阶梯、信息价值、先复现后扩展等决策纪律。</x:v>
      </x:c>
      <x:c r="J975" s="95" t="str">
        <x:v>落实为假设卡、替代解释、可证伪预测、停止规则和证据更新记录。</x:v>
      </x:c>
      <x:c r="K975" s="95" t="str">
        <x:v>可直接支撑当前EIS-only闭环。</x:v>
      </x:c>
      <x:c r="L975" s="95" t="str">
        <x:v>M2 扩展与复现（5–12月）</x:v>
      </x:c>
      <x:c r="M975" s="95" t="str">
        <x:v>按瓶颈接入</x:v>
      </x:c>
      <x:c r="N975" s="95" t="str">
        <x:v>P1</x:v>
      </x:c>
      <x:c r="O975" s="95" t="str">
        <x:v>https://www.nature.com/articles/sdata201618</x:v>
      </x:c>
      <x:c r="P975" s="96" t="str">
        <x:v>待评审</x:v>
      </x:c>
    </x:row>
    <x:row r="976">
      <x:c r="A976" s="94" t="str">
        <x:v>T0972</x:v>
      </x:c>
      <x:c r="B976" s="95" t="str">
        <x:v>可信、安全、运营与思维模型</x:v>
      </x:c>
      <x:c r="C976" s="95" t="str">
        <x:v>关键思维模型</x:v>
      </x:c>
      <x:c r="D976" s="95" t="str">
        <x:v>关键支撑</x:v>
      </x:c>
      <x:c r="E976" s="100" t="n">
        <x:v>8</x:v>
      </x:c>
      <x:c r="F976" s="95" t="str">
        <x:v>两线共用</x:v>
      </x:c>
      <x:c r="G976" s="95" t="str">
        <x:v>A 证据、假设与科学闭环</x:v>
      </x:c>
      <x:c r="H976" s="95" t="str">
        <x:v>Sense-Think-Act-Learn</x:v>
      </x:c>
      <x:c r="I976" s="95" t="str">
        <x:v>坚持可证伪、证据阶梯、信息价值、先复现后扩展等决策纪律。</x:v>
      </x:c>
      <x:c r="J976" s="95" t="str">
        <x:v>落实为假设卡、替代解释、可证伪预测、停止规则和证据更新记录。</x:v>
      </x:c>
      <x:c r="K976" s="95" t="str">
        <x:v>可直接支撑当前EIS-only闭环。</x:v>
      </x:c>
      <x:c r="L976" s="95" t="str">
        <x:v>M2 扩展与复现（5–12月）</x:v>
      </x:c>
      <x:c r="M976" s="95" t="str">
        <x:v>按瓶颈接入</x:v>
      </x:c>
      <x:c r="N976" s="95" t="str">
        <x:v>P1</x:v>
      </x:c>
      <x:c r="O976" s="95" t="str">
        <x:v>https://www.nist.gov/itl/ai-risk-management-framework</x:v>
      </x:c>
      <x:c r="P976" s="96" t="str">
        <x:v>待评审</x:v>
      </x:c>
    </x:row>
    <x:row r="977">
      <x:c r="A977" s="94" t="str">
        <x:v>T0973</x:v>
      </x:c>
      <x:c r="B977" s="95" t="str">
        <x:v>可信、安全、运营与思维模型</x:v>
      </x:c>
      <x:c r="C977" s="95" t="str">
        <x:v>关键思维模型</x:v>
      </x:c>
      <x:c r="D977" s="95" t="str">
        <x:v>关键支撑</x:v>
      </x:c>
      <x:c r="E977" s="100" t="n">
        <x:v>8</x:v>
      </x:c>
      <x:c r="F977" s="95" t="str">
        <x:v>两线共用</x:v>
      </x:c>
      <x:c r="G977" s="95" t="str">
        <x:v>A 证据、假设与科学闭环</x:v>
      </x:c>
      <x:c r="H977" s="95" t="str">
        <x:v>Design-Build-Test-Learn</x:v>
      </x:c>
      <x:c r="I977" s="95" t="str">
        <x:v>坚持可证伪、证据阶梯、信息价值、先复现后扩展等决策纪律。</x:v>
      </x:c>
      <x:c r="J977" s="95" t="str">
        <x:v>落实为假设卡、替代解释、可证伪预测、停止规则和证据更新记录。</x:v>
      </x:c>
      <x:c r="K977" s="95" t="str">
        <x:v>可直接支撑当前EIS-only闭环。</x:v>
      </x:c>
      <x:c r="L977" s="95" t="str">
        <x:v>M2 扩展与复现（5–12月）</x:v>
      </x:c>
      <x:c r="M977" s="95" t="str">
        <x:v>按瓶颈接入</x:v>
      </x:c>
      <x:c r="N977" s="95" t="str">
        <x:v>P1</x:v>
      </x:c>
      <x:c r="O977" s="95" t="str">
        <x:v>https://pubs.acs.org/doi/10.1021/acs.chemrev.4c00055</x:v>
      </x:c>
      <x:c r="P977" s="96" t="str">
        <x:v>待评审</x:v>
      </x:c>
    </x:row>
    <x:row r="978">
      <x:c r="A978" s="94" t="str">
        <x:v>T0974</x:v>
      </x:c>
      <x:c r="B978" s="95" t="str">
        <x:v>可信、安全、运营与思维模型</x:v>
      </x:c>
      <x:c r="C978" s="95" t="str">
        <x:v>关键思维模型</x:v>
      </x:c>
      <x:c r="D978" s="95" t="str">
        <x:v>关键支撑</x:v>
      </x:c>
      <x:c r="E978" s="100" t="n">
        <x:v>8</x:v>
      </x:c>
      <x:c r="F978" s="95" t="str">
        <x:v>两线共用</x:v>
      </x:c>
      <x:c r="G978" s="95" t="str">
        <x:v>A 证据、假设与科学闭环</x:v>
      </x:c>
      <x:c r="H978" s="95" t="str">
        <x:v>Build-Measure-Learn</x:v>
      </x:c>
      <x:c r="I978" s="95" t="str">
        <x:v>坚持可证伪、证据阶梯、信息价值、先复现后扩展等决策纪律。</x:v>
      </x:c>
      <x:c r="J978" s="95" t="str">
        <x:v>落实为假设卡、替代解释、可证伪预测、停止规则和证据更新记录。</x:v>
      </x:c>
      <x:c r="K978" s="95" t="str">
        <x:v>可直接支撑当前EIS-only闭环。</x:v>
      </x:c>
      <x:c r="L978" s="95" t="str">
        <x:v>M2 扩展与复现（5–12月）</x:v>
      </x:c>
      <x:c r="M978" s="95" t="str">
        <x:v>按瓶颈接入</x:v>
      </x:c>
      <x:c r="N978" s="95" t="str">
        <x:v>P1</x:v>
      </x:c>
      <x:c r="O978" s="95" t="str">
        <x:v>https://www.itl.nist.gov/div898/handbook/</x:v>
      </x:c>
      <x:c r="P978" s="96" t="str">
        <x:v>待评审</x:v>
      </x:c>
    </x:row>
    <x:row r="979">
      <x:c r="A979" s="94" t="str">
        <x:v>T0975</x:v>
      </x:c>
      <x:c r="B979" s="95" t="str">
        <x:v>可信、安全、运营与思维模型</x:v>
      </x:c>
      <x:c r="C979" s="95" t="str">
        <x:v>关键思维模型</x:v>
      </x:c>
      <x:c r="D979" s="95" t="str">
        <x:v>关键支撑</x:v>
      </x:c>
      <x:c r="E979" s="100" t="n">
        <x:v>8</x:v>
      </x:c>
      <x:c r="F979" s="95" t="str">
        <x:v>两线共用</x:v>
      </x:c>
      <x:c r="G979" s="95" t="str">
        <x:v>A 证据、假设与科学闭环</x:v>
      </x:c>
      <x:c r="H979" s="95" t="str">
        <x:v>假设树</x:v>
      </x:c>
      <x:c r="I979" s="95" t="str">
        <x:v>坚持可证伪、证据阶梯、信息价值、先复现后扩展等决策纪律。</x:v>
      </x:c>
      <x:c r="J979" s="95" t="str">
        <x:v>落实为假设卡、替代解释、可证伪预测、停止规则和证据更新记录。</x:v>
      </x:c>
      <x:c r="K979" s="95" t="str">
        <x:v>可直接支撑当前EIS-only闭环。</x:v>
      </x:c>
      <x:c r="L979" s="95" t="str">
        <x:v>M2 扩展与复现（5–12月）</x:v>
      </x:c>
      <x:c r="M979" s="95" t="str">
        <x:v>按瓶颈接入</x:v>
      </x:c>
      <x:c r="N979" s="95" t="str">
        <x:v>P1</x:v>
      </x:c>
      <x:c r="O979" s="95" t="str">
        <x:v>https://www.nature.com/articles/sdata201618</x:v>
      </x:c>
      <x:c r="P979" s="96" t="str">
        <x:v>待评审</x:v>
      </x:c>
    </x:row>
    <x:row r="980">
      <x:c r="A980" s="94" t="str">
        <x:v>T0976</x:v>
      </x:c>
      <x:c r="B980" s="95" t="str">
        <x:v>可信、安全、运营与思维模型</x:v>
      </x:c>
      <x:c r="C980" s="95" t="str">
        <x:v>关键思维模型</x:v>
      </x:c>
      <x:c r="D980" s="95" t="str">
        <x:v>关键支撑</x:v>
      </x:c>
      <x:c r="E980" s="100" t="n">
        <x:v>8</x:v>
      </x:c>
      <x:c r="F980" s="95" t="str">
        <x:v>两线共用</x:v>
      </x:c>
      <x:c r="G980" s="95" t="str">
        <x:v>A 证据、假设与科学闭环</x:v>
      </x:c>
      <x:c r="H980" s="95" t="str">
        <x:v>议题树</x:v>
      </x:c>
      <x:c r="I980" s="95" t="str">
        <x:v>坚持可证伪、证据阶梯、信息价值、先复现后扩展等决策纪律。</x:v>
      </x:c>
      <x:c r="J980" s="95" t="str">
        <x:v>落实为假设卡、替代解释、可证伪预测、停止规则和证据更新记录。</x:v>
      </x:c>
      <x:c r="K980" s="95" t="str">
        <x:v>可直接支撑当前EIS-only闭环。</x:v>
      </x:c>
      <x:c r="L980" s="95" t="str">
        <x:v>M2 扩展与复现（5–12月）</x:v>
      </x:c>
      <x:c r="M980" s="95" t="str">
        <x:v>按瓶颈接入</x:v>
      </x:c>
      <x:c r="N980" s="95" t="str">
        <x:v>P1</x:v>
      </x:c>
      <x:c r="O980" s="95" t="str">
        <x:v>https://www.nist.gov/itl/ai-risk-management-framework</x:v>
      </x:c>
      <x:c r="P980" s="96" t="str">
        <x:v>待评审</x:v>
      </x:c>
    </x:row>
    <x:row r="981">
      <x:c r="A981" s="94" t="str">
        <x:v>T0977</x:v>
      </x:c>
      <x:c r="B981" s="95" t="str">
        <x:v>可信、安全、运营与思维模型</x:v>
      </x:c>
      <x:c r="C981" s="95" t="str">
        <x:v>关键思维模型</x:v>
      </x:c>
      <x:c r="D981" s="95" t="str">
        <x:v>关键支撑</x:v>
      </x:c>
      <x:c r="E981" s="100" t="n">
        <x:v>8</x:v>
      </x:c>
      <x:c r="F981" s="95" t="str">
        <x:v>两线共用</x:v>
      </x:c>
      <x:c r="G981" s="95" t="str">
        <x:v>A 证据、假设与科学闭环</x:v>
      </x:c>
      <x:c r="H981" s="95" t="str">
        <x:v>约束优先</x:v>
      </x:c>
      <x:c r="I981" s="95" t="str">
        <x:v>坚持可证伪、证据阶梯、信息价值、先复现后扩展等决策纪律。</x:v>
      </x:c>
      <x:c r="J981" s="95" t="str">
        <x:v>落实为假设卡、替代解释、可证伪预测、停止规则和证据更新记录。</x:v>
      </x:c>
      <x:c r="K981" s="95" t="str">
        <x:v>可直接支撑当前EIS-only闭环。</x:v>
      </x:c>
      <x:c r="L981" s="95" t="str">
        <x:v>M2 扩展与复现（5–12月）</x:v>
      </x:c>
      <x:c r="M981" s="95" t="str">
        <x:v>按瓶颈接入</x:v>
      </x:c>
      <x:c r="N981" s="95" t="str">
        <x:v>P1</x:v>
      </x:c>
      <x:c r="O981" s="95" t="str">
        <x:v>https://pubs.acs.org/doi/10.1021/acs.chemrev.4c00055</x:v>
      </x:c>
      <x:c r="P981" s="96" t="str">
        <x:v>待评审</x:v>
      </x:c>
    </x:row>
    <x:row r="982">
      <x:c r="A982" s="94" t="str">
        <x:v>T0978</x:v>
      </x:c>
      <x:c r="B982" s="95" t="str">
        <x:v>可信、安全、运营与思维模型</x:v>
      </x:c>
      <x:c r="C982" s="95" t="str">
        <x:v>关键思维模型</x:v>
      </x:c>
      <x:c r="D982" s="95" t="str">
        <x:v>关键支撑</x:v>
      </x:c>
      <x:c r="E982" s="100" t="n">
        <x:v>8</x:v>
      </x:c>
      <x:c r="F982" s="95" t="str">
        <x:v>两线共用</x:v>
      </x:c>
      <x:c r="G982" s="95" t="str">
        <x:v>A 证据、假设与科学闭环</x:v>
      </x:c>
      <x:c r="H982" s="95" t="str">
        <x:v>瓶颈理论</x:v>
      </x:c>
      <x:c r="I982" s="95" t="str">
        <x:v>坚持可证伪、证据阶梯、信息价值、先复现后扩展等决策纪律。</x:v>
      </x:c>
      <x:c r="J982" s="95" t="str">
        <x:v>落实为假设卡、替代解释、可证伪预测、停止规则和证据更新记录。</x:v>
      </x:c>
      <x:c r="K982" s="95" t="str">
        <x:v>可直接支撑当前EIS-only闭环。</x:v>
      </x:c>
      <x:c r="L982" s="95" t="str">
        <x:v>M2 扩展与复现（5–12月）</x:v>
      </x:c>
      <x:c r="M982" s="95" t="str">
        <x:v>按瓶颈接入</x:v>
      </x:c>
      <x:c r="N982" s="95" t="str">
        <x:v>P1</x:v>
      </x:c>
      <x:c r="O982" s="95" t="str">
        <x:v>https://www.itl.nist.gov/div898/handbook/</x:v>
      </x:c>
      <x:c r="P982" s="96" t="str">
        <x:v>待评审</x:v>
      </x:c>
    </x:row>
    <x:row r="983">
      <x:c r="A983" s="94" t="str">
        <x:v>T0979</x:v>
      </x:c>
      <x:c r="B983" s="95" t="str">
        <x:v>可信、安全、运营与思维模型</x:v>
      </x:c>
      <x:c r="C983" s="95" t="str">
        <x:v>关键思维模型</x:v>
      </x:c>
      <x:c r="D983" s="95" t="str">
        <x:v>关键支撑</x:v>
      </x:c>
      <x:c r="E983" s="100" t="n">
        <x:v>8</x:v>
      </x:c>
      <x:c r="F983" s="95" t="str">
        <x:v>两线共用</x:v>
      </x:c>
      <x:c r="G983" s="95" t="str">
        <x:v>A 证据、假设与科学闭环</x:v>
      </x:c>
      <x:c r="H983" s="95" t="str">
        <x:v>约束理论TOC</x:v>
      </x:c>
      <x:c r="I983" s="95" t="str">
        <x:v>坚持可证伪、证据阶梯、信息价值、先复现后扩展等决策纪律。</x:v>
      </x:c>
      <x:c r="J983" s="95" t="str">
        <x:v>落实为假设卡、替代解释、可证伪预测、停止规则和证据更新记录。</x:v>
      </x:c>
      <x:c r="K983" s="95" t="str">
        <x:v>可直接支撑当前EIS-only闭环。</x:v>
      </x:c>
      <x:c r="L983" s="95" t="str">
        <x:v>M2 扩展与复现（5–12月）</x:v>
      </x:c>
      <x:c r="M983" s="95" t="str">
        <x:v>按瓶颈接入</x:v>
      </x:c>
      <x:c r="N983" s="95" t="str">
        <x:v>P1</x:v>
      </x:c>
      <x:c r="O983" s="95" t="str">
        <x:v>https://www.nature.com/articles/sdata201618</x:v>
      </x:c>
      <x:c r="P983" s="96" t="str">
        <x:v>待评审</x:v>
      </x:c>
    </x:row>
    <x:row r="984">
      <x:c r="A984" s="94" t="str">
        <x:v>T0980</x:v>
      </x:c>
      <x:c r="B984" s="95" t="str">
        <x:v>可信、安全、运营与思维模型</x:v>
      </x:c>
      <x:c r="C984" s="95" t="str">
        <x:v>关键思维模型</x:v>
      </x:c>
      <x:c r="D984" s="95" t="str">
        <x:v>关键支撑</x:v>
      </x:c>
      <x:c r="E984" s="100" t="n">
        <x:v>8</x:v>
      </x:c>
      <x:c r="F984" s="95" t="str">
        <x:v>两线共用</x:v>
      </x:c>
      <x:c r="G984" s="95" t="str">
        <x:v>A 证据、假设与科学闭环</x:v>
      </x:c>
      <x:c r="H984" s="95" t="str">
        <x:v>粗到细</x:v>
      </x:c>
      <x:c r="I984" s="95" t="str">
        <x:v>坚持可证伪、证据阶梯、信息价值、先复现后扩展等决策纪律。</x:v>
      </x:c>
      <x:c r="J984" s="95" t="str">
        <x:v>落实为假设卡、替代解释、可证伪预测、停止规则和证据更新记录。</x:v>
      </x:c>
      <x:c r="K984" s="95" t="str">
        <x:v>可直接支撑当前EIS-only闭环。</x:v>
      </x:c>
      <x:c r="L984" s="95" t="str">
        <x:v>M2 扩展与复现（5–12月）</x:v>
      </x:c>
      <x:c r="M984" s="95" t="str">
        <x:v>按瓶颈接入</x:v>
      </x:c>
      <x:c r="N984" s="95" t="str">
        <x:v>P1</x:v>
      </x:c>
      <x:c r="O984" s="95" t="str">
        <x:v>https://www.nist.gov/itl/ai-risk-management-framework</x:v>
      </x:c>
      <x:c r="P984" s="96" t="str">
        <x:v>待评审</x:v>
      </x:c>
    </x:row>
    <x:row r="985">
      <x:c r="A985" s="94" t="str">
        <x:v>T0981</x:v>
      </x:c>
      <x:c r="B985" s="95" t="str">
        <x:v>可信、安全、运营与思维模型</x:v>
      </x:c>
      <x:c r="C985" s="95" t="str">
        <x:v>关键思维模型</x:v>
      </x:c>
      <x:c r="D985" s="95" t="str">
        <x:v>关键支撑</x:v>
      </x:c>
      <x:c r="E985" s="100" t="n">
        <x:v>8</x:v>
      </x:c>
      <x:c r="F985" s="95" t="str">
        <x:v>两线共用</x:v>
      </x:c>
      <x:c r="G985" s="95" t="str">
        <x:v>A 证据、假设与科学闭环</x:v>
      </x:c>
      <x:c r="H985" s="95" t="str">
        <x:v>缩放思维</x:v>
      </x:c>
      <x:c r="I985" s="95" t="str">
        <x:v>坚持可证伪、证据阶梯、信息价值、先复现后扩展等决策纪律。</x:v>
      </x:c>
      <x:c r="J985" s="95" t="str">
        <x:v>落实为假设卡、替代解释、可证伪预测、停止规则和证据更新记录。</x:v>
      </x:c>
      <x:c r="K985" s="95" t="str">
        <x:v>可直接支撑当前EIS-only闭环。</x:v>
      </x:c>
      <x:c r="L985" s="95" t="str">
        <x:v>M2 扩展与复现（5–12月）</x:v>
      </x:c>
      <x:c r="M985" s="95" t="str">
        <x:v>按瓶颈接入</x:v>
      </x:c>
      <x:c r="N985" s="95" t="str">
        <x:v>P1</x:v>
      </x:c>
      <x:c r="O985" s="95" t="str">
        <x:v>https://pubs.acs.org/doi/10.1021/acs.chemrev.4c00055</x:v>
      </x:c>
      <x:c r="P985" s="96" t="str">
        <x:v>待评审</x:v>
      </x:c>
    </x:row>
    <x:row r="986">
      <x:c r="A986" s="94" t="str">
        <x:v>T0982</x:v>
      </x:c>
      <x:c r="B986" s="95" t="str">
        <x:v>可信、安全、运营与思维模型</x:v>
      </x:c>
      <x:c r="C986" s="95" t="str">
        <x:v>关键思维模型</x:v>
      </x:c>
      <x:c r="D986" s="95" t="str">
        <x:v>关键支撑</x:v>
      </x:c>
      <x:c r="E986" s="100" t="n">
        <x:v>8</x:v>
      </x:c>
      <x:c r="F986" s="95" t="str">
        <x:v>两线共用</x:v>
      </x:c>
      <x:c r="G986" s="95" t="str">
        <x:v>A 证据、假设与科学闭环</x:v>
      </x:c>
      <x:c r="H986" s="95" t="str">
        <x:v>模块化</x:v>
      </x:c>
      <x:c r="I986" s="95" t="str">
        <x:v>坚持可证伪、证据阶梯、信息价值、先复现后扩展等决策纪律。</x:v>
      </x:c>
      <x:c r="J986" s="95" t="str">
        <x:v>落实为假设卡、替代解释、可证伪预测、停止规则和证据更新记录。</x:v>
      </x:c>
      <x:c r="K986" s="95" t="str">
        <x:v>可直接支撑当前EIS-only闭环。</x:v>
      </x:c>
      <x:c r="L986" s="95" t="str">
        <x:v>M2 扩展与复现（5–12月）</x:v>
      </x:c>
      <x:c r="M986" s="95" t="str">
        <x:v>按瓶颈接入</x:v>
      </x:c>
      <x:c r="N986" s="95" t="str">
        <x:v>P1</x:v>
      </x:c>
      <x:c r="O986" s="95" t="str">
        <x:v>https://www.itl.nist.gov/div898/handbook/</x:v>
      </x:c>
      <x:c r="P986" s="96" t="str">
        <x:v>待评审</x:v>
      </x:c>
    </x:row>
    <x:row r="987">
      <x:c r="A987" s="94" t="str">
        <x:v>T0983</x:v>
      </x:c>
      <x:c r="B987" s="95" t="str">
        <x:v>可信、安全、运营与思维模型</x:v>
      </x:c>
      <x:c r="C987" s="95" t="str">
        <x:v>关键思维模型</x:v>
      </x:c>
      <x:c r="D987" s="95" t="str">
        <x:v>关键支撑</x:v>
      </x:c>
      <x:c r="E987" s="100" t="n">
        <x:v>8</x:v>
      </x:c>
      <x:c r="F987" s="95" t="str">
        <x:v>两线共用</x:v>
      </x:c>
      <x:c r="G987" s="95" t="str">
        <x:v>A 证据、假设与科学闭环</x:v>
      </x:c>
      <x:c r="H987" s="95" t="str">
        <x:v>关注点分离</x:v>
      </x:c>
      <x:c r="I987" s="95" t="str">
        <x:v>坚持可证伪、证据阶梯、信息价值、先复现后扩展等决策纪律。</x:v>
      </x:c>
      <x:c r="J987" s="95" t="str">
        <x:v>落实为假设卡、替代解释、可证伪预测、停止规则和证据更新记录。</x:v>
      </x:c>
      <x:c r="K987" s="95" t="str">
        <x:v>可直接支撑当前EIS-only闭环。</x:v>
      </x:c>
      <x:c r="L987" s="95" t="str">
        <x:v>M2 扩展与复现（5–12月）</x:v>
      </x:c>
      <x:c r="M987" s="95" t="str">
        <x:v>按瓶颈接入</x:v>
      </x:c>
      <x:c r="N987" s="95" t="str">
        <x:v>P1</x:v>
      </x:c>
      <x:c r="O987" s="95" t="str">
        <x:v>https://www.nature.com/articles/sdata201618</x:v>
      </x:c>
      <x:c r="P987" s="96" t="str">
        <x:v>待评审</x:v>
      </x:c>
    </x:row>
    <x:row r="988">
      <x:c r="A988" s="94" t="str">
        <x:v>T0984</x:v>
      </x:c>
      <x:c r="B988" s="95" t="str">
        <x:v>可信、安全、运营与思维模型</x:v>
      </x:c>
      <x:c r="C988" s="95" t="str">
        <x:v>关键思维模型</x:v>
      </x:c>
      <x:c r="D988" s="95" t="str">
        <x:v>关键支撑</x:v>
      </x:c>
      <x:c r="E988" s="100" t="n">
        <x:v>8</x:v>
      </x:c>
      <x:c r="F988" s="95" t="str">
        <x:v>两线共用</x:v>
      </x:c>
      <x:c r="G988" s="95" t="str">
        <x:v>A 证据、假设与科学闭环</x:v>
      </x:c>
      <x:c r="H988" s="95" t="str">
        <x:v>抽象分层</x:v>
      </x:c>
      <x:c r="I988" s="95" t="str">
        <x:v>坚持可证伪、证据阶梯、信息价值、先复现后扩展等决策纪律。</x:v>
      </x:c>
      <x:c r="J988" s="95" t="str">
        <x:v>落实为假设卡、替代解释、可证伪预测、停止规则和证据更新记录。</x:v>
      </x:c>
      <x:c r="K988" s="95" t="str">
        <x:v>可直接支撑当前EIS-only闭环。</x:v>
      </x:c>
      <x:c r="L988" s="95" t="str">
        <x:v>M2 扩展与复现（5–12月）</x:v>
      </x:c>
      <x:c r="M988" s="95" t="str">
        <x:v>按瓶颈接入</x:v>
      </x:c>
      <x:c r="N988" s="95" t="str">
        <x:v>P1</x:v>
      </x:c>
      <x:c r="O988" s="95" t="str">
        <x:v>https://www.nist.gov/itl/ai-risk-management-framework</x:v>
      </x:c>
      <x:c r="P988" s="96" t="str">
        <x:v>待评审</x:v>
      </x:c>
    </x:row>
    <x:row r="989">
      <x:c r="A989" s="94" t="str">
        <x:v>T0985</x:v>
      </x:c>
      <x:c r="B989" s="95" t="str">
        <x:v>可信、安全、运营与思维模型</x:v>
      </x:c>
      <x:c r="C989" s="95" t="str">
        <x:v>关键思维模型</x:v>
      </x:c>
      <x:c r="D989" s="95" t="str">
        <x:v>关键支撑</x:v>
      </x:c>
      <x:c r="E989" s="100" t="n">
        <x:v>8</x:v>
      </x:c>
      <x:c r="F989" s="95" t="str">
        <x:v>两线共用</x:v>
      </x:c>
      <x:c r="G989" s="95" t="str">
        <x:v>A 证据、假设与科学闭环</x:v>
      </x:c>
      <x:c r="H989" s="95" t="str">
        <x:v>接口契约</x:v>
      </x:c>
      <x:c r="I989" s="95" t="str">
        <x:v>坚持可证伪、证据阶梯、信息价值、先复现后扩展等决策纪律。</x:v>
      </x:c>
      <x:c r="J989" s="95" t="str">
        <x:v>落实为假设卡、替代解释、可证伪预测、停止规则和证据更新记录。</x:v>
      </x:c>
      <x:c r="K989" s="95" t="str">
        <x:v>可直接支撑当前EIS-only闭环。</x:v>
      </x:c>
      <x:c r="L989" s="95" t="str">
        <x:v>M2 扩展与复现（5–12月）</x:v>
      </x:c>
      <x:c r="M989" s="95" t="str">
        <x:v>按瓶颈接入</x:v>
      </x:c>
      <x:c r="N989" s="95" t="str">
        <x:v>P1</x:v>
      </x:c>
      <x:c r="O989" s="95" t="str">
        <x:v>https://pubs.acs.org/doi/10.1021/acs.chemrev.4c00055</x:v>
      </x:c>
      <x:c r="P989" s="96" t="str">
        <x:v>待评审</x:v>
      </x:c>
    </x:row>
    <x:row r="990">
      <x:c r="A990" s="94" t="str">
        <x:v>T0986</x:v>
      </x:c>
      <x:c r="B990" s="95" t="str">
        <x:v>可信、安全、运营与思维模型</x:v>
      </x:c>
      <x:c r="C990" s="95" t="str">
        <x:v>关键思维模型</x:v>
      </x:c>
      <x:c r="D990" s="95" t="str">
        <x:v>关键支撑</x:v>
      </x:c>
      <x:c r="E990" s="100" t="n">
        <x:v>8</x:v>
      </x:c>
      <x:c r="F990" s="95" t="str">
        <x:v>两线共用</x:v>
      </x:c>
      <x:c r="G990" s="95" t="str">
        <x:v>A 证据、假设与科学闭环</x:v>
      </x:c>
      <x:c r="H990" s="95" t="str">
        <x:v>可组合性</x:v>
      </x:c>
      <x:c r="I990" s="95" t="str">
        <x:v>坚持可证伪、证据阶梯、信息价值、先复现后扩展等决策纪律。</x:v>
      </x:c>
      <x:c r="J990" s="95" t="str">
        <x:v>落实为假设卡、替代解释、可证伪预测、停止规则和证据更新记录。</x:v>
      </x:c>
      <x:c r="K990" s="95" t="str">
        <x:v>可直接支撑当前EIS-only闭环。</x:v>
      </x:c>
      <x:c r="L990" s="95" t="str">
        <x:v>M2 扩展与复现（5–12月）</x:v>
      </x:c>
      <x:c r="M990" s="95" t="str">
        <x:v>按瓶颈接入</x:v>
      </x:c>
      <x:c r="N990" s="95" t="str">
        <x:v>P1</x:v>
      </x:c>
      <x:c r="O990" s="95" t="str">
        <x:v>https://www.itl.nist.gov/div898/handbook/</x:v>
      </x:c>
      <x:c r="P990" s="96" t="str">
        <x:v>待评审</x:v>
      </x:c>
    </x:row>
    <x:row r="991">
      <x:c r="A991" s="94" t="str">
        <x:v>T0987</x:v>
      </x:c>
      <x:c r="B991" s="95" t="str">
        <x:v>可信、安全、运营与思维模型</x:v>
      </x:c>
      <x:c r="C991" s="95" t="str">
        <x:v>关键思维模型</x:v>
      </x:c>
      <x:c r="D991" s="95" t="str">
        <x:v>关键支撑</x:v>
      </x:c>
      <x:c r="E991" s="100" t="n">
        <x:v>8</x:v>
      </x:c>
      <x:c r="F991" s="95" t="str">
        <x:v>两线共用</x:v>
      </x:c>
      <x:c r="G991" s="95" t="str">
        <x:v>A 证据、假设与科学闭环</x:v>
      </x:c>
      <x:c r="H991" s="95" t="str">
        <x:v>冗余思维</x:v>
      </x:c>
      <x:c r="I991" s="95" t="str">
        <x:v>坚持可证伪、证据阶梯、信息价值、先复现后扩展等决策纪律。</x:v>
      </x:c>
      <x:c r="J991" s="95" t="str">
        <x:v>落实为假设卡、替代解释、可证伪预测、停止规则和证据更新记录。</x:v>
      </x:c>
      <x:c r="K991" s="95" t="str">
        <x:v>可直接支撑当前EIS-only闭环。</x:v>
      </x:c>
      <x:c r="L991" s="95" t="str">
        <x:v>M2 扩展与复现（5–12月）</x:v>
      </x:c>
      <x:c r="M991" s="95" t="str">
        <x:v>按瓶颈接入</x:v>
      </x:c>
      <x:c r="N991" s="95" t="str">
        <x:v>P1</x:v>
      </x:c>
      <x:c r="O991" s="95" t="str">
        <x:v>https://www.nature.com/articles/sdata201618</x:v>
      </x:c>
      <x:c r="P991" s="96" t="str">
        <x:v>待评审</x:v>
      </x:c>
    </x:row>
    <x:row r="992">
      <x:c r="A992" s="94" t="str">
        <x:v>T0988</x:v>
      </x:c>
      <x:c r="B992" s="95" t="str">
        <x:v>可信、安全、运营与思维模型</x:v>
      </x:c>
      <x:c r="C992" s="95" t="str">
        <x:v>关键思维模型</x:v>
      </x:c>
      <x:c r="D992" s="95" t="str">
        <x:v>关键支撑</x:v>
      </x:c>
      <x:c r="E992" s="100" t="n">
        <x:v>8</x:v>
      </x:c>
      <x:c r="F992" s="95" t="str">
        <x:v>两线共用</x:v>
      </x:c>
      <x:c r="G992" s="95" t="str">
        <x:v>A 证据、假设与科学闭环</x:v>
      </x:c>
      <x:c r="H992" s="95" t="str">
        <x:v>纵深防御</x:v>
      </x:c>
      <x:c r="I992" s="95" t="str">
        <x:v>坚持可证伪、证据阶梯、信息价值、先复现后扩展等决策纪律。</x:v>
      </x:c>
      <x:c r="J992" s="95" t="str">
        <x:v>落实为假设卡、替代解释、可证伪预测、停止规则和证据更新记录。</x:v>
      </x:c>
      <x:c r="K992" s="95" t="str">
        <x:v>可直接支撑当前EIS-only闭环。</x:v>
      </x:c>
      <x:c r="L992" s="95" t="str">
        <x:v>M2 扩展与复现（5–12月）</x:v>
      </x:c>
      <x:c r="M992" s="95" t="str">
        <x:v>按瓶颈接入</x:v>
      </x:c>
      <x:c r="N992" s="95" t="str">
        <x:v>P1</x:v>
      </x:c>
      <x:c r="O992" s="95" t="str">
        <x:v>https://www.nist.gov/itl/ai-risk-management-framework</x:v>
      </x:c>
      <x:c r="P992" s="96" t="str">
        <x:v>待评审</x:v>
      </x:c>
    </x:row>
    <x:row r="993">
      <x:c r="A993" s="94" t="str">
        <x:v>T0989</x:v>
      </x:c>
      <x:c r="B993" s="95" t="str">
        <x:v>可信、安全、运营与思维模型</x:v>
      </x:c>
      <x:c r="C993" s="95" t="str">
        <x:v>关键思维模型</x:v>
      </x:c>
      <x:c r="D993" s="95" t="str">
        <x:v>关键支撑</x:v>
      </x:c>
      <x:c r="E993" s="100" t="n">
        <x:v>8</x:v>
      </x:c>
      <x:c r="F993" s="95" t="str">
        <x:v>两线共用</x:v>
      </x:c>
      <x:c r="G993" s="95" t="str">
        <x:v>A 证据、假设与科学闭环</x:v>
      </x:c>
      <x:c r="H993" s="95" t="str">
        <x:v>快速失败</x:v>
      </x:c>
      <x:c r="I993" s="95" t="str">
        <x:v>坚持可证伪、证据阶梯、信息价值、先复现后扩展等决策纪律。</x:v>
      </x:c>
      <x:c r="J993" s="95" t="str">
        <x:v>落实为假设卡、替代解释、可证伪预测、停止规则和证据更新记录。</x:v>
      </x:c>
      <x:c r="K993" s="95" t="str">
        <x:v>可直接支撑当前EIS-only闭环。</x:v>
      </x:c>
      <x:c r="L993" s="95" t="str">
        <x:v>M2 扩展与复现（5–12月）</x:v>
      </x:c>
      <x:c r="M993" s="95" t="str">
        <x:v>按瓶颈接入</x:v>
      </x:c>
      <x:c r="N993" s="95" t="str">
        <x:v>P2</x:v>
      </x:c>
      <x:c r="O993" s="95" t="str">
        <x:v>https://pubs.acs.org/doi/10.1021/acs.chemrev.4c00055</x:v>
      </x:c>
      <x:c r="P993" s="96" t="str">
        <x:v>待评审</x:v>
      </x:c>
    </x:row>
    <x:row r="994">
      <x:c r="A994" s="94" t="str">
        <x:v>T0990</x:v>
      </x:c>
      <x:c r="B994" s="95" t="str">
        <x:v>可信、安全、运营与思维模型</x:v>
      </x:c>
      <x:c r="C994" s="95" t="str">
        <x:v>关键思维模型</x:v>
      </x:c>
      <x:c r="D994" s="95" t="str">
        <x:v>关键支撑</x:v>
      </x:c>
      <x:c r="E994" s="100" t="n">
        <x:v>8</x:v>
      </x:c>
      <x:c r="F994" s="95" t="str">
        <x:v>两线共用</x:v>
      </x:c>
      <x:c r="G994" s="95" t="str">
        <x:v>A 证据、假设与科学闭环</x:v>
      </x:c>
      <x:c r="H994" s="95" t="str">
        <x:v>Safe-to-fail</x:v>
      </x:c>
      <x:c r="I994" s="95" t="str">
        <x:v>坚持可证伪、证据阶梯、信息价值、先复现后扩展等决策纪律。</x:v>
      </x:c>
      <x:c r="J994" s="95" t="str">
        <x:v>落实为假设卡、替代解释、可证伪预测、停止规则和证据更新记录。</x:v>
      </x:c>
      <x:c r="K994" s="95" t="str">
        <x:v>可直接支撑当前EIS-only闭环。</x:v>
      </x:c>
      <x:c r="L994" s="95" t="str">
        <x:v>M2 扩展与复现（5–12月）</x:v>
      </x:c>
      <x:c r="M994" s="95" t="str">
        <x:v>按瓶颈接入</x:v>
      </x:c>
      <x:c r="N994" s="95" t="str">
        <x:v>P2</x:v>
      </x:c>
      <x:c r="O994" s="95" t="str">
        <x:v>https://www.itl.nist.gov/div898/handbook/</x:v>
      </x:c>
      <x:c r="P994" s="96" t="str">
        <x:v>待评审</x:v>
      </x:c>
    </x:row>
    <x:row r="995">
      <x:c r="A995" s="94" t="str">
        <x:v>T0991</x:v>
      </x:c>
      <x:c r="B995" s="95" t="str">
        <x:v>可信、安全、运营与思维模型</x:v>
      </x:c>
      <x:c r="C995" s="95" t="str">
        <x:v>关键思维模型</x:v>
      </x:c>
      <x:c r="D995" s="95" t="str">
        <x:v>关键支撑</x:v>
      </x:c>
      <x:c r="E995" s="100" t="n">
        <x:v>8</x:v>
      </x:c>
      <x:c r="F995" s="95" t="str">
        <x:v>两线共用</x:v>
      </x:c>
      <x:c r="G995" s="95" t="str">
        <x:v>A 证据、假设与科学闭环</x:v>
      </x:c>
      <x:c r="H995" s="95" t="str">
        <x:v>信任但验证</x:v>
      </x:c>
      <x:c r="I995" s="95" t="str">
        <x:v>坚持可证伪、证据阶梯、信息价值、先复现后扩展等决策纪律。</x:v>
      </x:c>
      <x:c r="J995" s="95" t="str">
        <x:v>落实为假设卡、替代解释、可证伪预测、停止规则和证据更新记录。</x:v>
      </x:c>
      <x:c r="K995" s="95" t="str">
        <x:v>可直接支撑当前EIS-only闭环。</x:v>
      </x:c>
      <x:c r="L995" s="95" t="str">
        <x:v>M2 扩展与复现（5–12月）</x:v>
      </x:c>
      <x:c r="M995" s="95" t="str">
        <x:v>按瓶颈接入</x:v>
      </x:c>
      <x:c r="N995" s="95" t="str">
        <x:v>P2</x:v>
      </x:c>
      <x:c r="O995" s="95" t="str">
        <x:v>https://www.nature.com/articles/sdata201618</x:v>
      </x:c>
      <x:c r="P995" s="96" t="str">
        <x:v>待评审</x:v>
      </x:c>
    </x:row>
    <x:row r="996">
      <x:c r="A996" s="94" t="str">
        <x:v>T0992</x:v>
      </x:c>
      <x:c r="B996" s="95" t="str">
        <x:v>可信、安全、运营与思维模型</x:v>
      </x:c>
      <x:c r="C996" s="95" t="str">
        <x:v>关键思维模型</x:v>
      </x:c>
      <x:c r="D996" s="95" t="str">
        <x:v>关键支撑</x:v>
      </x:c>
      <x:c r="E996" s="100" t="n">
        <x:v>8</x:v>
      </x:c>
      <x:c r="F996" s="95" t="str">
        <x:v>两线共用</x:v>
      </x:c>
      <x:c r="G996" s="95" t="str">
        <x:v>A 证据、假设与科学闭环</x:v>
      </x:c>
      <x:c r="H996" s="95" t="str">
        <x:v>人本自主</x:v>
      </x:c>
      <x:c r="I996" s="95" t="str">
        <x:v>坚持可证伪、证据阶梯、信息价值、先复现后扩展等决策纪律。</x:v>
      </x:c>
      <x:c r="J996" s="95" t="str">
        <x:v>落实为假设卡、替代解释、可证伪预测、停止规则和证据更新记录。</x:v>
      </x:c>
      <x:c r="K996" s="95" t="str">
        <x:v>可直接支撑当前EIS-only闭环。</x:v>
      </x:c>
      <x:c r="L996" s="95" t="str">
        <x:v>M2 扩展与复现（5–12月）</x:v>
      </x:c>
      <x:c r="M996" s="95" t="str">
        <x:v>按瓶颈接入</x:v>
      </x:c>
      <x:c r="N996" s="95" t="str">
        <x:v>P2</x:v>
      </x:c>
      <x:c r="O996" s="95" t="str">
        <x:v>https://www.nist.gov/itl/ai-risk-management-framework</x:v>
      </x:c>
      <x:c r="P996" s="96" t="str">
        <x:v>待评审</x:v>
      </x:c>
    </x:row>
    <x:row r="997">
      <x:c r="A997" s="94" t="str">
        <x:v>T0993</x:v>
      </x:c>
      <x:c r="B997" s="95" t="str">
        <x:v>可信、安全、运营与思维模型</x:v>
      </x:c>
      <x:c r="C997" s="95" t="str">
        <x:v>关键思维模型</x:v>
      </x:c>
      <x:c r="D997" s="95" t="str">
        <x:v>关键支撑</x:v>
      </x:c>
      <x:c r="E997" s="100" t="n">
        <x:v>8</x:v>
      </x:c>
      <x:c r="F997" s="95" t="str">
        <x:v>两线共用</x:v>
      </x:c>
      <x:c r="G997" s="95" t="str">
        <x:v>A 证据、假设与科学闭环</x:v>
      </x:c>
      <x:c r="H997" s="95" t="str">
        <x:v>可逆决策</x:v>
      </x:c>
      <x:c r="I997" s="95" t="str">
        <x:v>坚持可证伪、证据阶梯、信息价值、先复现后扩展等决策纪律。</x:v>
      </x:c>
      <x:c r="J997" s="95" t="str">
        <x:v>落实为假设卡、替代解释、可证伪预测、停止规则和证据更新记录。</x:v>
      </x:c>
      <x:c r="K997" s="95" t="str">
        <x:v>可直接支撑当前EIS-only闭环。</x:v>
      </x:c>
      <x:c r="L997" s="95" t="str">
        <x:v>M2 扩展与复现（5–12月）</x:v>
      </x:c>
      <x:c r="M997" s="95" t="str">
        <x:v>按瓶颈接入</x:v>
      </x:c>
      <x:c r="N997" s="95" t="str">
        <x:v>P2</x:v>
      </x:c>
      <x:c r="O997" s="95" t="str">
        <x:v>https://pubs.acs.org/doi/10.1021/acs.chemrev.4c00055</x:v>
      </x:c>
      <x:c r="P997" s="96" t="str">
        <x:v>待评审</x:v>
      </x:c>
    </x:row>
    <x:row r="998">
      <x:c r="A998" s="94" t="str">
        <x:v>T0994</x:v>
      </x:c>
      <x:c r="B998" s="95" t="str">
        <x:v>可信、安全、运营与思维模型</x:v>
      </x:c>
      <x:c r="C998" s="95" t="str">
        <x:v>关键思维模型</x:v>
      </x:c>
      <x:c r="D998" s="95" t="str">
        <x:v>关键支撑</x:v>
      </x:c>
      <x:c r="E998" s="100" t="n">
        <x:v>8</x:v>
      </x:c>
      <x:c r="F998" s="95" t="str">
        <x:v>两线共用</x:v>
      </x:c>
      <x:c r="G998" s="95" t="str">
        <x:v>A 证据、假设与科学闭环</x:v>
      </x:c>
      <x:c r="H998" s="95" t="str">
        <x:v>期权价值</x:v>
      </x:c>
      <x:c r="I998" s="95" t="str">
        <x:v>坚持可证伪、证据阶梯、信息价值、先复现后扩展等决策纪律。</x:v>
      </x:c>
      <x:c r="J998" s="95" t="str">
        <x:v>落实为假设卡、替代解释、可证伪预测、停止规则和证据更新记录。</x:v>
      </x:c>
      <x:c r="K998" s="95" t="str">
        <x:v>可直接支撑当前EIS-only闭环。</x:v>
      </x:c>
      <x:c r="L998" s="95" t="str">
        <x:v>M2 扩展与复现（5–12月）</x:v>
      </x:c>
      <x:c r="M998" s="95" t="str">
        <x:v>按瓶颈接入</x:v>
      </x:c>
      <x:c r="N998" s="95" t="str">
        <x:v>P2</x:v>
      </x:c>
      <x:c r="O998" s="95" t="str">
        <x:v>https://www.itl.nist.gov/div898/handbook/</x:v>
      </x:c>
      <x:c r="P998" s="96" t="str">
        <x:v>待评审</x:v>
      </x:c>
    </x:row>
    <x:row r="999">
      <x:c r="A999" s="94" t="str">
        <x:v>T0995</x:v>
      </x:c>
      <x:c r="B999" s="95" t="str">
        <x:v>可信、安全、运营与思维模型</x:v>
      </x:c>
      <x:c r="C999" s="95" t="str">
        <x:v>关键思维模型</x:v>
      </x:c>
      <x:c r="D999" s="95" t="str">
        <x:v>关键支撑</x:v>
      </x:c>
      <x:c r="E999" s="100" t="n">
        <x:v>8</x:v>
      </x:c>
      <x:c r="F999" s="95" t="str">
        <x:v>两线共用</x:v>
      </x:c>
      <x:c r="G999" s="95" t="str">
        <x:v>A 证据、假设与科学闭环</x:v>
      </x:c>
      <x:c r="H999" s="95" t="str">
        <x:v>错误预算</x:v>
      </x:c>
      <x:c r="I999" s="95" t="str">
        <x:v>坚持可证伪、证据阶梯、信息价值、先复现后扩展等决策纪律。</x:v>
      </x:c>
      <x:c r="J999" s="95" t="str">
        <x:v>落实为假设卡、替代解释、可证伪预测、停止规则和证据更新记录。</x:v>
      </x:c>
      <x:c r="K999" s="95" t="str">
        <x:v>可直接支撑当前EIS-only闭环。</x:v>
      </x:c>
      <x:c r="L999" s="95" t="str">
        <x:v>M2 扩展与复现（5–12月）</x:v>
      </x:c>
      <x:c r="M999" s="95" t="str">
        <x:v>按瓶颈接入</x:v>
      </x:c>
      <x:c r="N999" s="95" t="str">
        <x:v>P2</x:v>
      </x:c>
      <x:c r="O999" s="95" t="str">
        <x:v>https://www.nature.com/articles/sdata201618</x:v>
      </x:c>
      <x:c r="P999" s="96" t="str">
        <x:v>待评审</x:v>
      </x:c>
    </x:row>
    <x:row r="1000">
      <x:c r="A1000" s="94" t="str">
        <x:v>T0996</x:v>
      </x:c>
      <x:c r="B1000" s="95" t="str">
        <x:v>可信、安全、运营与思维模型</x:v>
      </x:c>
      <x:c r="C1000" s="95" t="str">
        <x:v>关键思维模型</x:v>
      </x:c>
      <x:c r="D1000" s="95" t="str">
        <x:v>关键支撑</x:v>
      </x:c>
      <x:c r="E1000" s="100" t="n">
        <x:v>8</x:v>
      </x:c>
      <x:c r="F1000" s="95" t="str">
        <x:v>两线共用</x:v>
      </x:c>
      <x:c r="G1000" s="95" t="str">
        <x:v>A 证据、假设与科学闭环</x:v>
      </x:c>
      <x:c r="H1000" s="95" t="str">
        <x:v>不确定性预算</x:v>
      </x:c>
      <x:c r="I1000" s="95" t="str">
        <x:v>坚持可证伪、证据阶梯、信息价值、先复现后扩展等决策纪律。</x:v>
      </x:c>
      <x:c r="J1000" s="95" t="str">
        <x:v>落实为假设卡、替代解释、可证伪预测、停止规则和证据更新记录。</x:v>
      </x:c>
      <x:c r="K1000" s="95" t="str">
        <x:v>可直接支撑当前EIS-only闭环。</x:v>
      </x:c>
      <x:c r="L1000" s="95" t="str">
        <x:v>M2 扩展与复现（5–12月）</x:v>
      </x:c>
      <x:c r="M1000" s="95" t="str">
        <x:v>按瓶颈接入</x:v>
      </x:c>
      <x:c r="N1000" s="95" t="str">
        <x:v>P2</x:v>
      </x:c>
      <x:c r="O1000" s="95" t="str">
        <x:v>https://www.nist.gov/itl/ai-risk-management-framework</x:v>
      </x:c>
      <x:c r="P1000" s="96" t="str">
        <x:v>待评审</x:v>
      </x:c>
    </x:row>
    <x:row r="1001">
      <x:c r="A1001" s="94" t="str">
        <x:v>T0997</x:v>
      </x:c>
      <x:c r="B1001" s="95" t="str">
        <x:v>可信、安全、运营与思维模型</x:v>
      </x:c>
      <x:c r="C1001" s="95" t="str">
        <x:v>关键思维模型</x:v>
      </x:c>
      <x:c r="D1001" s="95" t="str">
        <x:v>核心必需</x:v>
      </x:c>
      <x:c r="E1001" s="100" t="n">
        <x:v>12</x:v>
      </x:c>
      <x:c r="F1001" s="95" t="str">
        <x:v>两线共用</x:v>
      </x:c>
      <x:c r="G1001" s="95" t="str">
        <x:v>A 证据、假设与科学闭环</x:v>
      </x:c>
      <x:c r="H1001" s="95" t="str">
        <x:v>证据阶梯</x:v>
      </x:c>
      <x:c r="I1001" s="95" t="str">
        <x:v>坚持可证伪、证据阶梯、信息价值、先复现后扩展等决策纪律。</x:v>
      </x:c>
      <x:c r="J1001" s="95" t="str">
        <x:v>落实为假设卡、替代解释、可证伪预测、停止规则和证据更新记录。</x:v>
      </x:c>
      <x:c r="K1001" s="95" t="str">
        <x:v>可直接支撑当前EIS-only闭环。</x:v>
      </x:c>
      <x:c r="L1001" s="95" t="str">
        <x:v>M0 主流程接入（0–2月）</x:v>
      </x:c>
      <x:c r="M1001" s="95" t="str">
        <x:v>首批接入</x:v>
      </x:c>
      <x:c r="N1001" s="95" t="str">
        <x:v>P2</x:v>
      </x:c>
      <x:c r="O1001" s="95" t="str">
        <x:v>https://pubs.acs.org/doi/10.1021/acs.chemrev.4c00055</x:v>
      </x:c>
      <x:c r="P1001" s="96" t="str">
        <x:v>待评审</x:v>
      </x:c>
    </x:row>
    <x:row r="1002">
      <x:c r="A1002" s="94" t="str">
        <x:v>T0998</x:v>
      </x:c>
      <x:c r="B1002" s="95" t="str">
        <x:v>可信、安全、运营与思维模型</x:v>
      </x:c>
      <x:c r="C1002" s="95" t="str">
        <x:v>关键思维模型</x:v>
      </x:c>
      <x:c r="D1002" s="95" t="str">
        <x:v>核心必需</x:v>
      </x:c>
      <x:c r="E1002" s="100" t="n">
        <x:v>11</x:v>
      </x:c>
      <x:c r="F1002" s="95" t="str">
        <x:v>两线共用</x:v>
      </x:c>
      <x:c r="G1002" s="95" t="str">
        <x:v>A 证据、假设与科学闭环</x:v>
      </x:c>
      <x:c r="H1002" s="95" t="str">
        <x:v>可证伪性</x:v>
      </x:c>
      <x:c r="I1002" s="95" t="str">
        <x:v>坚持可证伪、证据阶梯、信息价值、先复现后扩展等决策纪律。</x:v>
      </x:c>
      <x:c r="J1002" s="95" t="str">
        <x:v>落实为假设卡、替代解释、可证伪预测、停止规则和证据更新记录。</x:v>
      </x:c>
      <x:c r="K1002" s="95" t="str">
        <x:v>可直接支撑当前EIS-only闭环。</x:v>
      </x:c>
      <x:c r="L1002" s="95" t="str">
        <x:v>M1 前瞻验证（2–5月）</x:v>
      </x:c>
      <x:c r="M1002" s="95" t="str">
        <x:v>第二批接入</x:v>
      </x:c>
      <x:c r="N1002" s="95" t="str">
        <x:v>P2</x:v>
      </x:c>
      <x:c r="O1002" s="95" t="str">
        <x:v>https://www.itl.nist.gov/div898/handbook/</x:v>
      </x:c>
      <x:c r="P1002" s="96" t="str">
        <x:v>待评审</x:v>
      </x:c>
    </x:row>
    <x:row r="1003">
      <x:c r="A1003" s="94" t="str">
        <x:v>T0999</x:v>
      </x:c>
      <x:c r="B1003" s="95" t="str">
        <x:v>可信、安全、运营与思维模型</x:v>
      </x:c>
      <x:c r="C1003" s="95" t="str">
        <x:v>关键思维模型</x:v>
      </x:c>
      <x:c r="D1003" s="95" t="str">
        <x:v>核心必需</x:v>
      </x:c>
      <x:c r="E1003" s="100" t="n">
        <x:v>11</x:v>
      </x:c>
      <x:c r="F1003" s="95" t="str">
        <x:v>两线共用</x:v>
      </x:c>
      <x:c r="G1003" s="95" t="str">
        <x:v>A 证据、假设与科学闭环</x:v>
      </x:c>
      <x:c r="H1003" s="95" t="str">
        <x:v>多证据三角验证</x:v>
      </x:c>
      <x:c r="I1003" s="95" t="str">
        <x:v>坚持可证伪、证据阶梯、信息价值、先复现后扩展等决策纪律。</x:v>
      </x:c>
      <x:c r="J1003" s="95" t="str">
        <x:v>落实为假设卡、替代解释、可证伪预测、停止规则和证据更新记录。</x:v>
      </x:c>
      <x:c r="K1003" s="95" t="str">
        <x:v>可直接支撑当前EIS-only闭环。</x:v>
      </x:c>
      <x:c r="L1003" s="95" t="str">
        <x:v>M1 前瞻验证（2–5月）</x:v>
      </x:c>
      <x:c r="M1003" s="95" t="str">
        <x:v>第二批接入</x:v>
      </x:c>
      <x:c r="N1003" s="95" t="str">
        <x:v>P2</x:v>
      </x:c>
      <x:c r="O1003" s="95" t="str">
        <x:v>https://www.nature.com/articles/sdata201618</x:v>
      </x:c>
      <x:c r="P1003" s="96" t="str">
        <x:v>待评审</x:v>
      </x:c>
    </x:row>
    <x:row r="1004">
      <x:c r="A1004" s="97" t="str">
        <x:v>T1000</x:v>
      </x:c>
      <x:c r="B1004" s="98" t="str">
        <x:v>可信、安全、运营与思维模型</x:v>
      </x:c>
      <x:c r="C1004" s="98" t="str">
        <x:v>关键思维模型</x:v>
      </x:c>
      <x:c r="D1004" s="98" t="str">
        <x:v>核心必需</x:v>
      </x:c>
      <x:c r="E1004" s="101" t="n">
        <x:v>12</x:v>
      </x:c>
      <x:c r="F1004" s="98" t="str">
        <x:v>两线共用</x:v>
      </x:c>
      <x:c r="G1004" s="98" t="str">
        <x:v>A 证据、假设与科学闭环</x:v>
      </x:c>
      <x:c r="H1004" s="98" t="str">
        <x:v>先复现后扩展</x:v>
      </x:c>
      <x:c r="I1004" s="98" t="str">
        <x:v>坚持可证伪、证据阶梯、信息价值、先复现后扩展等决策纪律。</x:v>
      </x:c>
      <x:c r="J1004" s="98" t="str">
        <x:v>落实为假设卡、替代解释、可证伪预测、停止规则和证据更新记录。</x:v>
      </x:c>
      <x:c r="K1004" s="98" t="str">
        <x:v>可直接支撑当前EIS-only闭环。</x:v>
      </x:c>
      <x:c r="L1004" s="98" t="str">
        <x:v>M0 主流程接入（0–2月）</x:v>
      </x:c>
      <x:c r="M1004" s="98" t="str">
        <x:v>首批接入</x:v>
      </x:c>
      <x:c r="N1004" s="98" t="str">
        <x:v>P2</x:v>
      </x:c>
      <x:c r="O1004" s="98" t="str">
        <x:v>https://www.nist.gov/itl/ai-risk-management-framework</x:v>
      </x:c>
      <x:c r="P1004" s="99" t="str">
        <x:v>待评审</x:v>
      </x:c>
    </x:row>
  </x:sheetData>
  <x:mergeCells>
    <x:mergeCell ref="A1:P1"/>
    <x:mergeCell ref="A2:P2"/>
  </x:mergeCells>
  <x:conditionalFormatting sqref="E5:E1004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{1FAFE3B7-6C8B-D232-954E-04F2F5C0F68A}</x14:id>
        </x:ext>
      </x:extLst>
    </x:cfRule>
  </x:conditionalFormatting>
  <x:conditionalFormatting sqref="D5:D1004">
    <x:cfRule type="expression" dxfId="4" priority="2">
      <x:formula>D5="核心必需"</x:formula>
    </x:cfRule>
    <x:cfRule type="expression" dxfId="5" priority="3">
      <x:formula>D5="关键支撑"</x:formula>
    </x:cfRule>
    <x:cfRule type="expression" dxfId="6" priority="4">
      <x:formula>D5="研究储备"</x:formula>
    </x:cfRule>
    <x:cfRule type="expression" dxfId="7" priority="5">
      <x:formula>D5="当前低优先"</x:formula>
    </x:cfRule>
  </x:conditionalFormatting>
  <x:dataValidations count="1">
    <x:dataValidation type="list" sqref="P5:P1004">
      <x:formula1>"待评审,待接入,开发中,已接入,已验证,暂缓"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4cf268a000462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FAFE3B7-6C8B-D232-954E-04F2F5C0F68A}">
            <x14:dataBar gradient="1">
              <x14:cfvo type="min"/>
              <x14:cfvo type="max"/>
              <x14:fillColor rgb="FF2563EB"/>
            </x14:dataBar>
          </x14:cfRule>
          <xm:sqref>E5:E1004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10" hidden="0" customWidth="1"/>
    <x:col min="4" max="4" width="26" hidden="0" customWidth="1"/>
    <x:col min="5" max="5" width="22" hidden="0" customWidth="1"/>
    <x:col min="6" max="6" width="16" hidden="0" customWidth="1"/>
    <x:col min="7" max="7" width="38" hidden="0" customWidth="1"/>
    <x:col min="8" max="8" width="38" hidden="0" customWidth="1"/>
    <x:col min="9" max="9" width="34" hidden="0" customWidth="1"/>
    <x:col min="10" max="10" width="34" hidden="0" customWidth="1"/>
  </x:cols>
  <x:sheetData>
    <x:row r="1" ht="30" customHeight="1">
      <x:c r="A1" s="78" t="str">
        <x:v>首批接入的80项：最小可信闭环</x:v>
      </x:c>
      <x:c r="B1" s="78"/>
      <x:c r="C1" s="78"/>
      <x:c r="D1" s="78"/>
      <x:c r="E1" s="78"/>
      <x:c r="F1" s="78"/>
      <x:c r="G1" s="78"/>
      <x:c r="H1" s="78"/>
      <x:c r="I1" s="78"/>
      <x:c r="J1" s="78"/>
    </x:row>
    <x:row r="2" ht="36" customHeight="1">
      <x:c r="A2" s="82" t="str">
        <x:v>优先级不是“最先进”，而是“缺了就无法对真实实验结果负责”。建议先把已完成但未接入的记忆、自检和置信校准嵌入这80项主流程，再扩展其他技术。</x:v>
      </x:c>
      <x:c r="B2" s="82"/>
      <x:c r="C2" s="82"/>
      <x:c r="D2" s="82"/>
      <x:c r="E2" s="82"/>
      <x:c r="F2" s="82"/>
      <x:c r="G2" s="82"/>
      <x:c r="H2" s="82"/>
      <x:c r="I2" s="82"/>
      <x:c r="J2" s="82"/>
    </x:row>
    <x:row r="4" ht="30" customHeight="1">
      <x:c r="A4" s="91" t="str">
        <x:v>序号</x:v>
      </x:c>
      <x:c r="B4" s="92" t="str">
        <x:v>模块</x:v>
      </x:c>
      <x:c r="C4" s="92" t="str">
        <x:v>编号</x:v>
      </x:c>
      <x:c r="D4" s="92" t="str">
        <x:v>一级技术域</x:v>
      </x:c>
      <x:c r="E4" s="92" t="str">
        <x:v>技术点</x:v>
      </x:c>
      <x:c r="F4" s="92" t="str">
        <x:v>适用模式</x:v>
      </x:c>
      <x:c r="G4" s="92" t="str">
        <x:v>M0接入动作</x:v>
      </x:c>
      <x:c r="H4" s="92" t="str">
        <x:v>阶段验收</x:v>
      </x:c>
      <x:c r="I4" s="92" t="str">
        <x:v>原工程验收问题</x:v>
      </x:c>
      <x:c r="J4" s="93" t="str">
        <x:v>来源URL</x:v>
      </x:c>
    </x:row>
    <x:row r="5">
      <x:c r="A5" s="102" t="n">
        <x:v>1</x:v>
      </x:c>
      <x:c r="B5" s="95" t="str">
        <x:v>M1 科学闭环与证据</x:v>
      </x:c>
      <x:c r="C5" s="95" t="str">
        <x:v>T0001</x:v>
      </x:c>
      <x:c r="D5" s="95" t="str">
        <x:v>科学闭环与自主科研范式</x:v>
      </x:c>
      <x:c r="E5" s="95" t="str">
        <x:v>目标形式化</x:v>
      </x:c>
      <x:c r="F5" s="95" t="str">
        <x:v>迁移发现</x:v>
      </x:c>
      <x:c r="G5" s="95" t="str">
        <x:v>把该能力接入假设卡、证据更新、负结果和停止规则；每轮输出Supported/Refuted/Inconclusive/Invalid。</x:v>
      </x:c>
      <x:c r="H5" s="95" t="str">
        <x:v>每个实验有预注册假设、替代解释、反驳条件和停止规则；负结果不丢失。</x:v>
      </x:c>
      <x:c r="I5" s="95" t="str">
        <x:v>闭环输入、可证伪假设、更新规则与停止条件是否明确？</x:v>
      </x:c>
      <x:c r="J5" s="96" t="str">
        <x:v>https://pubs.acs.org/doi/10.1021/acs.chemrev.4c00055</x:v>
      </x:c>
    </x:row>
    <x:row r="6">
      <x:c r="A6" s="102" t="n">
        <x:v>2</x:v>
      </x:c>
      <x:c r="B6" s="95" t="str">
        <x:v>M1 科学闭环与证据</x:v>
      </x:c>
      <x:c r="C6" s="95" t="str">
        <x:v>T0002</x:v>
      </x:c>
      <x:c r="D6" s="95" t="str">
        <x:v>科学闭环与自主科研范式</x:v>
      </x:c>
      <x:c r="E6" s="95" t="str">
        <x:v>假设生成</x:v>
      </x:c>
      <x:c r="F6" s="95" t="str">
        <x:v>迁移发现</x:v>
      </x:c>
      <x:c r="G6" s="95" t="str">
        <x:v>把该能力接入假设卡、证据更新、负结果和停止规则；每轮输出Supported/Refuted/Inconclusive/Invalid。</x:v>
      </x:c>
      <x:c r="H6" s="95" t="str">
        <x:v>每个实验有预注册假设、替代解释、反驳条件和停止规则；负结果不丢失。</x:v>
      </x:c>
      <x:c r="I6" s="95" t="str">
        <x:v>闭环输入、可证伪假设、更新规则与停止条件是否明确？</x:v>
      </x:c>
      <x:c r="J6" s="96" t="str">
        <x:v>https://royalsocietypublishing.org/rsos/article/12/7/250646/235354/Autonomous-self-driving-laboratories-a-review-of</x:v>
      </x:c>
    </x:row>
    <x:row r="7">
      <x:c r="A7" s="102" t="n">
        <x:v>3</x:v>
      </x:c>
      <x:c r="B7" s="95" t="str">
        <x:v>M1 科学闭环与证据</x:v>
      </x:c>
      <x:c r="C7" s="95" t="str">
        <x:v>T0003</x:v>
      </x:c>
      <x:c r="D7" s="95" t="str">
        <x:v>科学闭环与自主科研范式</x:v>
      </x:c>
      <x:c r="E7" s="95" t="str">
        <x:v>文献证据检索</x:v>
      </x:c>
      <x:c r="F7" s="95" t="str">
        <x:v>迁移发现</x:v>
      </x:c>
      <x:c r="G7" s="95" t="str">
        <x:v>把该能力接入假设卡、证据更新、负结果和停止规则；每轮输出Supported/Refuted/Inconclusive/Invalid。</x:v>
      </x:c>
      <x:c r="H7" s="95" t="str">
        <x:v>每个实验有预注册假设、替代解释、反驳条件和停止规则；负结果不丢失。</x:v>
      </x:c>
      <x:c r="I7" s="95" t="str">
        <x:v>闭环输入、可证伪假设、更新规则与停止条件是否明确？</x:v>
      </x:c>
      <x:c r="J7" s="96" t="str">
        <x:v>https://www.science.org/doi/10.1126/scirobotics.aat5559</x:v>
      </x:c>
    </x:row>
    <x:row r="8">
      <x:c r="A8" s="102" t="n">
        <x:v>4</x:v>
      </x:c>
      <x:c r="B8" s="95" t="str">
        <x:v>M1 科学闭环与证据</x:v>
      </x:c>
      <x:c r="C8" s="95" t="str">
        <x:v>T0005</x:v>
      </x:c>
      <x:c r="D8" s="95" t="str">
        <x:v>科学闭环与自主科研范式</x:v>
      </x:c>
      <x:c r="E8" s="95" t="str">
        <x:v>目标—约束翻译</x:v>
      </x:c>
      <x:c r="F8" s="95" t="str">
        <x:v>迁移发现</x:v>
      </x:c>
      <x:c r="G8" s="95" t="str">
        <x:v>把该能力接入假设卡、证据更新、负结果和停止规则；每轮输出Supported/Refuted/Inconclusive/Invalid。</x:v>
      </x:c>
      <x:c r="H8" s="95" t="str">
        <x:v>每个实验有预注册假设、替代解释、反驳条件和停止规则；负结果不丢失。</x:v>
      </x:c>
      <x:c r="I8" s="95" t="str">
        <x:v>闭环输入、可证伪假设、更新规则与停止条件是否明确？</x:v>
      </x:c>
      <x:c r="J8" s="96" t="str">
        <x:v>https://www.nature.com/articles/s41586-023-06792-0</x:v>
      </x:c>
    </x:row>
    <x:row r="9">
      <x:c r="A9" s="102" t="n">
        <x:v>5</x:v>
      </x:c>
      <x:c r="B9" s="95" t="str">
        <x:v>M1 科学闭环与证据</x:v>
      </x:c>
      <x:c r="C9" s="95" t="str">
        <x:v>T0015</x:v>
      </x:c>
      <x:c r="D9" s="95" t="str">
        <x:v>科学闭环与自主科研范式</x:v>
      </x:c>
      <x:c r="E9" s="95" t="str">
        <x:v>假设修正</x:v>
      </x:c>
      <x:c r="F9" s="95" t="str">
        <x:v>迁移发现</x:v>
      </x:c>
      <x:c r="G9" s="95" t="str">
        <x:v>把该能力接入假设卡、证据更新、负结果和停止规则；每轮输出Supported/Refuted/Inconclusive/Invalid。</x:v>
      </x:c>
      <x:c r="H9" s="95" t="str">
        <x:v>每个实验有预注册假设、替代解释、反驳条件和停止规则；负结果不丢失。</x:v>
      </x:c>
      <x:c r="I9" s="95" t="str">
        <x:v>闭环输入、可证伪假设、更新规则与停止条件是否明确？</x:v>
      </x:c>
      <x:c r="J9" s="96" t="str">
        <x:v>https://www.nature.com/articles/s41586-023-06792-0</x:v>
      </x:c>
    </x:row>
    <x:row r="10">
      <x:c r="A10" s="102" t="n">
        <x:v>6</x:v>
      </x:c>
      <x:c r="B10" s="95" t="str">
        <x:v>M1 科学闭环与证据</x:v>
      </x:c>
      <x:c r="C10" s="95" t="str">
        <x:v>T0016</x:v>
      </x:c>
      <x:c r="D10" s="95" t="str">
        <x:v>科学闭环与自主科研范式</x:v>
      </x:c>
      <x:c r="E10" s="95" t="str">
        <x:v>停止准则</x:v>
      </x:c>
      <x:c r="F10" s="95" t="str">
        <x:v>迁移发现</x:v>
      </x:c>
      <x:c r="G10" s="95" t="str">
        <x:v>把该能力接入假设卡、证据更新、负结果和停止规则；每轮输出Supported/Refuted/Inconclusive/Invalid。</x:v>
      </x:c>
      <x:c r="H10" s="95" t="str">
        <x:v>每个实验有预注册假设、替代解释、反驳条件和停止规则；负结果不丢失。</x:v>
      </x:c>
      <x:c r="I10" s="95" t="str">
        <x:v>闭环输入、可证伪假设、更新规则与停止条件是否明确？</x:v>
      </x:c>
      <x:c r="J10" s="96" t="str">
        <x:v>https://pubs.acs.org/doi/10.1021/acs.chemrev.4c00055</x:v>
      </x:c>
    </x:row>
    <x:row r="11">
      <x:c r="A11" s="102" t="n">
        <x:v>7</x:v>
      </x:c>
      <x:c r="B11" s="95" t="str">
        <x:v>M1 科学闭环与证据</x:v>
      </x:c>
      <x:c r="C11" s="95" t="str">
        <x:v>T0018</x:v>
      </x:c>
      <x:c r="D11" s="95" t="str">
        <x:v>科学闭环与自主科研范式</x:v>
      </x:c>
      <x:c r="E11" s="95" t="str">
        <x:v>独立重复</x:v>
      </x:c>
      <x:c r="F11" s="95" t="str">
        <x:v>迁移发现</x:v>
      </x:c>
      <x:c r="G11" s="95" t="str">
        <x:v>把该能力接入假设卡、证据更新、负结果和停止规则；每轮输出Supported/Refuted/Inconclusive/Invalid。</x:v>
      </x:c>
      <x:c r="H11" s="95" t="str">
        <x:v>每个实验有预注册假设、替代解释、反驳条件和停止规则；负结果不丢失。</x:v>
      </x:c>
      <x:c r="I11" s="95" t="str">
        <x:v>闭环输入、可证伪假设、更新规则与停止条件是否明确？</x:v>
      </x:c>
      <x:c r="J11" s="96" t="str">
        <x:v>https://www.science.org/doi/10.1126/scirobotics.aat5559</x:v>
      </x:c>
    </x:row>
    <x:row r="12">
      <x:c r="A12" s="102" t="n">
        <x:v>8</x:v>
      </x:c>
      <x:c r="B12" s="95" t="str">
        <x:v>M1 科学闭环与证据</x:v>
      </x:c>
      <x:c r="C12" s="95" t="str">
        <x:v>T0019</x:v>
      </x:c>
      <x:c r="D12" s="95" t="str">
        <x:v>科学闭环与自主科研范式</x:v>
      </x:c>
      <x:c r="E12" s="95" t="str">
        <x:v>负结果捕获</x:v>
      </x:c>
      <x:c r="F12" s="95" t="str">
        <x:v>迁移发现</x:v>
      </x:c>
      <x:c r="G12" s="95" t="str">
        <x:v>把该能力接入假设卡、证据更新、负结果和停止规则；每轮输出Supported/Refuted/Inconclusive/Invalid。</x:v>
      </x:c>
      <x:c r="H12" s="95" t="str">
        <x:v>每个实验有预注册假设、替代解释、反驳条件和停止规则；负结果不丢失。</x:v>
      </x:c>
      <x:c r="I12" s="95" t="str">
        <x:v>闭环输入、可证伪假设、更新规则与停止条件是否明确？</x:v>
      </x:c>
      <x:c r="J12" s="96" t="str">
        <x:v>https://www.nature.com/articles/s41586-023-06734-w</x:v>
      </x:c>
    </x:row>
    <x:row r="13">
      <x:c r="A13" s="102" t="n">
        <x:v>9</x:v>
      </x:c>
      <x:c r="B13" s="95" t="str">
        <x:v>M2 架构与协议</x:v>
      </x:c>
      <x:c r="C13" s="95" t="str">
        <x:v>T0045</x:v>
      </x:c>
      <x:c r="D13" s="95" t="str">
        <x:v>自主等级与系统架构</x:v>
      </x:c>
      <x:c r="E13" s="95" t="str">
        <x:v>自适应自主权</x:v>
      </x:c>
      <x:c r="F13" s="95" t="str">
        <x:v>两线共用</x:v>
      </x:c>
      <x:c r="G13" s="95" t="str">
        <x:v>以状态机/DAG编排；LLM、数值服务、协议编译和仪器执行分层；所有动作可回滚、可审计。</x:v>
      </x:c>
      <x:c r="H13" s="95" t="str">
        <x:v>LLM不能直接越权控制仪器；中断后可从检查点恢复；同一输入可确定性回放。</x:v>
      </x:c>
      <x:c r="I13" s="95" t="str">
        <x:v>正常、降级、失效与人工接管状态是否都有确定行为？</x:v>
      </x:c>
      <x:c r="J13" s="96" t="str">
        <x:v>https://www.science.org/doi/10.1126/scirobotics.adm6991</x:v>
      </x:c>
    </x:row>
    <x:row r="14">
      <x:c r="A14" s="102" t="n">
        <x:v>10</x:v>
      </x:c>
      <x:c r="B14" s="95" t="str">
        <x:v>M2 架构与协议</x:v>
      </x:c>
      <x:c r="C14" s="95" t="str">
        <x:v>T0058</x:v>
      </x:c>
      <x:c r="D14" s="95" t="str">
        <x:v>自主等级与系统架构</x:v>
      </x:c>
      <x:c r="E14" s="95" t="str">
        <x:v>工作流DAG</x:v>
      </x:c>
      <x:c r="F14" s="95" t="str">
        <x:v>两线共用</x:v>
      </x:c>
      <x:c r="G14" s="95" t="str">
        <x:v>以状态机/DAG编排；LLM、数值服务、协议编译和仪器执行分层；所有动作可回滚、可审计。</x:v>
      </x:c>
      <x:c r="H14" s="95" t="str">
        <x:v>LLM不能直接越权控制仪器；中断后可从检查点恢复；同一输入可确定性回放。</x:v>
      </x:c>
      <x:c r="I14" s="95" t="str">
        <x:v>正常、降级、失效与人工接管状态是否都有确定行为？</x:v>
      </x:c>
      <x:c r="J14" s="96" t="str">
        <x:v>https://www.nature.com/articles/s42004-026-01932-9</x:v>
      </x:c>
    </x:row>
    <x:row r="15">
      <x:c r="A15" s="102" t="n">
        <x:v>11</x:v>
      </x:c>
      <x:c r="B15" s="95" t="str">
        <x:v>M2 架构与协议</x:v>
      </x:c>
      <x:c r="C15" s="95" t="str">
        <x:v>T0073</x:v>
      </x:c>
      <x:c r="D15" s="95" t="str">
        <x:v>自主等级与系统架构</x:v>
      </x:c>
      <x:c r="E15" s="95" t="str">
        <x:v>策略—执行分离</x:v>
      </x:c>
      <x:c r="F15" s="95" t="str">
        <x:v>两线共用</x:v>
      </x:c>
      <x:c r="G15" s="95" t="str">
        <x:v>以状态机/DAG编排；LLM、数值服务、协议编译和仪器执行分层；所有动作可回滚、可审计。</x:v>
      </x:c>
      <x:c r="H15" s="95" t="str">
        <x:v>LLM不能直接越权控制仪器；中断后可从检查点恢复；同一输入可确定性回放。</x:v>
      </x:c>
      <x:c r="I15" s="95" t="str">
        <x:v>正常、降级、失效与人工接管状态是否都有确定行为？</x:v>
      </x:c>
      <x:c r="J15" s="96" t="str">
        <x:v>https://www.nature.com/articles/s42004-026-01932-9</x:v>
      </x:c>
    </x:row>
    <x:row r="16">
      <x:c r="A16" s="102" t="n">
        <x:v>12</x:v>
      </x:c>
      <x:c r="B16" s="95" t="str">
        <x:v>M2 架构与协议</x:v>
      </x:c>
      <x:c r="C16" s="95" t="str">
        <x:v>T0074</x:v>
      </x:c>
      <x:c r="D16" s="95" t="str">
        <x:v>自主等级与系统架构</x:v>
      </x:c>
      <x:c r="E16" s="95" t="str">
        <x:v>模型—实验分离</x:v>
      </x:c>
      <x:c r="F16" s="95" t="str">
        <x:v>两线共用</x:v>
      </x:c>
      <x:c r="G16" s="95" t="str">
        <x:v>以状态机/DAG编排；LLM、数值服务、协议编译和仪器执行分层；所有动作可回滚、可审计。</x:v>
      </x:c>
      <x:c r="H16" s="95" t="str">
        <x:v>LLM不能直接越权控制仪器；中断后可从检查点恢复；同一输入可确定性回放。</x:v>
      </x:c>
      <x:c r="I16" s="95" t="str">
        <x:v>正常、降级、失效与人工接管状态是否都有确定行为？</x:v>
      </x:c>
      <x:c r="J16" s="96" t="str">
        <x:v>https://www.science.org/doi/10.1126/scirobotics.aat5559</x:v>
      </x:c>
    </x:row>
    <x:row r="17">
      <x:c r="A17" s="102" t="n">
        <x:v>13</x:v>
      </x:c>
      <x:c r="B17" s="95" t="str">
        <x:v>M2 架构与协议</x:v>
      </x:c>
      <x:c r="C17" s="95" t="str">
        <x:v>T0075</x:v>
      </x:c>
      <x:c r="D17" s="95" t="str">
        <x:v>自主等级与系统架构</x:v>
      </x:c>
      <x:c r="E17" s="95" t="str">
        <x:v>沙箱执行</x:v>
      </x:c>
      <x:c r="F17" s="95" t="str">
        <x:v>两线共用</x:v>
      </x:c>
      <x:c r="G17" s="95" t="str">
        <x:v>以状态机/DAG编排；LLM、数值服务、协议编译和仪器执行分层；所有动作可回滚、可审计。</x:v>
      </x:c>
      <x:c r="H17" s="95" t="str">
        <x:v>LLM不能直接越权控制仪器；中断后可从检查点恢复；同一输入可确定性回放。</x:v>
      </x:c>
      <x:c r="I17" s="95" t="str">
        <x:v>正常、降级、失效与人工接管状态是否都有确定行为？</x:v>
      </x:c>
      <x:c r="J17" s="96" t="str">
        <x:v>https://www.science.org/doi/10.1126/scirobotics.adm6991</x:v>
      </x:c>
    </x:row>
    <x:row r="18">
      <x:c r="A18" s="102" t="n">
        <x:v>14</x:v>
      </x:c>
      <x:c r="B18" s="95" t="str">
        <x:v>M2 架构与协议</x:v>
      </x:c>
      <x:c r="C18" s="95" t="str">
        <x:v>T0079</x:v>
      </x:c>
      <x:c r="D18" s="95" t="str">
        <x:v>自主等级与系统架构</x:v>
      </x:c>
      <x:c r="E18" s="95" t="str">
        <x:v>全栈可观测性</x:v>
      </x:c>
      <x:c r="F18" s="95" t="str">
        <x:v>两线共用</x:v>
      </x:c>
      <x:c r="G18" s="95" t="str">
        <x:v>以状态机/DAG编排；LLM、数值服务、协议编译和仪器执行分层；所有动作可回滚、可审计。</x:v>
      </x:c>
      <x:c r="H18" s="95" t="str">
        <x:v>LLM不能直接越权控制仪器；中断后可从检查点恢复；同一输入可确定性回放。</x:v>
      </x:c>
      <x:c r="I18" s="95" t="str">
        <x:v>正常、降级、失效与人工接管状态是否都有确定行为？</x:v>
      </x:c>
      <x:c r="J18" s="96" t="str">
        <x:v>https://www.science.org/doi/10.1126/scirobotics.aat5559</x:v>
      </x:c>
    </x:row>
    <x:row r="19">
      <x:c r="A19" s="102" t="n">
        <x:v>15</x:v>
      </x:c>
      <x:c r="B19" s="95" t="str">
        <x:v>M2 架构与协议</x:v>
      </x:c>
      <x:c r="C19" s="95" t="str">
        <x:v>T0082</x:v>
      </x:c>
      <x:c r="D19" s="95" t="str">
        <x:v>实验流程与机器可执行协议</x:v>
      </x:c>
      <x:c r="E19" s="95" t="str">
        <x:v>机器可读协议</x:v>
      </x:c>
      <x:c r="F19" s="95" t="str">
        <x:v>两线共用</x:v>
      </x:c>
      <x:c r="G19" s="95" t="str">
        <x:v>以状态机/DAG编排；LLM、数值服务、协议编译和仪器执行分层；所有动作可回滚、可审计。</x:v>
      </x:c>
      <x:c r="H19" s="95" t="str">
        <x:v>LLM不能直接越权控制仪器；中断后可从检查点恢复；同一输入可确定性回放。</x:v>
      </x:c>
      <x:c r="I19" s="95" t="str">
        <x:v>输入/输出、单位、前后置条件、异常与验收标准能否被机器检查？</x:v>
      </x:c>
      <x:c r="J19" s="96" t="str">
        <x:v>https://www.science.org/doi/10.1126/scirobotics.aat5559</x:v>
      </x:c>
    </x:row>
    <x:row r="20">
      <x:c r="A20" s="102" t="n">
        <x:v>16</x:v>
      </x:c>
      <x:c r="B20" s="95" t="str">
        <x:v>M2 架构与协议</x:v>
      </x:c>
      <x:c r="C20" s="95" t="str">
        <x:v>T0109</x:v>
      </x:c>
      <x:c r="D20" s="95" t="str">
        <x:v>实验流程与机器可执行协议</x:v>
      </x:c>
      <x:c r="E20" s="95" t="str">
        <x:v>协议—数据溯源绑定</x:v>
      </x:c>
      <x:c r="F20" s="95" t="str">
        <x:v>两线共用</x:v>
      </x:c>
      <x:c r="G20" s="95" t="str">
        <x:v>以状态机/DAG编排；LLM、数值服务、协议编译和仪器执行分层；所有动作可回滚、可审计。</x:v>
      </x:c>
      <x:c r="H20" s="95" t="str">
        <x:v>LLM不能直接越权控制仪器；中断后可从检查点恢复；同一输入可确定性回放。</x:v>
      </x:c>
      <x:c r="I20" s="95" t="str">
        <x:v>输入/输出、单位、前后置条件、异常与验收标准能否被机器检查？</x:v>
      </x:c>
      <x:c r="J20" s="96" t="str">
        <x:v>https://sila-standard.com/standards/</x:v>
      </x:c>
    </x:row>
    <x:row r="21">
      <x:c r="A21" s="102" t="n">
        <x:v>17</x:v>
      </x:c>
      <x:c r="B21" s="95" t="str">
        <x:v>M3 EIS计量与溯源</x:v>
      </x:c>
      <x:c r="C21" s="95" t="str">
        <x:v>T0343</x:v>
      </x:c>
      <x:c r="D21" s="95" t="str">
        <x:v>在线检测、分析仪器与计量</x:v>
      </x:c>
      <x:c r="E21" s="95" t="str">
        <x:v>电化学工作站</x:v>
      </x:c>
      <x:c r="F21" s="95" t="str">
        <x:v>实验执行</x:v>
      </x:c>
      <x:c r="G21" s="95" t="str">
        <x:v>建立原始谱、温度/水分/几何、样品ID和PROV链；任何σ和图可从原始数据复算。</x:v>
      </x:c>
      <x:c r="H21" s="95" t="str">
        <x:v>必填元数据完整；原始谱不可变；派生指标与版本可追溯。</x:v>
      </x:c>
      <x:c r="I21" s="95" t="str">
        <x:v>测量方法、校准状态、检出限、漂移与不确定度是否可追溯？</x:v>
      </x:c>
      <x:c r="J21" s="96" t="str">
        <x:v>https://www.nature.com/articles/s41586-023-06734-w</x:v>
      </x:c>
    </x:row>
    <x:row r="22">
      <x:c r="A22" s="102" t="n">
        <x:v>18</x:v>
      </x:c>
      <x:c r="B22" s="95" t="str">
        <x:v>M3 EIS计量与溯源</x:v>
      </x:c>
      <x:c r="C22" s="95" t="str">
        <x:v>T0351</x:v>
      </x:c>
      <x:c r="D22" s="95" t="str">
        <x:v>在线检测、分析仪器与计量</x:v>
      </x:c>
      <x:c r="E22" s="95" t="str">
        <x:v>水分测定</x:v>
      </x:c>
      <x:c r="F22" s="95" t="str">
        <x:v>实验执行</x:v>
      </x:c>
      <x:c r="G22" s="95" t="str">
        <x:v>建立原始谱、温度/水分/几何、样品ID和PROV链；任何σ和图可从原始数据复算。</x:v>
      </x:c>
      <x:c r="H22" s="95" t="str">
        <x:v>必填元数据完整；原始谱不可变；派生指标与版本可追溯。</x:v>
      </x:c>
      <x:c r="I22" s="95" t="str">
        <x:v>测量方法、校准状态、检出限、漂移与不确定度是否可追溯？</x:v>
      </x:c>
      <x:c r="J22" s="96" t="str">
        <x:v>https://www.nature.com/articles/s41586-023-06734-w</x:v>
      </x:c>
    </x:row>
    <x:row r="23">
      <x:c r="A23" s="102" t="n">
        <x:v>19</x:v>
      </x:c>
      <x:c r="B23" s="95" t="str">
        <x:v>M3 EIS计量与溯源</x:v>
      </x:c>
      <x:c r="C23" s="95" t="str">
        <x:v>T0353</x:v>
      </x:c>
      <x:c r="D23" s="95" t="str">
        <x:v>在线检测、分析仪器与计量</x:v>
      </x:c>
      <x:c r="E23" s="95" t="str">
        <x:v>温度计量</x:v>
      </x:c>
      <x:c r="F23" s="95" t="str">
        <x:v>实验执行</x:v>
      </x:c>
      <x:c r="G23" s="95" t="str">
        <x:v>建立原始谱、温度/水分/几何、样品ID和PROV链；任何σ和图可从原始数据复算。</x:v>
      </x:c>
      <x:c r="H23" s="95" t="str">
        <x:v>必填元数据完整；原始谱不可变；派生指标与版本可追溯。</x:v>
      </x:c>
      <x:c r="I23" s="95" t="str">
        <x:v>测量方法、校准状态、检出限、漂移与不确定度是否可追溯？</x:v>
      </x:c>
      <x:c r="J23" s="96" t="str">
        <x:v>https://pubs.acs.org/doi/10.1021/acs.chemrev.4c00055</x:v>
      </x:c>
    </x:row>
    <x:row r="24">
      <x:c r="A24" s="102" t="n">
        <x:v>20</x:v>
      </x:c>
      <x:c r="B24" s="95" t="str">
        <x:v>M3 EIS计量与溯源</x:v>
      </x:c>
      <x:c r="C24" s="95" t="str">
        <x:v>T0360</x:v>
      </x:c>
      <x:c r="D24" s="95" t="str">
        <x:v>在线检测、分析仪器与计量</x:v>
      </x:c>
      <x:c r="E24" s="95" t="str">
        <x:v>计量溯源</x:v>
      </x:c>
      <x:c r="F24" s="95" t="str">
        <x:v>实验执行</x:v>
      </x:c>
      <x:c r="G24" s="95" t="str">
        <x:v>建立原始谱、温度/水分/几何、样品ID和PROV链；任何σ和图可从原始数据复算。</x:v>
      </x:c>
      <x:c r="H24" s="95" t="str">
        <x:v>必填元数据完整；原始谱不可变；派生指标与版本可追溯。</x:v>
      </x:c>
      <x:c r="I24" s="95" t="str">
        <x:v>测量方法、校准状态、检出限、漂移与不确定度是否可追溯？</x:v>
      </x:c>
      <x:c r="J24" s="96" t="str">
        <x:v>https://www.nature.com/articles/s41467-024-47210-x</x:v>
      </x:c>
    </x:row>
    <x:row r="25">
      <x:c r="A25" s="102" t="n">
        <x:v>21</x:v>
      </x:c>
      <x:c r="B25" s="95" t="str">
        <x:v>M3 EIS计量与溯源</x:v>
      </x:c>
      <x:c r="C25" s="95" t="str">
        <x:v>T0411</x:v>
      </x:c>
      <x:c r="D25" s="95" t="str">
        <x:v>数据基础设施、FAIR、语义与溯源</x:v>
      </x:c>
      <x:c r="E25" s="95" t="str">
        <x:v>样品唯一ID</x:v>
      </x:c>
      <x:c r="F25" s="95" t="str">
        <x:v>两线共用</x:v>
      </x:c>
      <x:c r="G25" s="95" t="str">
        <x:v>建立原始谱、温度/水分/几何、样品ID和PROV链；任何σ和图可从原始数据复算。</x:v>
      </x:c>
      <x:c r="H25" s="95" t="str">
        <x:v>必填元数据完整；原始谱不可变；派生指标与版本可追溯。</x:v>
      </x:c>
      <x:c r="I25" s="95" t="str">
        <x:v>数据是否具备唯一身份、上下文、版本、血缘、质量和访问策略？</x:v>
      </x:c>
      <x:c r="J25" s="96" t="str">
        <x:v>https://www.nature.com/articles/sdata201618</x:v>
      </x:c>
    </x:row>
    <x:row r="26">
      <x:c r="A26" s="102" t="n">
        <x:v>22</x:v>
      </x:c>
      <x:c r="B26" s="95" t="str">
        <x:v>M3 EIS计量与溯源</x:v>
      </x:c>
      <x:c r="C26" s="95" t="str">
        <x:v>T0418</x:v>
      </x:c>
      <x:c r="D26" s="95" t="str">
        <x:v>数据基础设施、FAIR、语义与溯源</x:v>
      </x:c>
      <x:c r="E26" s="95" t="str">
        <x:v>W3C PROV溯源</x:v>
      </x:c>
      <x:c r="F26" s="95" t="str">
        <x:v>两线共用</x:v>
      </x:c>
      <x:c r="G26" s="95" t="str">
        <x:v>建立原始谱、温度/水分/几何、样品ID和PROV链；任何σ和图可从原始数据复算。</x:v>
      </x:c>
      <x:c r="H26" s="95" t="str">
        <x:v>必填元数据完整；原始谱不可变；派生指标与版本可追溯。</x:v>
      </x:c>
      <x:c r="I26" s="95" t="str">
        <x:v>数据是否具备唯一身份、上下文、版本、血缘、质量和访问策略？</x:v>
      </x:c>
      <x:c r="J26" s="96" t="str">
        <x:v>https://www.researchobject.org/ro-crate/specification/1.1/provenance.html</x:v>
      </x:c>
    </x:row>
    <x:row r="27">
      <x:c r="A27" s="102" t="n">
        <x:v>23</x:v>
      </x:c>
      <x:c r="B27" s="95" t="str">
        <x:v>M3 EIS计量与溯源</x:v>
      </x:c>
      <x:c r="C27" s="95" t="str">
        <x:v>T0421</x:v>
      </x:c>
      <x:c r="D27" s="95" t="str">
        <x:v>数据基础设施、FAIR、语义与溯源</x:v>
      </x:c>
      <x:c r="E27" s="95" t="str">
        <x:v>原始数据不可变</x:v>
      </x:c>
      <x:c r="F27" s="95" t="str">
        <x:v>两线共用</x:v>
      </x:c>
      <x:c r="G27" s="95" t="str">
        <x:v>建立原始谱、温度/水分/几何、样品ID和PROV链；任何σ和图可从原始数据复算。</x:v>
      </x:c>
      <x:c r="H27" s="95" t="str">
        <x:v>必填元数据完整；原始谱不可变；派生指标与版本可追溯。</x:v>
      </x:c>
      <x:c r="I27" s="95" t="str">
        <x:v>数据是否具备唯一身份、上下文、版本、血缘、质量和访问策略？</x:v>
      </x:c>
      <x:c r="J27" s="96" t="str">
        <x:v>https://www.nature.com/articles/sdata201618</x:v>
      </x:c>
    </x:row>
    <x:row r="28">
      <x:c r="A28" s="102" t="n">
        <x:v>24</x:v>
      </x:c>
      <x:c r="B28" s="95" t="str">
        <x:v>M3 EIS计量与溯源</x:v>
      </x:c>
      <x:c r="C28" s="95" t="str">
        <x:v>T0434</x:v>
      </x:c>
      <x:c r="D28" s="95" t="str">
        <x:v>数据基础设施、FAIR、语义与溯源</x:v>
      </x:c>
      <x:c r="E28" s="95" t="str">
        <x:v>单位与量纲管理</x:v>
      </x:c>
      <x:c r="F28" s="95" t="str">
        <x:v>两线共用</x:v>
      </x:c>
      <x:c r="G28" s="95" t="str">
        <x:v>建立原始谱、温度/水分/几何、样品ID和PROV链；任何σ和图可从原始数据复算。</x:v>
      </x:c>
      <x:c r="H28" s="95" t="str">
        <x:v>必填元数据完整；原始谱不可变；派生指标与版本可追溯。</x:v>
      </x:c>
      <x:c r="I28" s="95" t="str">
        <x:v>数据是否具备唯一身份、上下文、版本、血缘、质量和访问策略？</x:v>
      </x:c>
      <x:c r="J28" s="96" t="str">
        <x:v>https://www.allotrope.org/</x:v>
      </x:c>
    </x:row>
    <x:row r="29">
      <x:c r="A29" s="102" t="n">
        <x:v>25</x:v>
      </x:c>
      <x:c r="B29" s="95" t="str">
        <x:v>M4 试验设计</x:v>
      </x:c>
      <x:c r="C29" s="95" t="str">
        <x:v>T0484</x:v>
      </x:c>
      <x:c r="D29" s="95" t="str">
        <x:v>试验设计与统计</x:v>
      </x:c>
      <x:c r="E29" s="95" t="str">
        <x:v>干扰因素</x:v>
      </x:c>
      <x:c r="F29" s="95" t="str">
        <x:v>闭环优化</x:v>
      </x:c>
      <x:c r="G29" s="95" t="str">
        <x:v>用区组、随机化、重复、对照、混料/重复测量和序贯设计分离批次、顺序与配方效应。</x:v>
      </x:c>
      <x:c r="H29" s="95" t="str">
        <x:v>批次/日期/原料批号与配方效应可分离；对照和重复预算有统计依据。</x:v>
      </x:c>
      <x:c r="I29" s="95" t="str">
        <x:v>设计能否区分主效应/交互，控制混杂，并达到预定统计功效？</x:v>
      </x:c>
      <x:c r="J29" s="96" t="str">
        <x:v>https://www.itl.nist.gov/div898/handbook/</x:v>
      </x:c>
    </x:row>
    <x:row r="30">
      <x:c r="A30" s="102" t="n">
        <x:v>26</x:v>
      </x:c>
      <x:c r="B30" s="95" t="str">
        <x:v>M4 试验设计</x:v>
      </x:c>
      <x:c r="C30" s="95" t="str">
        <x:v>T0485</x:v>
      </x:c>
      <x:c r="D30" s="95" t="str">
        <x:v>试验设计与统计</x:v>
      </x:c>
      <x:c r="E30" s="95" t="str">
        <x:v>区组设计</x:v>
      </x:c>
      <x:c r="F30" s="95" t="str">
        <x:v>闭环优化</x:v>
      </x:c>
      <x:c r="G30" s="95" t="str">
        <x:v>用区组、随机化、重复、对照、混料/重复测量和序贯设计分离批次、顺序与配方效应。</x:v>
      </x:c>
      <x:c r="H30" s="95" t="str">
        <x:v>批次/日期/原料批号与配方效应可分离；对照和重复预算有统计依据。</x:v>
      </x:c>
      <x:c r="I30" s="95" t="str">
        <x:v>设计能否区分主效应/交互，控制混杂，并达到预定统计功效？</x:v>
      </x:c>
      <x:c r="J30" s="96" t="str">
        <x:v>https://pubs.acs.org/doi/10.1021/acs.chemrev.4c00055</x:v>
      </x:c>
    </x:row>
    <x:row r="31">
      <x:c r="A31" s="102" t="n">
        <x:v>27</x:v>
      </x:c>
      <x:c r="B31" s="95" t="str">
        <x:v>M4 试验设计</x:v>
      </x:c>
      <x:c r="C31" s="95" t="str">
        <x:v>T0486</x:v>
      </x:c>
      <x:c r="D31" s="95" t="str">
        <x:v>试验设计与统计</x:v>
      </x:c>
      <x:c r="E31" s="95" t="str">
        <x:v>随机化</x:v>
      </x:c>
      <x:c r="F31" s="95" t="str">
        <x:v>闭环优化</x:v>
      </x:c>
      <x:c r="G31" s="95" t="str">
        <x:v>用区组、随机化、重复、对照、混料/重复测量和序贯设计分离批次、顺序与配方效应。</x:v>
      </x:c>
      <x:c r="H31" s="95" t="str">
        <x:v>批次/日期/原料批号与配方效应可分离；对照和重复预算有统计依据。</x:v>
      </x:c>
      <x:c r="I31" s="95" t="str">
        <x:v>设计能否区分主效应/交互，控制混杂，并达到预定统计功效？</x:v>
      </x:c>
      <x:c r="J31" s="96" t="str">
        <x:v>https://www.science.org/doi/10.1126/sciadv.abg4930</x:v>
      </x:c>
    </x:row>
    <x:row r="32">
      <x:c r="A32" s="102" t="n">
        <x:v>28</x:v>
      </x:c>
      <x:c r="B32" s="95" t="str">
        <x:v>M4 试验设计</x:v>
      </x:c>
      <x:c r="C32" s="95" t="str">
        <x:v>T0487</x:v>
      </x:c>
      <x:c r="D32" s="95" t="str">
        <x:v>试验设计与统计</x:v>
      </x:c>
      <x:c r="E32" s="95" t="str">
        <x:v>重复</x:v>
      </x:c>
      <x:c r="F32" s="95" t="str">
        <x:v>闭环优化</x:v>
      </x:c>
      <x:c r="G32" s="95" t="str">
        <x:v>用区组、随机化、重复、对照、混料/重复测量和序贯设计分离批次、顺序与配方效应。</x:v>
      </x:c>
      <x:c r="H32" s="95" t="str">
        <x:v>批次/日期/原料批号与配方效应可分离；对照和重复预算有统计依据。</x:v>
      </x:c>
      <x:c r="I32" s="95" t="str">
        <x:v>设计能否区分主效应/交互，控制混杂，并达到预定统计功效？</x:v>
      </x:c>
      <x:c r="J32" s="96" t="str">
        <x:v>https://proceedings.neurips.cc/paper_files/paper/2020/file/f5b1b89d98b7286673128a5fb112cb9a-Paper.pdf</x:v>
      </x:c>
    </x:row>
    <x:row r="33">
      <x:c r="A33" s="102" t="n">
        <x:v>29</x:v>
      </x:c>
      <x:c r="B33" s="95" t="str">
        <x:v>M4 试验设计</x:v>
      </x:c>
      <x:c r="C33" s="95" t="str">
        <x:v>T0488</x:v>
      </x:c>
      <x:c r="D33" s="95" t="str">
        <x:v>试验设计与统计</x:v>
      </x:c>
      <x:c r="E33" s="95" t="str">
        <x:v>对照组</x:v>
      </x:c>
      <x:c r="F33" s="95" t="str">
        <x:v>闭环优化</x:v>
      </x:c>
      <x:c r="G33" s="95" t="str">
        <x:v>用区组、随机化、重复、对照、混料/重复测量和序贯设计分离批次、顺序与配方效应。</x:v>
      </x:c>
      <x:c r="H33" s="95" t="str">
        <x:v>批次/日期/原料批号与配方效应可分离；对照和重复预算有统计依据。</x:v>
      </x:c>
      <x:c r="I33" s="95" t="str">
        <x:v>设计能否区分主效应/交互，控制混杂，并达到预定统计功效？</x:v>
      </x:c>
      <x:c r="J33" s="96" t="str">
        <x:v>https://www.itl.nist.gov/div898/handbook/</x:v>
      </x:c>
    </x:row>
    <x:row r="34">
      <x:c r="A34" s="102" t="n">
        <x:v>30</x:v>
      </x:c>
      <x:c r="B34" s="95" t="str">
        <x:v>M4 试验设计</x:v>
      </x:c>
      <x:c r="C34" s="95" t="str">
        <x:v>T0506</x:v>
      </x:c>
      <x:c r="D34" s="95" t="str">
        <x:v>试验设计与统计</x:v>
      </x:c>
      <x:c r="E34" s="95" t="str">
        <x:v>混料设计</x:v>
      </x:c>
      <x:c r="F34" s="95" t="str">
        <x:v>闭环优化</x:v>
      </x:c>
      <x:c r="G34" s="95" t="str">
        <x:v>用区组、随机化、重复、对照、混料/重复测量和序贯设计分离批次、顺序与配方效应。</x:v>
      </x:c>
      <x:c r="H34" s="95" t="str">
        <x:v>批次/日期/原料批号与配方效应可分离；对照和重复预算有统计依据。</x:v>
      </x:c>
      <x:c r="I34" s="95" t="str">
        <x:v>设计能否区分主效应/交互，控制混杂，并达到预定统计功效？</x:v>
      </x:c>
      <x:c r="J34" s="96" t="str">
        <x:v>https://www.science.org/doi/10.1126/sciadv.abg4930</x:v>
      </x:c>
    </x:row>
    <x:row r="35">
      <x:c r="A35" s="102" t="n">
        <x:v>31</x:v>
      </x:c>
      <x:c r="B35" s="95" t="str">
        <x:v>M4 试验设计</x:v>
      </x:c>
      <x:c r="C35" s="95" t="str">
        <x:v>T0509</x:v>
      </x:c>
      <x:c r="D35" s="95" t="str">
        <x:v>试验设计与统计</x:v>
      </x:c>
      <x:c r="E35" s="95" t="str">
        <x:v>重复测量设计</x:v>
      </x:c>
      <x:c r="F35" s="95" t="str">
        <x:v>闭环优化</x:v>
      </x:c>
      <x:c r="G35" s="95" t="str">
        <x:v>用区组、随机化、重复、对照、混料/重复测量和序贯设计分离批次、顺序与配方效应。</x:v>
      </x:c>
      <x:c r="H35" s="95" t="str">
        <x:v>批次/日期/原料批号与配方效应可分离；对照和重复预算有统计依据。</x:v>
      </x:c>
      <x:c r="I35" s="95" t="str">
        <x:v>设计能否区分主效应/交互，控制混杂，并达到预定统计功效？</x:v>
      </x:c>
      <x:c r="J35" s="96" t="str">
        <x:v>https://pubs.acs.org/doi/10.1021/acs.chemrev.4c00055</x:v>
      </x:c>
    </x:row>
    <x:row r="36">
      <x:c r="A36" s="102" t="n">
        <x:v>32</x:v>
      </x:c>
      <x:c r="B36" s="95" t="str">
        <x:v>M4 试验设计</x:v>
      </x:c>
      <x:c r="C36" s="95" t="str">
        <x:v>T0510</x:v>
      </x:c>
      <x:c r="D36" s="95" t="str">
        <x:v>试验设计与统计</x:v>
      </x:c>
      <x:c r="E36" s="95" t="str">
        <x:v>序贯试验设计</x:v>
      </x:c>
      <x:c r="F36" s="95" t="str">
        <x:v>闭环优化</x:v>
      </x:c>
      <x:c r="G36" s="95" t="str">
        <x:v>用区组、随机化、重复、对照、混料/重复测量和序贯设计分离批次、顺序与配方效应。</x:v>
      </x:c>
      <x:c r="H36" s="95" t="str">
        <x:v>批次/日期/原料批号与配方效应可分离；对照和重复预算有统计依据。</x:v>
      </x:c>
      <x:c r="I36" s="95" t="str">
        <x:v>设计能否区分主效应/交互，控制混杂，并达到预定统计功效？</x:v>
      </x:c>
      <x:c r="J36" s="96" t="str">
        <x:v>https://www.science.org/doi/10.1126/sciadv.abg4930</x:v>
      </x:c>
    </x:row>
    <x:row r="37">
      <x:c r="A37" s="102" t="n">
        <x:v>33</x:v>
      </x:c>
      <x:c r="B37" s="95" t="str">
        <x:v>M5 贝叶斯优化</x:v>
      </x:c>
      <x:c r="C37" s="95" t="str">
        <x:v>T0522</x:v>
      </x:c>
      <x:c r="D37" s="95" t="str">
        <x:v>贝叶斯优化与主动学习</x:v>
      </x:c>
      <x:c r="E37" s="95" t="str">
        <x:v>高斯过程</x:v>
      </x:c>
      <x:c r="F37" s="95" t="str">
        <x:v>闭环优化</x:v>
      </x:c>
      <x:c r="G37" s="95" t="str">
        <x:v>建立异方差、混合变量代理和冷启动/迁移先验；所有推荐由可复算采集函数产生。</x:v>
      </x:c>
      <x:c r="H37" s="95" t="str">
        <x:v>固定预算回放优于随机/LHS强基线，且推荐满足设计空间与不确定性约束。</x:v>
      </x:c>
      <x:c r="I37" s="95" t="str">
        <x:v>采集函数、噪声、约束和批量异步条件下是否优于基线策略？</x:v>
      </x:c>
      <x:c r="J37" s="96" t="str">
        <x:v>https://www.science.org/doi/10.1126/sciadv.aaz1708</x:v>
      </x:c>
    </x:row>
    <x:row r="38">
      <x:c r="A38" s="102" t="n">
        <x:v>34</x:v>
      </x:c>
      <x:c r="B38" s="95" t="str">
        <x:v>M5 贝叶斯优化</x:v>
      </x:c>
      <x:c r="C38" s="95" t="str">
        <x:v>T0525</x:v>
      </x:c>
      <x:c r="D38" s="95" t="str">
        <x:v>贝叶斯优化与主动学习</x:v>
      </x:c>
      <x:c r="E38" s="95" t="str">
        <x:v>噪声模型</x:v>
      </x:c>
      <x:c r="F38" s="95" t="str">
        <x:v>闭环优化</x:v>
      </x:c>
      <x:c r="G38" s="95" t="str">
        <x:v>建立异方差、混合变量代理和冷启动/迁移先验；所有推荐由可复算采集函数产生。</x:v>
      </x:c>
      <x:c r="H38" s="95" t="str">
        <x:v>固定预算回放优于随机/LHS强基线，且推荐满足设计空间与不确定性约束。</x:v>
      </x:c>
      <x:c r="I38" s="95" t="str">
        <x:v>采集函数、噪声、约束和批量异步条件下是否优于基线策略？</x:v>
      </x:c>
      <x:c r="J38" s="96" t="str">
        <x:v>https://www.science.org/doi/10.1126/sciadv.aaz8867</x:v>
      </x:c>
    </x:row>
    <x:row r="39">
      <x:c r="A39" s="102" t="n">
        <x:v>35</x:v>
      </x:c>
      <x:c r="B39" s="95" t="str">
        <x:v>M5 贝叶斯优化</x:v>
      </x:c>
      <x:c r="C39" s="95" t="str">
        <x:v>T0526</x:v>
      </x:c>
      <x:c r="D39" s="95" t="str">
        <x:v>贝叶斯优化与主动学习</x:v>
      </x:c>
      <x:c r="E39" s="95" t="str">
        <x:v>异方差高斯过程</x:v>
      </x:c>
      <x:c r="F39" s="95" t="str">
        <x:v>闭环优化</x:v>
      </x:c>
      <x:c r="G39" s="95" t="str">
        <x:v>建立异方差、混合变量代理和冷启动/迁移先验；所有推荐由可复算采集函数产生。</x:v>
      </x:c>
      <x:c r="H39" s="95" t="str">
        <x:v>固定预算回放优于随机/LHS强基线，且推荐满足设计空间与不确定性约束。</x:v>
      </x:c>
      <x:c r="I39" s="95" t="str">
        <x:v>采集函数、噪声、约束和批量异步条件下是否优于基线策略？</x:v>
      </x:c>
      <x:c r="J39" s="96" t="str">
        <x:v>https://www.science.org/doi/10.1126/sciadv.aaz1708</x:v>
      </x:c>
    </x:row>
    <x:row r="40">
      <x:c r="A40" s="102" t="n">
        <x:v>36</x:v>
      </x:c>
      <x:c r="B40" s="95" t="str">
        <x:v>M5 贝叶斯优化</x:v>
      </x:c>
      <x:c r="C40" s="95" t="str">
        <x:v>T0534</x:v>
      </x:c>
      <x:c r="D40" s="95" t="str">
        <x:v>贝叶斯优化与主动学习</x:v>
      </x:c>
      <x:c r="E40" s="95" t="str">
        <x:v>知识梯度KG</x:v>
      </x:c>
      <x:c r="F40" s="95" t="str">
        <x:v>闭环优化</x:v>
      </x:c>
      <x:c r="G40" s="95" t="str">
        <x:v>建立异方差、混合变量代理和冷启动/迁移先验；所有推荐由可复算采集函数产生。</x:v>
      </x:c>
      <x:c r="H40" s="95" t="str">
        <x:v>固定预算回放优于随机/LHS强基线，且推荐满足设计空间与不确定性约束。</x:v>
      </x:c>
      <x:c r="I40" s="95" t="str">
        <x:v>采集函数、噪声、约束和批量异步条件下是否优于基线策略？</x:v>
      </x:c>
      <x:c r="J40" s="96" t="str">
        <x:v>https://www.science.org/doi/10.1126/sciadv.aaz1708</x:v>
      </x:c>
    </x:row>
    <x:row r="41">
      <x:c r="A41" s="102" t="n">
        <x:v>37</x:v>
      </x:c>
      <x:c r="B41" s="95" t="str">
        <x:v>M5 贝叶斯优化</x:v>
      </x:c>
      <x:c r="C41" s="95" t="str">
        <x:v>T0540</x:v>
      </x:c>
      <x:c r="D41" s="95" t="str">
        <x:v>贝叶斯优化与主动学习</x:v>
      </x:c>
      <x:c r="E41" s="95" t="str">
        <x:v>异步贝叶斯优化</x:v>
      </x:c>
      <x:c r="F41" s="95" t="str">
        <x:v>闭环优化</x:v>
      </x:c>
      <x:c r="G41" s="95" t="str">
        <x:v>建立异方差、混合变量代理和冷启动/迁移先验；所有推荐由可复算采集函数产生。</x:v>
      </x:c>
      <x:c r="H41" s="95" t="str">
        <x:v>固定预算回放优于随机/LHS强基线，且推荐满足设计空间与不确定性约束。</x:v>
      </x:c>
      <x:c r="I41" s="95" t="str">
        <x:v>采集函数、噪声、约束和批量异步条件下是否优于基线策略？</x:v>
      </x:c>
      <x:c r="J41" s="96" t="str">
        <x:v>https://proceedings.neurips.cc/paper_files/paper/2020/file/f5b1b89d98b7286673128a5fb112cb9a-Paper.pdf</x:v>
      </x:c>
    </x:row>
    <x:row r="42">
      <x:c r="A42" s="102" t="n">
        <x:v>38</x:v>
      </x:c>
      <x:c r="B42" s="95" t="str">
        <x:v>M5 贝叶斯优化</x:v>
      </x:c>
      <x:c r="C42" s="95" t="str">
        <x:v>T0545</x:v>
      </x:c>
      <x:c r="D42" s="95" t="str">
        <x:v>贝叶斯优化与主动学习</x:v>
      </x:c>
      <x:c r="E42" s="95" t="str">
        <x:v>混合变量BO</x:v>
      </x:c>
      <x:c r="F42" s="95" t="str">
        <x:v>闭环优化</x:v>
      </x:c>
      <x:c r="G42" s="95" t="str">
        <x:v>建立异方差、混合变量代理和冷启动/迁移先验；所有推荐由可复算采集函数产生。</x:v>
      </x:c>
      <x:c r="H42" s="95" t="str">
        <x:v>固定预算回放优于随机/LHS强基线，且推荐满足设计空间与不确定性约束。</x:v>
      </x:c>
      <x:c r="I42" s="95" t="str">
        <x:v>采集函数、噪声、约束和批量异步条件下是否优于基线策略？</x:v>
      </x:c>
      <x:c r="J42" s="96" t="str">
        <x:v>https://www.science.org/doi/10.1126/sciadv.aaz8867</x:v>
      </x:c>
    </x:row>
    <x:row r="43">
      <x:c r="A43" s="102" t="n">
        <x:v>39</x:v>
      </x:c>
      <x:c r="B43" s="95" t="str">
        <x:v>M5 贝叶斯优化</x:v>
      </x:c>
      <x:c r="C43" s="95" t="str">
        <x:v>T0554</x:v>
      </x:c>
      <x:c r="D43" s="95" t="str">
        <x:v>贝叶斯优化与主动学习</x:v>
      </x:c>
      <x:c r="E43" s="95" t="str">
        <x:v>冷启动先验</x:v>
      </x:c>
      <x:c r="F43" s="95" t="str">
        <x:v>闭环优化</x:v>
      </x:c>
      <x:c r="G43" s="95" t="str">
        <x:v>建立异方差、混合变量代理和冷启动/迁移先验；所有推荐由可复算采集函数产生。</x:v>
      </x:c>
      <x:c r="H43" s="95" t="str">
        <x:v>固定预算回放优于随机/LHS强基线，且推荐满足设计空间与不确定性约束。</x:v>
      </x:c>
      <x:c r="I43" s="95" t="str">
        <x:v>采集函数、噪声、约束和批量异步条件下是否优于基线策略？</x:v>
      </x:c>
      <x:c r="J43" s="96" t="str">
        <x:v>https://www.science.org/doi/10.1126/sciadv.aaz1708</x:v>
      </x:c>
    </x:row>
    <x:row r="44">
      <x:c r="A44" s="102" t="n">
        <x:v>40</x:v>
      </x:c>
      <x:c r="B44" s="95" t="str">
        <x:v>M5 贝叶斯优化</x:v>
      </x:c>
      <x:c r="C44" s="95" t="str">
        <x:v>T0555</x:v>
      </x:c>
      <x:c r="D44" s="95" t="str">
        <x:v>贝叶斯优化与主动学习</x:v>
      </x:c>
      <x:c r="E44" s="95" t="str">
        <x:v>迁移贝叶斯优化</x:v>
      </x:c>
      <x:c r="F44" s="95" t="str">
        <x:v>闭环优化</x:v>
      </x:c>
      <x:c r="G44" s="95" t="str">
        <x:v>建立异方差、混合变量代理和冷启动/迁移先验；所有推荐由可复算采集函数产生。</x:v>
      </x:c>
      <x:c r="H44" s="95" t="str">
        <x:v>固定预算回放优于随机/LHS强基线，且推荐满足设计空间与不确定性约束。</x:v>
      </x:c>
      <x:c r="I44" s="95" t="str">
        <x:v>采集函数、噪声、约束和批量异步条件下是否优于基线策略？</x:v>
      </x:c>
      <x:c r="J44" s="96" t="str">
        <x:v>https://www.science.org/doi/10.1126/sciadv.abg4930</x:v>
      </x:c>
    </x:row>
    <x:row r="45">
      <x:c r="A45" s="102" t="n">
        <x:v>41</x:v>
      </x:c>
      <x:c r="B45" s="95" t="str">
        <x:v>M6 约束、成本与失败</x:v>
      </x:c>
      <x:c r="C45" s="95" t="str">
        <x:v>T0570</x:v>
      </x:c>
      <x:c r="D45" s="95" t="str">
        <x:v>多目标、约束、安全、成本与多保真优化</x:v>
      </x:c>
      <x:c r="E45" s="95" t="str">
        <x:v>黑箱约束</x:v>
      </x:c>
      <x:c r="F45" s="95" t="str">
        <x:v>闭环优化</x:v>
      </x:c>
      <x:c r="G45" s="95" t="str">
        <x:v>分开建模可成膜、有效谱、稳定性和成本；失败作为标签，硬约束由安全屏障先过滤。</x:v>
      </x:c>
      <x:c r="H45" s="95" t="str">
        <x:v>越界推荐为0；失败原因可学习；报告每个确认改进的真实成本。</x:v>
      </x:c>
      <x:c r="I45" s="95" t="str">
        <x:v>Pareto、可行概率、风险和成本是否被共同量化且可审计？</x:v>
      </x:c>
      <x:c r="J45" s="96" t="str">
        <x:v>https://www.science.org/doi/10.1126/science.adk9227</x:v>
      </x:c>
    </x:row>
    <x:row r="46">
      <x:c r="A46" s="102" t="n">
        <x:v>42</x:v>
      </x:c>
      <x:c r="B46" s="95" t="str">
        <x:v>M6 约束、成本与失败</x:v>
      </x:c>
      <x:c r="C46" s="95" t="str">
        <x:v>T0571</x:v>
      </x:c>
      <x:c r="D46" s="95" t="str">
        <x:v>多目标、约束、安全、成本与多保真优化</x:v>
      </x:c>
      <x:c r="E46" s="95" t="str">
        <x:v>可行性分类器</x:v>
      </x:c>
      <x:c r="F46" s="95" t="str">
        <x:v>闭环优化</x:v>
      </x:c>
      <x:c r="G46" s="95" t="str">
        <x:v>分开建模可成膜、有效谱、稳定性和成本；失败作为标签，硬约束由安全屏障先过滤。</x:v>
      </x:c>
      <x:c r="H46" s="95" t="str">
        <x:v>越界推荐为0；失败原因可学习；报告每个确认改进的真实成本。</x:v>
      </x:c>
      <x:c r="I46" s="95" t="str">
        <x:v>Pareto、可行概率、风险和成本是否被共同量化且可审计？</x:v>
      </x:c>
      <x:c r="J46" s="96" t="str">
        <x:v>https://proceedings.neurips.cc/paper_files/paper/2020/file/f5b1b89d98b7286673128a5fb112cb9a-Paper.pdf</x:v>
      </x:c>
    </x:row>
    <x:row r="47">
      <x:c r="A47" s="102" t="n">
        <x:v>43</x:v>
      </x:c>
      <x:c r="B47" s="95" t="str">
        <x:v>M6 约束、成本与失败</x:v>
      </x:c>
      <x:c r="C47" s="95" t="str">
        <x:v>T0572</x:v>
      </x:c>
      <x:c r="D47" s="95" t="str">
        <x:v>多目标、约束、安全、成本与多保真优化</x:v>
      </x:c>
      <x:c r="E47" s="95" t="str">
        <x:v>约束期望改进</x:v>
      </x:c>
      <x:c r="F47" s="95" t="str">
        <x:v>闭环优化</x:v>
      </x:c>
      <x:c r="G47" s="95" t="str">
        <x:v>分开建模可成膜、有效谱、稳定性和成本；失败作为标签，硬约束由安全屏障先过滤。</x:v>
      </x:c>
      <x:c r="H47" s="95" t="str">
        <x:v>越界推荐为0；失败原因可学习；报告每个确认改进的真实成本。</x:v>
      </x:c>
      <x:c r="I47" s="95" t="str">
        <x:v>Pareto、可行概率、风险和成本是否被共同量化且可审计？</x:v>
      </x:c>
      <x:c r="J47" s="96" t="str">
        <x:v>https://www.itl.nist.gov/div898/handbook/</x:v>
      </x:c>
    </x:row>
    <x:row r="48">
      <x:c r="A48" s="102" t="n">
        <x:v>44</x:v>
      </x:c>
      <x:c r="B48" s="95" t="str">
        <x:v>M6 约束、成本与失败</x:v>
      </x:c>
      <x:c r="C48" s="95" t="str">
        <x:v>T0577</x:v>
      </x:c>
      <x:c r="D48" s="95" t="str">
        <x:v>多目标、约束、安全、成本与多保真优化</x:v>
      </x:c>
      <x:c r="E48" s="95" t="str">
        <x:v>鲁棒贝叶斯优化</x:v>
      </x:c>
      <x:c r="F48" s="95" t="str">
        <x:v>闭环优化</x:v>
      </x:c>
      <x:c r="G48" s="95" t="str">
        <x:v>分开建模可成膜、有效谱、稳定性和成本；失败作为标签，硬约束由安全屏障先过滤。</x:v>
      </x:c>
      <x:c r="H48" s="95" t="str">
        <x:v>越界推荐为0；失败原因可学习；报告每个确认改进的真实成本。</x:v>
      </x:c>
      <x:c r="I48" s="95" t="str">
        <x:v>Pareto、可行概率、风险和成本是否被共同量化且可审计？</x:v>
      </x:c>
      <x:c r="J48" s="96" t="str">
        <x:v>https://www.nature.com/articles/s41467-024-45569-5</x:v>
      </x:c>
    </x:row>
    <x:row r="49">
      <x:c r="A49" s="102" t="n">
        <x:v>45</x:v>
      </x:c>
      <x:c r="B49" s="95" t="str">
        <x:v>M6 约束、成本与失败</x:v>
      </x:c>
      <x:c r="C49" s="95" t="str">
        <x:v>T0580</x:v>
      </x:c>
      <x:c r="D49" s="95" t="str">
        <x:v>多目标、约束、安全、成本与多保真优化</x:v>
      </x:c>
      <x:c r="E49" s="95" t="str">
        <x:v>成本感知采集</x:v>
      </x:c>
      <x:c r="F49" s="95" t="str">
        <x:v>闭环优化</x:v>
      </x:c>
      <x:c r="G49" s="95" t="str">
        <x:v>分开建模可成膜、有效谱、稳定性和成本；失败作为标签，硬约束由安全屏障先过滤。</x:v>
      </x:c>
      <x:c r="H49" s="95" t="str">
        <x:v>越界推荐为0；失败原因可学习；报告每个确认改进的真实成本。</x:v>
      </x:c>
      <x:c r="I49" s="95" t="str">
        <x:v>Pareto、可行概率、风险和成本是否被共同量化且可审计？</x:v>
      </x:c>
      <x:c r="J49" s="96" t="str">
        <x:v>https://www.itl.nist.gov/div898/handbook/</x:v>
      </x:c>
    </x:row>
    <x:row r="50">
      <x:c r="A50" s="102" t="n">
        <x:v>46</x:v>
      </x:c>
      <x:c r="B50" s="95" t="str">
        <x:v>M6 约束、成本与失败</x:v>
      </x:c>
      <x:c r="C50" s="95" t="str">
        <x:v>T0581</x:v>
      </x:c>
      <x:c r="D50" s="95" t="str">
        <x:v>多目标、约束、安全、成本与多保真优化</x:v>
      </x:c>
      <x:c r="E50" s="95" t="str">
        <x:v>预算约束优化</x:v>
      </x:c>
      <x:c r="F50" s="95" t="str">
        <x:v>闭环优化</x:v>
      </x:c>
      <x:c r="G50" s="95" t="str">
        <x:v>分开建模可成膜、有效谱、稳定性和成本；失败作为标签，硬约束由安全屏障先过滤。</x:v>
      </x:c>
      <x:c r="H50" s="95" t="str">
        <x:v>越界推荐为0；失败原因可学习；报告每个确认改进的真实成本。</x:v>
      </x:c>
      <x:c r="I50" s="95" t="str">
        <x:v>Pareto、可行概率、风险和成本是否被共同量化且可审计？</x:v>
      </x:c>
      <x:c r="J50" s="96" t="str">
        <x:v>https://www.nature.com/articles/s41467-024-45569-5</x:v>
      </x:c>
    </x:row>
    <x:row r="51">
      <x:c r="A51" s="102" t="n">
        <x:v>47</x:v>
      </x:c>
      <x:c r="B51" s="95" t="str">
        <x:v>M6 约束、成本与失败</x:v>
      </x:c>
      <x:c r="C51" s="95" t="str">
        <x:v>T0598</x:v>
      </x:c>
      <x:c r="D51" s="95" t="str">
        <x:v>多目标、约束、安全、成本与多保真优化</x:v>
      </x:c>
      <x:c r="E51" s="95" t="str">
        <x:v>失败感知优化</x:v>
      </x:c>
      <x:c r="F51" s="95" t="str">
        <x:v>闭环优化</x:v>
      </x:c>
      <x:c r="G51" s="95" t="str">
        <x:v>分开建模可成膜、有效谱、稳定性和成本；失败作为标签，硬约束由安全屏障先过滤。</x:v>
      </x:c>
      <x:c r="H51" s="95" t="str">
        <x:v>越界推荐为0；失败原因可学习；报告每个确认改进的真实成本。</x:v>
      </x:c>
      <x:c r="I51" s="95" t="str">
        <x:v>Pareto、可行概率、风险和成本是否被共同量化且可审计？</x:v>
      </x:c>
      <x:c r="J51" s="96" t="str">
        <x:v>https://www.science.org/doi/10.1126/science.adk9227</x:v>
      </x:c>
    </x:row>
    <x:row r="52">
      <x:c r="A52" s="102" t="n">
        <x:v>48</x:v>
      </x:c>
      <x:c r="B52" s="95" t="str">
        <x:v>M6 约束、成本与失败</x:v>
      </x:c>
      <x:c r="C52" s="95" t="str">
        <x:v>T0600</x:v>
      </x:c>
      <x:c r="D52" s="95" t="str">
        <x:v>多目标、约束、安全、成本与多保真优化</x:v>
      </x:c>
      <x:c r="E52" s="95" t="str">
        <x:v>安全屏蔽器</x:v>
      </x:c>
      <x:c r="F52" s="95" t="str">
        <x:v>闭环优化</x:v>
      </x:c>
      <x:c r="G52" s="95" t="str">
        <x:v>分开建模可成膜、有效谱、稳定性和成本；失败作为标签，硬约束由安全屏障先过滤。</x:v>
      </x:c>
      <x:c r="H52" s="95" t="str">
        <x:v>越界推荐为0；失败原因可学习；报告每个确认改进的真实成本。</x:v>
      </x:c>
      <x:c r="I52" s="95" t="str">
        <x:v>Pareto、可行概率、风险和成本是否被共同量化且可审计？</x:v>
      </x:c>
      <x:c r="J52" s="96" t="str">
        <x:v>https://www.itl.nist.gov/div898/handbook/</x:v>
      </x:c>
    </x:row>
    <x:row r="53">
      <x:c r="A53" s="102" t="n">
        <x:v>49</x:v>
      </x:c>
      <x:c r="B53" s="95" t="str">
        <x:v>M7 不确定性与校准</x:v>
      </x:c>
      <x:c r="C53" s="95" t="str">
        <x:v>T0601</x:v>
      </x:c>
      <x:c r="D53" s="95" t="str">
        <x:v>代理模型、不确定性与分布外识别</x:v>
      </x:c>
      <x:c r="E53" s="95" t="str">
        <x:v>偶然不确定性</x:v>
      </x:c>
      <x:c r="F53" s="95" t="str">
        <x:v>两线共用</x:v>
      </x:c>
      <x:c r="G53" s="95" t="str">
        <x:v>区分偶然/认知不确定性，做外部验证、可靠性图、区间覆盖与拒答策略。</x:v>
      </x:c>
      <x:c r="H53" s="95" t="str">
        <x:v>区间覆盖与可靠性图达标；分布外或不可辨识任务能拒答/升级。</x:v>
      </x:c>
      <x:c r="I53" s="95" t="str">
        <x:v>置信度是否校准；遇到OOD与漂移时是否会拒绝或升级？</x:v>
      </x:c>
      <x:c r="J53" s="96" t="str">
        <x:v>https://www.nature.com/articles/s41467-024-45569-5</x:v>
      </x:c>
    </x:row>
    <x:row r="54">
      <x:c r="A54" s="102" t="n">
        <x:v>50</x:v>
      </x:c>
      <x:c r="B54" s="95" t="str">
        <x:v>M7 不确定性与校准</x:v>
      </x:c>
      <x:c r="C54" s="95" t="str">
        <x:v>T0602</x:v>
      </x:c>
      <x:c r="D54" s="95" t="str">
        <x:v>代理模型、不确定性与分布外识别</x:v>
      </x:c>
      <x:c r="E54" s="95" t="str">
        <x:v>认知不确定性</x:v>
      </x:c>
      <x:c r="F54" s="95" t="str">
        <x:v>两线共用</x:v>
      </x:c>
      <x:c r="G54" s="95" t="str">
        <x:v>区分偶然/认知不确定性，做外部验证、可靠性图、区间覆盖与拒答策略。</x:v>
      </x:c>
      <x:c r="H54" s="95" t="str">
        <x:v>区间覆盖与可靠性图达标；分布外或不可辨识任务能拒答/升级。</x:v>
      </x:c>
      <x:c r="I54" s="95" t="str">
        <x:v>置信度是否校准；遇到OOD与漂移时是否会拒绝或升级？</x:v>
      </x:c>
      <x:c r="J54" s="96" t="str">
        <x:v>https://proceedings.neurips.cc/paper_files/paper/2020/file/f5b1b89d98b7286673128a5fb112cb9a-Paper.pdf</x:v>
      </x:c>
    </x:row>
    <x:row r="55">
      <x:c r="A55" s="102" t="n">
        <x:v>51</x:v>
      </x:c>
      <x:c r="B55" s="95" t="str">
        <x:v>M7 不确定性与校准</x:v>
      </x:c>
      <x:c r="C55" s="95" t="str">
        <x:v>T0603</x:v>
      </x:c>
      <x:c r="D55" s="95" t="str">
        <x:v>代理模型、不确定性与分布外识别</x:v>
      </x:c>
      <x:c r="E55" s="95" t="str">
        <x:v>后验预测分布</x:v>
      </x:c>
      <x:c r="F55" s="95" t="str">
        <x:v>两线共用</x:v>
      </x:c>
      <x:c r="G55" s="95" t="str">
        <x:v>区分偶然/认知不确定性，做外部验证、可靠性图、区间覆盖与拒答策略。</x:v>
      </x:c>
      <x:c r="H55" s="95" t="str">
        <x:v>区间覆盖与可靠性图达标；分布外或不可辨识任务能拒答/升级。</x:v>
      </x:c>
      <x:c r="I55" s="95" t="str">
        <x:v>置信度是否校准；遇到OOD与漂移时是否会拒绝或升级？</x:v>
      </x:c>
      <x:c r="J55" s="96" t="str">
        <x:v>https://arxiv.org/abs/2107.07511</x:v>
      </x:c>
    </x:row>
    <x:row r="56">
      <x:c r="A56" s="102" t="n">
        <x:v>52</x:v>
      </x:c>
      <x:c r="B56" s="95" t="str">
        <x:v>M7 不确定性与校准</x:v>
      </x:c>
      <x:c r="C56" s="95" t="str">
        <x:v>T0612</x:v>
      </x:c>
      <x:c r="D56" s="95" t="str">
        <x:v>代理模型、不确定性与分布外识别</x:v>
      </x:c>
      <x:c r="E56" s="95" t="str">
        <x:v>可靠性图</x:v>
      </x:c>
      <x:c r="F56" s="95" t="str">
        <x:v>两线共用</x:v>
      </x:c>
      <x:c r="G56" s="95" t="str">
        <x:v>区分偶然/认知不确定性，做外部验证、可靠性图、区间覆盖与拒答策略。</x:v>
      </x:c>
      <x:c r="H56" s="95" t="str">
        <x:v>区间覆盖与可靠性图达标；分布外或不可辨识任务能拒答/升级。</x:v>
      </x:c>
      <x:c r="I56" s="95" t="str">
        <x:v>置信度是否校准；遇到OOD与漂移时是否会拒绝或升级？</x:v>
      </x:c>
      <x:c r="J56" s="96" t="str">
        <x:v>https://arxiv.org/abs/2107.07511</x:v>
      </x:c>
    </x:row>
    <x:row r="57">
      <x:c r="A57" s="102" t="n">
        <x:v>53</x:v>
      </x:c>
      <x:c r="B57" s="95" t="str">
        <x:v>M7 不确定性与校准</x:v>
      </x:c>
      <x:c r="C57" s="95" t="str">
        <x:v>T0613</x:v>
      </x:c>
      <x:c r="D57" s="95" t="str">
        <x:v>代理模型、不确定性与分布外识别</x:v>
      </x:c>
      <x:c r="E57" s="95" t="str">
        <x:v>期望校准误差</x:v>
      </x:c>
      <x:c r="F57" s="95" t="str">
        <x:v>两线共用</x:v>
      </x:c>
      <x:c r="G57" s="95" t="str">
        <x:v>区分偶然/认知不确定性，做外部验证、可靠性图、区间覆盖与拒答策略。</x:v>
      </x:c>
      <x:c r="H57" s="95" t="str">
        <x:v>区间覆盖与可靠性图达标；分布外或不可辨识任务能拒答/升级。</x:v>
      </x:c>
      <x:c r="I57" s="95" t="str">
        <x:v>置信度是否校准；遇到OOD与漂移时是否会拒绝或升级？</x:v>
      </x:c>
      <x:c r="J57" s="96" t="str">
        <x:v>https://www.nature.com/articles/s41467-024-45569-5</x:v>
      </x:c>
    </x:row>
    <x:row r="58">
      <x:c r="A58" s="102" t="n">
        <x:v>54</x:v>
      </x:c>
      <x:c r="B58" s="95" t="str">
        <x:v>M7 不确定性与校准</x:v>
      </x:c>
      <x:c r="C58" s="95" t="str">
        <x:v>T0615</x:v>
      </x:c>
      <x:c r="D58" s="95" t="str">
        <x:v>代理模型、不确定性与分布外识别</x:v>
      </x:c>
      <x:c r="E58" s="95" t="str">
        <x:v>区间覆盖率</x:v>
      </x:c>
      <x:c r="F58" s="95" t="str">
        <x:v>两线共用</x:v>
      </x:c>
      <x:c r="G58" s="95" t="str">
        <x:v>区分偶然/认知不确定性，做外部验证、可靠性图、区间覆盖与拒答策略。</x:v>
      </x:c>
      <x:c r="H58" s="95" t="str">
        <x:v>区间覆盖与可靠性图达标；分布外或不可辨识任务能拒答/升级。</x:v>
      </x:c>
      <x:c r="I58" s="95" t="str">
        <x:v>置信度是否校准；遇到OOD与漂移时是否会拒绝或升级？</x:v>
      </x:c>
      <x:c r="J58" s="96" t="str">
        <x:v>https://arxiv.org/abs/2107.07511</x:v>
      </x:c>
    </x:row>
    <x:row r="59">
      <x:c r="A59" s="102" t="n">
        <x:v>55</x:v>
      </x:c>
      <x:c r="B59" s="95" t="str">
        <x:v>M7 不确定性与校准</x:v>
      </x:c>
      <x:c r="C59" s="95" t="str">
        <x:v>T0632</x:v>
      </x:c>
      <x:c r="D59" s="95" t="str">
        <x:v>代理模型、不确定性与分布外识别</x:v>
      </x:c>
      <x:c r="E59" s="95" t="str">
        <x:v>代理模型外部验证</x:v>
      </x:c>
      <x:c r="F59" s="95" t="str">
        <x:v>两线共用</x:v>
      </x:c>
      <x:c r="G59" s="95" t="str">
        <x:v>区分偶然/认知不确定性，做外部验证、可靠性图、区间覆盖与拒答策略。</x:v>
      </x:c>
      <x:c r="H59" s="95" t="str">
        <x:v>区间覆盖与可靠性图达标；分布外或不可辨识任务能拒答/升级。</x:v>
      </x:c>
      <x:c r="I59" s="95" t="str">
        <x:v>置信度是否校准；遇到OOD与漂移时是否会拒绝或升级？</x:v>
      </x:c>
      <x:c r="J59" s="96" t="str">
        <x:v>https://proceedings.neurips.cc/paper_files/paper/2020/file/f5b1b89d98b7286673128a5fb112cb9a-Paper.pdf</x:v>
      </x:c>
    </x:row>
    <x:row r="60">
      <x:c r="A60" s="102" t="n">
        <x:v>56</x:v>
      </x:c>
      <x:c r="B60" s="95" t="str">
        <x:v>M7 不确定性与校准</x:v>
      </x:c>
      <x:c r="C60" s="95" t="str">
        <x:v>T0636</x:v>
      </x:c>
      <x:c r="D60" s="95" t="str">
        <x:v>代理模型、不确定性与分布外识别</x:v>
      </x:c>
      <x:c r="E60" s="95" t="str">
        <x:v>拒绝/弃权机制</x:v>
      </x:c>
      <x:c r="F60" s="95" t="str">
        <x:v>两线共用</x:v>
      </x:c>
      <x:c r="G60" s="95" t="str">
        <x:v>区分偶然/认知不确定性，做外部验证、可靠性图、区间覆盖与拒答策略。</x:v>
      </x:c>
      <x:c r="H60" s="95" t="str">
        <x:v>区间覆盖与可靠性图达标；分布外或不可辨识任务能拒答/升级。</x:v>
      </x:c>
      <x:c r="I60" s="95" t="str">
        <x:v>置信度是否校准；遇到OOD与漂移时是否会拒绝或升级？</x:v>
      </x:c>
      <x:c r="J60" s="96" t="str">
        <x:v>https://arxiv.org/abs/2107.07511</x:v>
      </x:c>
    </x:row>
    <x:row r="61">
      <x:c r="A61" s="102" t="n">
        <x:v>57</x:v>
      </x:c>
      <x:c r="B61" s="95" t="str">
        <x:v>M8 RAG与结论接地</x:v>
      </x:c>
      <x:c r="C61" s="95" t="str">
        <x:v>T0725</x:v>
      </x:c>
      <x:c r="D61" s="95" t="str">
        <x:v>科学大模型智能体：知识、检索与工具接地</x:v>
      </x:c>
      <x:c r="E61" s="95" t="str">
        <x:v>引文接地</x:v>
      </x:c>
      <x:c r="F61" s="95" t="str">
        <x:v>迁移发现</x:v>
      </x:c>
      <x:c r="G61" s="95" t="str">
        <x:v>主张绑定原文证据、条件、反例和证据等级；结构化输出并检测矛盾/科学幻觉。</x:v>
      </x:c>
      <x:c r="H61" s="95" t="str">
        <x:v>关键主张引用忠实且可定位；无证据或越级主张被验证器拦截。</x:v>
      </x:c>
      <x:c r="I61" s="95" t="str">
        <x:v>每个结论能否回溯到来源；每次工具调用是否有权限、模式与验证？</x:v>
      </x:c>
      <x:c r="J61" s="96" t="str">
        <x:v>https://modelcontextprotocol.io/docs/getting-started/intro</x:v>
      </x:c>
    </x:row>
    <x:row r="62">
      <x:c r="A62" s="102" t="n">
        <x:v>58</x:v>
      </x:c>
      <x:c r="B62" s="95" t="str">
        <x:v>M8 RAG与结论接地</x:v>
      </x:c>
      <x:c r="C62" s="95" t="str">
        <x:v>T0726</x:v>
      </x:c>
      <x:c r="D62" s="95" t="str">
        <x:v>科学大模型智能体：知识、检索与工具接地</x:v>
      </x:c>
      <x:c r="E62" s="95" t="str">
        <x:v>文献检索</x:v>
      </x:c>
      <x:c r="F62" s="95" t="str">
        <x:v>迁移发现</x:v>
      </x:c>
      <x:c r="G62" s="95" t="str">
        <x:v>主张绑定原文证据、条件、反例和证据等级；结构化输出并检测矛盾/科学幻觉。</x:v>
      </x:c>
      <x:c r="H62" s="95" t="str">
        <x:v>关键主张引用忠实且可定位；无证据或越级主张被验证器拦截。</x:v>
      </x:c>
      <x:c r="I62" s="95" t="str">
        <x:v>每个结论能否回溯到来源；每次工具调用是否有权限、模式与验证？</x:v>
      </x:c>
      <x:c r="J62" s="96" t="str">
        <x:v>https://www.nature.com/articles/s41586-023-06792-0</x:v>
      </x:c>
    </x:row>
    <x:row r="63">
      <x:c r="A63" s="102" t="n">
        <x:v>59</x:v>
      </x:c>
      <x:c r="B63" s="95" t="str">
        <x:v>M8 RAG与结论接地</x:v>
      </x:c>
      <x:c r="C63" s="95" t="str">
        <x:v>T0738</x:v>
      </x:c>
      <x:c r="D63" s="95" t="str">
        <x:v>科学大模型智能体：知识、检索与工具接地</x:v>
      </x:c>
      <x:c r="E63" s="95" t="str">
        <x:v>主张—证据链接</x:v>
      </x:c>
      <x:c r="F63" s="95" t="str">
        <x:v>迁移发现</x:v>
      </x:c>
      <x:c r="G63" s="95" t="str">
        <x:v>主张绑定原文证据、条件、反例和证据等级；结构化输出并检测矛盾/科学幻觉。</x:v>
      </x:c>
      <x:c r="H63" s="95" t="str">
        <x:v>关键主张引用忠实且可定位；无证据或越级主张被验证器拦截。</x:v>
      </x:c>
      <x:c r="I63" s="95" t="str">
        <x:v>每个结论能否回溯到来源；每次工具调用是否有权限、模式与验证？</x:v>
      </x:c>
      <x:c r="J63" s="96" t="str">
        <x:v>https://www.nature.com/articles/s41551-025-01463-z</x:v>
      </x:c>
    </x:row>
    <x:row r="64">
      <x:c r="A64" s="102" t="n">
        <x:v>60</x:v>
      </x:c>
      <x:c r="B64" s="95" t="str">
        <x:v>M8 RAG与结论接地</x:v>
      </x:c>
      <x:c r="C64" s="95" t="str">
        <x:v>T0739</x:v>
      </x:c>
      <x:c r="D64" s="95" t="str">
        <x:v>科学大模型智能体：知识、检索与工具接地</x:v>
      </x:c>
      <x:c r="E64" s="95" t="str">
        <x:v>矛盾检测</x:v>
      </x:c>
      <x:c r="F64" s="95" t="str">
        <x:v>迁移发现</x:v>
      </x:c>
      <x:c r="G64" s="95" t="str">
        <x:v>主张绑定原文证据、条件、反例和证据等级；结构化输出并检测矛盾/科学幻觉。</x:v>
      </x:c>
      <x:c r="H64" s="95" t="str">
        <x:v>关键主张引用忠实且可定位；无证据或越级主张被验证器拦截。</x:v>
      </x:c>
      <x:c r="I64" s="95" t="str">
        <x:v>每个结论能否回溯到来源；每次工具调用是否有权限、模式与验证？</x:v>
      </x:c>
      <x:c r="J64" s="96" t="str">
        <x:v>https://www.nature.com/articles/s43246-025-00994-x</x:v>
      </x:c>
    </x:row>
    <x:row r="65">
      <x:c r="A65" s="102" t="n">
        <x:v>61</x:v>
      </x:c>
      <x:c r="B65" s="95" t="str">
        <x:v>M8 RAG与结论接地</x:v>
      </x:c>
      <x:c r="C65" s="95" t="str">
        <x:v>T0740</x:v>
      </x:c>
      <x:c r="D65" s="95" t="str">
        <x:v>科学大模型智能体：知识、检索与工具接地</x:v>
      </x:c>
      <x:c r="E65" s="95" t="str">
        <x:v>证据等级评估</x:v>
      </x:c>
      <x:c r="F65" s="95" t="str">
        <x:v>迁移发现</x:v>
      </x:c>
      <x:c r="G65" s="95" t="str">
        <x:v>主张绑定原文证据、条件、反例和证据等级；结构化输出并检测矛盾/科学幻觉。</x:v>
      </x:c>
      <x:c r="H65" s="95" t="str">
        <x:v>关键主张引用忠实且可定位；无证据或越级主张被验证器拦截。</x:v>
      </x:c>
      <x:c r="I65" s="95" t="str">
        <x:v>每个结论能否回溯到来源；每次工具调用是否有权限、模式与验证？</x:v>
      </x:c>
      <x:c r="J65" s="96" t="str">
        <x:v>https://modelcontextprotocol.io/docs/getting-started/intro</x:v>
      </x:c>
    </x:row>
    <x:row r="66">
      <x:c r="A66" s="102" t="n">
        <x:v>62</x:v>
      </x:c>
      <x:c r="B66" s="95" t="str">
        <x:v>M8 RAG与结论接地</x:v>
      </x:c>
      <x:c r="C66" s="95" t="str">
        <x:v>T0742</x:v>
      </x:c>
      <x:c r="D66" s="95" t="str">
        <x:v>科学大模型智能体：知识、检索与工具接地</x:v>
      </x:c>
      <x:c r="E66" s="95" t="str">
        <x:v>溯源感知生成</x:v>
      </x:c>
      <x:c r="F66" s="95" t="str">
        <x:v>迁移发现</x:v>
      </x:c>
      <x:c r="G66" s="95" t="str">
        <x:v>主张绑定原文证据、条件、反例和证据等级；结构化输出并检测矛盾/科学幻觉。</x:v>
      </x:c>
      <x:c r="H66" s="95" t="str">
        <x:v>关键主张引用忠实且可定位；无证据或越级主张被验证器拦截。</x:v>
      </x:c>
      <x:c r="I66" s="95" t="str">
        <x:v>每个结论能否回溯到来源；每次工具调用是否有权限、模式与验证？</x:v>
      </x:c>
      <x:c r="J66" s="96" t="str">
        <x:v>https://www.nature.com/articles/s42256-024-00832-8</x:v>
      </x:c>
    </x:row>
    <x:row r="67">
      <x:c r="A67" s="102" t="n">
        <x:v>63</x:v>
      </x:c>
      <x:c r="B67" s="95" t="str">
        <x:v>M8 RAG与结论接地</x:v>
      </x:c>
      <x:c r="C67" s="95" t="str">
        <x:v>T0743</x:v>
      </x:c>
      <x:c r="D67" s="95" t="str">
        <x:v>科学大模型智能体：知识、检索与工具接地</x:v>
      </x:c>
      <x:c r="E67" s="95" t="str">
        <x:v>结构化输出</x:v>
      </x:c>
      <x:c r="F67" s="95" t="str">
        <x:v>迁移发现</x:v>
      </x:c>
      <x:c r="G67" s="95" t="str">
        <x:v>主张绑定原文证据、条件、反例和证据等级；结构化输出并检测矛盾/科学幻觉。</x:v>
      </x:c>
      <x:c r="H67" s="95" t="str">
        <x:v>关键主张引用忠实且可定位；无证据或越级主张被验证器拦截。</x:v>
      </x:c>
      <x:c r="I67" s="95" t="str">
        <x:v>每个结论能否回溯到来源；每次工具调用是否有权限、模式与验证？</x:v>
      </x:c>
      <x:c r="J67" s="96" t="str">
        <x:v>https://www.nature.com/articles/s41551-025-01463-z</x:v>
      </x:c>
    </x:row>
    <x:row r="68">
      <x:c r="A68" s="102" t="n">
        <x:v>64</x:v>
      </x:c>
      <x:c r="B68" s="95" t="str">
        <x:v>M8 RAG与结论接地</x:v>
      </x:c>
      <x:c r="C68" s="95" t="str">
        <x:v>T0760</x:v>
      </x:c>
      <x:c r="D68" s="95" t="str">
        <x:v>科学大模型智能体：知识、检索与工具接地</x:v>
      </x:c>
      <x:c r="E68" s="95" t="str">
        <x:v>科学幻觉检测</x:v>
      </x:c>
      <x:c r="F68" s="95" t="str">
        <x:v>迁移发现</x:v>
      </x:c>
      <x:c r="G68" s="95" t="str">
        <x:v>主张绑定原文证据、条件、反例和证据等级；结构化输出并检测矛盾/科学幻觉。</x:v>
      </x:c>
      <x:c r="H68" s="95" t="str">
        <x:v>关键主张引用忠实且可定位；无证据或越级主张被验证器拦截。</x:v>
      </x:c>
      <x:c r="I68" s="95" t="str">
        <x:v>每个结论能否回溯到来源；每次工具调用是否有权限、模式与验证？</x:v>
      </x:c>
      <x:c r="J68" s="96" t="str">
        <x:v>https://modelcontextprotocol.io/docs/getting-started/intro</x:v>
      </x:c>
    </x:row>
    <x:row r="69">
      <x:c r="A69" s="102" t="n">
        <x:v>65</x:v>
      </x:c>
      <x:c r="B69" s="95" t="str">
        <x:v>M9 规划、核验与记忆</x:v>
      </x:c>
      <x:c r="C69" s="95" t="str">
        <x:v>T0767</x:v>
      </x:c>
      <x:c r="D69" s="95" t="str">
        <x:v>Agent规划、推理、工具使用与记忆</x:v>
      </x:c>
      <x:c r="E69" s="95" t="str">
        <x:v>状态跟踪</x:v>
      </x:c>
      <x:c r="F69" s="95" t="str">
        <x:v>两线共用</x:v>
      </x:c>
      <x:c r="G69" s="95" t="str">
        <x:v>将状态跟踪、前后置检查、反思、验证器与情景/语义记忆真正接入主流程。</x:v>
      </x:c>
      <x:c r="H69" s="95" t="str">
        <x:v>记忆可改变后续选择且不污染当前事实；种子错误能被外部验证器检出。</x:v>
      </x:c>
      <x:c r="I69" s="95" t="str">
        <x:v>计划是否可执行；关键动作前后是否验证；失败是否触发回溯而非盲重试？</x:v>
      </x:c>
      <x:c r="J69" s="96" t="str">
        <x:v>https://arxiv.org/abs/2303.11366</x:v>
      </x:c>
    </x:row>
    <x:row r="70">
      <x:c r="A70" s="102" t="n">
        <x:v>66</x:v>
      </x:c>
      <x:c r="B70" s="95" t="str">
        <x:v>M9 规划、核验与记忆</x:v>
      </x:c>
      <x:c r="C70" s="95" t="str">
        <x:v>T0780</x:v>
      </x:c>
      <x:c r="D70" s="95" t="str">
        <x:v>Agent规划、推理、工具使用与记忆</x:v>
      </x:c>
      <x:c r="E70" s="95" t="str">
        <x:v>前置条件检查</x:v>
      </x:c>
      <x:c r="F70" s="95" t="str">
        <x:v>两线共用</x:v>
      </x:c>
      <x:c r="G70" s="95" t="str">
        <x:v>将状态跟踪、前后置检查、反思、验证器与情景/语义记忆真正接入主流程。</x:v>
      </x:c>
      <x:c r="H70" s="95" t="str">
        <x:v>记忆可改变后续选择且不污染当前事实；种子错误能被外部验证器检出。</x:v>
      </x:c>
      <x:c r="I70" s="95" t="str">
        <x:v>计划是否可执行；关键动作前后是否验证；失败是否触发回溯而非盲重试？</x:v>
      </x:c>
      <x:c r="J70" s="96" t="str">
        <x:v>https://developers.openai.com/api/docs/guides/agents</x:v>
      </x:c>
    </x:row>
    <x:row r="71">
      <x:c r="A71" s="102" t="n">
        <x:v>67</x:v>
      </x:c>
      <x:c r="B71" s="95" t="str">
        <x:v>M9 规划、核验与记忆</x:v>
      </x:c>
      <x:c r="C71" s="95" t="str">
        <x:v>T0781</x:v>
      </x:c>
      <x:c r="D71" s="95" t="str">
        <x:v>Agent规划、推理、工具使用与记忆</x:v>
      </x:c>
      <x:c r="E71" s="95" t="str">
        <x:v>后置条件验证</x:v>
      </x:c>
      <x:c r="F71" s="95" t="str">
        <x:v>两线共用</x:v>
      </x:c>
      <x:c r="G71" s="95" t="str">
        <x:v>将状态跟踪、前后置检查、反思、验证器与情景/语义记忆真正接入主流程。</x:v>
      </x:c>
      <x:c r="H71" s="95" t="str">
        <x:v>记忆可改变后续选择且不污染当前事实；种子错误能被外部验证器检出。</x:v>
      </x:c>
      <x:c r="I71" s="95" t="str">
        <x:v>计划是否可执行；关键动作前后是否验证；失败是否触发回溯而非盲重试？</x:v>
      </x:c>
      <x:c r="J71" s="96" t="str">
        <x:v>https://openreview.net/forum?id=WE_vluYUL-X</x:v>
      </x:c>
    </x:row>
    <x:row r="72">
      <x:c r="A72" s="102" t="n">
        <x:v>68</x:v>
      </x:c>
      <x:c r="B72" s="95" t="str">
        <x:v>M9 规划、核验与记忆</x:v>
      </x:c>
      <x:c r="C72" s="95" t="str">
        <x:v>T0787</x:v>
      </x:c>
      <x:c r="D72" s="95" t="str">
        <x:v>Agent规划、推理、工具使用与记忆</x:v>
      </x:c>
      <x:c r="E72" s="95" t="str">
        <x:v>反思</x:v>
      </x:c>
      <x:c r="F72" s="95" t="str">
        <x:v>两线共用</x:v>
      </x:c>
      <x:c r="G72" s="95" t="str">
        <x:v>将状态跟踪、前后置检查、反思、验证器与情景/语义记忆真正接入主流程。</x:v>
      </x:c>
      <x:c r="H72" s="95" t="str">
        <x:v>记忆可改变后续选择且不污染当前事实；种子错误能被外部验证器检出。</x:v>
      </x:c>
      <x:c r="I72" s="95" t="str">
        <x:v>计划是否可执行；关键动作前后是否验证；失败是否触发回溯而非盲重试？</x:v>
      </x:c>
      <x:c r="J72" s="96" t="str">
        <x:v>https://arxiv.org/abs/2303.11366</x:v>
      </x:c>
    </x:row>
    <x:row r="73">
      <x:c r="A73" s="102" t="n">
        <x:v>69</x:v>
      </x:c>
      <x:c r="B73" s="95" t="str">
        <x:v>M9 规划、核验与记忆</x:v>
      </x:c>
      <x:c r="C73" s="95" t="str">
        <x:v>T0789</x:v>
      </x:c>
      <x:c r="D73" s="95" t="str">
        <x:v>Agent规划、推理、工具使用与记忆</x:v>
      </x:c>
      <x:c r="E73" s="95" t="str">
        <x:v>自我批评</x:v>
      </x:c>
      <x:c r="F73" s="95" t="str">
        <x:v>两线共用</x:v>
      </x:c>
      <x:c r="G73" s="95" t="str">
        <x:v>将状态跟踪、前后置检查、反思、验证器与情景/语义记忆真正接入主流程。</x:v>
      </x:c>
      <x:c r="H73" s="95" t="str">
        <x:v>记忆可改变后续选择且不污染当前事实；种子错误能被外部验证器检出。</x:v>
      </x:c>
      <x:c r="I73" s="95" t="str">
        <x:v>计划是否可执行；关键动作前后是否验证；失败是否触发回溯而非盲重试？</x:v>
      </x:c>
      <x:c r="J73" s="96" t="str">
        <x:v>https://openreview.net/forum?id=WE_vluYUL-X</x:v>
      </x:c>
    </x:row>
    <x:row r="74">
      <x:c r="A74" s="102" t="n">
        <x:v>70</x:v>
      </x:c>
      <x:c r="B74" s="95" t="str">
        <x:v>M9 规划、核验与记忆</x:v>
      </x:c>
      <x:c r="C74" s="95" t="str">
        <x:v>T0790</x:v>
      </x:c>
      <x:c r="D74" s="95" t="str">
        <x:v>Agent规划、推理、工具使用与记忆</x:v>
      </x:c>
      <x:c r="E74" s="95" t="str">
        <x:v>验证器模型</x:v>
      </x:c>
      <x:c r="F74" s="95" t="str">
        <x:v>两线共用</x:v>
      </x:c>
      <x:c r="G74" s="95" t="str">
        <x:v>将状态跟踪、前后置检查、反思、验证器与情景/语义记忆真正接入主流程。</x:v>
      </x:c>
      <x:c r="H74" s="95" t="str">
        <x:v>记忆可改变后续选择且不污染当前事实；种子错误能被外部验证器检出。</x:v>
      </x:c>
      <x:c r="I74" s="95" t="str">
        <x:v>计划是否可执行；关键动作前后是否验证；失败是否触发回溯而非盲重试？</x:v>
      </x:c>
      <x:c r="J74" s="96" t="str">
        <x:v>https://arxiv.org/abs/2302.04761</x:v>
      </x:c>
    </x:row>
    <x:row r="75">
      <x:c r="A75" s="102" t="n">
        <x:v>71</x:v>
      </x:c>
      <x:c r="B75" s="95" t="str">
        <x:v>M9 规划、核验与记忆</x:v>
      </x:c>
      <x:c r="C75" s="95" t="str">
        <x:v>T0794</x:v>
      </x:c>
      <x:c r="D75" s="95" t="str">
        <x:v>Agent规划、推理、工具使用与记忆</x:v>
      </x:c>
      <x:c r="E75" s="95" t="str">
        <x:v>情景记忆</x:v>
      </x:c>
      <x:c r="F75" s="95" t="str">
        <x:v>两线共用</x:v>
      </x:c>
      <x:c r="G75" s="95" t="str">
        <x:v>将状态跟踪、前后置检查、反思、验证器与情景/语义记忆真正接入主流程。</x:v>
      </x:c>
      <x:c r="H75" s="95" t="str">
        <x:v>记忆可改变后续选择且不污染当前事实；种子错误能被外部验证器检出。</x:v>
      </x:c>
      <x:c r="I75" s="95" t="str">
        <x:v>计划是否可执行；关键动作前后是否验证；失败是否触发回溯而非盲重试？</x:v>
      </x:c>
      <x:c r="J75" s="96" t="str">
        <x:v>https://arxiv.org/abs/2302.04761</x:v>
      </x:c>
    </x:row>
    <x:row r="76">
      <x:c r="A76" s="102" t="n">
        <x:v>72</x:v>
      </x:c>
      <x:c r="B76" s="95" t="str">
        <x:v>M9 规划、核验与记忆</x:v>
      </x:c>
      <x:c r="C76" s="95" t="str">
        <x:v>T0795</x:v>
      </x:c>
      <x:c r="D76" s="95" t="str">
        <x:v>Agent规划、推理、工具使用与记忆</x:v>
      </x:c>
      <x:c r="E76" s="95" t="str">
        <x:v>语义记忆</x:v>
      </x:c>
      <x:c r="F76" s="95" t="str">
        <x:v>两线共用</x:v>
      </x:c>
      <x:c r="G76" s="95" t="str">
        <x:v>将状态跟踪、前后置检查、反思、验证器与情景/语义记忆真正接入主流程。</x:v>
      </x:c>
      <x:c r="H76" s="95" t="str">
        <x:v>记忆可改变后续选择且不污染当前事实；种子错误能被外部验证器检出。</x:v>
      </x:c>
      <x:c r="I76" s="95" t="str">
        <x:v>计划是否可执行；关键动作前后是否验证；失败是否触发回溯而非盲重试？</x:v>
      </x:c>
      <x:c r="J76" s="96" t="str">
        <x:v>https://arxiv.org/abs/2303.11366</x:v>
      </x:c>
    </x:row>
    <x:row r="77">
      <x:c r="A77" s="102" t="n">
        <x:v>73</x:v>
      </x:c>
      <x:c r="B77" s="95" t="str">
        <x:v>M10 复现与科学纪律</x:v>
      </x:c>
      <x:c r="C77" s="95" t="str">
        <x:v>T0806</x:v>
      </x:c>
      <x:c r="D77" s="95" t="str">
        <x:v>多智能体与人机协同</x:v>
      </x:c>
      <x:c r="E77" s="95" t="str">
        <x:v>验证者智能体</x:v>
      </x:c>
      <x:c r="F77" s="95" t="str">
        <x:v>两线共用</x:v>
      </x:c>
      <x:c r="G77" s="95" t="str">
        <x:v>建立独立验证器、审批门、数字审计、测量不确定度、批间复现和复现包。</x:v>
      </x:c>
      <x:c r="H77" s="95" t="str">
        <x:v>关键发现通过独立批次；发布包含原始谱、协议、代码/模型、版本与审计链。</x:v>
      </x:c>
      <x:c r="I77" s="95" t="str">
        <x:v>角色边界、共享状态、冲突解决、审批与责任归属是否明确？</x:v>
      </x:c>
      <x:c r="J77" s="96" t="str">
        <x:v>https://www.nature.com/articles/s41467-025-64105-7</x:v>
      </x:c>
    </x:row>
    <x:row r="78">
      <x:c r="A78" s="102" t="n">
        <x:v>74</x:v>
      </x:c>
      <x:c r="B78" s="95" t="str">
        <x:v>M10 复现与科学纪律</x:v>
      </x:c>
      <x:c r="C78" s="95" t="str">
        <x:v>T0835</x:v>
      </x:c>
      <x:c r="D78" s="95" t="str">
        <x:v>多智能体与人机协同</x:v>
      </x:c>
      <x:c r="E78" s="95" t="str">
        <x:v>审批闸门</x:v>
      </x:c>
      <x:c r="F78" s="95" t="str">
        <x:v>两线共用</x:v>
      </x:c>
      <x:c r="G78" s="95" t="str">
        <x:v>建立独立验证器、审批门、数字审计、测量不确定度、批间复现和复现包。</x:v>
      </x:c>
      <x:c r="H78" s="95" t="str">
        <x:v>关键发现通过独立批次；发布包含原始谱、协议、代码/模型、版本与审计链。</x:v>
      </x:c>
      <x:c r="I78" s="95" t="str">
        <x:v>角色边界、共享状态、冲突解决、审批与责任归属是否明确？</x:v>
      </x:c>
      <x:c r="J78" s="96" t="str">
        <x:v>https://pubs.acs.org/doi/10.1021/jacs.4c17738</x:v>
      </x:c>
    </x:row>
    <x:row r="79">
      <x:c r="A79" s="102" t="n">
        <x:v>75</x:v>
      </x:c>
      <x:c r="B79" s="95" t="str">
        <x:v>M10 复现与科学纪律</x:v>
      </x:c>
      <x:c r="C79" s="95" t="str">
        <x:v>T0860</x:v>
      </x:c>
      <x:c r="D79" s="95" t="str">
        <x:v>可靠性、验证、复现与质量体系</x:v>
      </x:c>
      <x:c r="E79" s="95" t="str">
        <x:v>数字审计轨迹</x:v>
      </x:c>
      <x:c r="F79" s="95" t="str">
        <x:v>两线共用</x:v>
      </x:c>
      <x:c r="G79" s="95" t="str">
        <x:v>建立独立验证器、审批门、数字审计、测量不确定度、批间复现和复现包。</x:v>
      </x:c>
      <x:c r="H79" s="95" t="str">
        <x:v>关键发现通过独立批次；发布包含原始谱、协议、代码/模型、版本与审计链。</x:v>
      </x:c>
      <x:c r="I79" s="95" t="str">
        <x:v>同一输入能否确定性回放；跨批次/设备/实验室能否复现？</x:v>
      </x:c>
      <x:c r="J79" s="96" t="str">
        <x:v>https://www.fda.gov/regulatory-information/search-fda-guidance-documents/part-11-electronic-records-electronic-signatures-scope-and-application</x:v>
      </x:c>
    </x:row>
    <x:row r="80">
      <x:c r="A80" s="102" t="n">
        <x:v>76</x:v>
      </x:c>
      <x:c r="B80" s="95" t="str">
        <x:v>M10 复现与科学纪律</x:v>
      </x:c>
      <x:c r="C80" s="95" t="str">
        <x:v>T0870</x:v>
      </x:c>
      <x:c r="D80" s="95" t="str">
        <x:v>可靠性、验证、复现与质量体系</x:v>
      </x:c>
      <x:c r="E80" s="95" t="str">
        <x:v>测量不确定度</x:v>
      </x:c>
      <x:c r="F80" s="95" t="str">
        <x:v>两线共用</x:v>
      </x:c>
      <x:c r="G80" s="95" t="str">
        <x:v>建立独立验证器、审批门、数字审计、测量不确定度、批间复现和复现包。</x:v>
      </x:c>
      <x:c r="H80" s="95" t="str">
        <x:v>关键发现通过独立批次；发布包含原始谱、协议、代码/模型、版本与审计链。</x:v>
      </x:c>
      <x:c r="I80" s="95" t="str">
        <x:v>同一输入能否确定性回放；跨批次/设备/实验室能否复现？</x:v>
      </x:c>
      <x:c r="J80" s="96" t="str">
        <x:v>https://www.nature.com/articles/s41467-024-45569-5</x:v>
      </x:c>
    </x:row>
    <x:row r="81">
      <x:c r="A81" s="102" t="n">
        <x:v>77</x:v>
      </x:c>
      <x:c r="B81" s="95" t="str">
        <x:v>M10 复现与科学纪律</x:v>
      </x:c>
      <x:c r="C81" s="95" t="str">
        <x:v>T0873</x:v>
      </x:c>
      <x:c r="D81" s="95" t="str">
        <x:v>可靠性、验证、复现与质量体系</x:v>
      </x:c>
      <x:c r="E81" s="95" t="str">
        <x:v>再现性</x:v>
      </x:c>
      <x:c r="F81" s="95" t="str">
        <x:v>两线共用</x:v>
      </x:c>
      <x:c r="G81" s="95" t="str">
        <x:v>建立独立验证器、审批门、数字审计、测量不确定度、批间复现和复现包。</x:v>
      </x:c>
      <x:c r="H81" s="95" t="str">
        <x:v>关键发现通过独立批次；发布包含原始谱、协议、代码/模型、版本与审计链。</x:v>
      </x:c>
      <x:c r="I81" s="95" t="str">
        <x:v>同一输入能否确定性回放；跨批次/设备/实验室能否复现？</x:v>
      </x:c>
      <x:c r="J81" s="96" t="str">
        <x:v>https://pubs.acs.org/doi/10.1021/acs.chemrev.4c00055</x:v>
      </x:c>
    </x:row>
    <x:row r="82">
      <x:c r="A82" s="102" t="n">
        <x:v>78</x:v>
      </x:c>
      <x:c r="B82" s="95" t="str">
        <x:v>M10 复现与科学纪律</x:v>
      </x:c>
      <x:c r="C82" s="95" t="str">
        <x:v>T0880</x:v>
      </x:c>
      <x:c r="D82" s="95" t="str">
        <x:v>可靠性、验证、复现与质量体系</x:v>
      </x:c>
      <x:c r="E82" s="95" t="str">
        <x:v>复现包</x:v>
      </x:c>
      <x:c r="F82" s="95" t="str">
        <x:v>两线共用</x:v>
      </x:c>
      <x:c r="G82" s="95" t="str">
        <x:v>建立独立验证器、审批门、数字审计、测量不确定度、批间复现和复现包。</x:v>
      </x:c>
      <x:c r="H82" s="95" t="str">
        <x:v>关键发现通过独立批次；发布包含原始谱、协议、代码/模型、版本与审计链。</x:v>
      </x:c>
      <x:c r="I82" s="95" t="str">
        <x:v>同一输入能否确定性回放；跨批次/设备/实验室能否复现？</x:v>
      </x:c>
      <x:c r="J82" s="96" t="str">
        <x:v>https://www.fda.gov/regulatory-information/search-fda-guidance-documents/part-11-electronic-records-electronic-signatures-scope-and-application</x:v>
      </x:c>
    </x:row>
    <x:row r="83">
      <x:c r="A83" s="102" t="n">
        <x:v>79</x:v>
      </x:c>
      <x:c r="B83" s="95" t="str">
        <x:v>M10 复现与科学纪律</x:v>
      </x:c>
      <x:c r="C83" s="95" t="str">
        <x:v>T0997</x:v>
      </x:c>
      <x:c r="D83" s="95" t="str">
        <x:v>关键思维模型</x:v>
      </x:c>
      <x:c r="E83" s="95" t="str">
        <x:v>证据阶梯</x:v>
      </x:c>
      <x:c r="F83" s="95" t="str">
        <x:v>两线共用</x:v>
      </x:c>
      <x:c r="G83" s="95" t="str">
        <x:v>建立独立验证器、审批门、数字审计、测量不确定度、批间复现和复现包。</x:v>
      </x:c>
      <x:c r="H83" s="95" t="str">
        <x:v>关键发现通过独立批次；发布包含原始谱、协议、代码/模型、版本与审计链。</x:v>
      </x:c>
      <x:c r="I83" s="95" t="str">
        <x:v>该模型在什么条件下有效，何时会误导，如何用证据校正？</x:v>
      </x:c>
      <x:c r="J83" s="96" t="str">
        <x:v>https://pubs.acs.org/doi/10.1021/acs.chemrev.4c00055</x:v>
      </x:c>
    </x:row>
    <x:row r="84">
      <x:c r="A84" s="103" t="n">
        <x:v>80</x:v>
      </x:c>
      <x:c r="B84" s="98" t="str">
        <x:v>M10 复现与科学纪律</x:v>
      </x:c>
      <x:c r="C84" s="98" t="str">
        <x:v>T1000</x:v>
      </x:c>
      <x:c r="D84" s="98" t="str">
        <x:v>关键思维模型</x:v>
      </x:c>
      <x:c r="E84" s="98" t="str">
        <x:v>先复现后扩展</x:v>
      </x:c>
      <x:c r="F84" s="98" t="str">
        <x:v>两线共用</x:v>
      </x:c>
      <x:c r="G84" s="98" t="str">
        <x:v>建立独立验证器、审批门、数字审计、测量不确定度、批间复现和复现包。</x:v>
      </x:c>
      <x:c r="H84" s="98" t="str">
        <x:v>关键发现通过独立批次；发布包含原始谱、协议、代码/模型、版本与审计链。</x:v>
      </x:c>
      <x:c r="I84" s="98" t="str">
        <x:v>该模型在什么条件下有效，何时会误导，如何用证据校正？</x:v>
      </x:c>
      <x:c r="J84" s="99" t="str">
        <x:v>https://www.nist.gov/itl/ai-risk-management-framework</x:v>
      </x:c>
    </x:row>
  </x:sheetData>
  <x:mergeCells>
    <x:mergeCell ref="A1:J1"/>
    <x:mergeCell ref="A2:J2"/>
  </x:mergeCells>
  <x:conditionalFormatting sqref="B5:B84">
    <x:cfRule type="expression" dxfId="8" priority="1">
      <x:formula>LEFT(B5,2)="M1"</x:formula>
    </x:cfRule>
    <x:cfRule type="expression" dxfId="9" priority="2">
      <x:formula>LEFT(B5,2)="M8"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03aff80b634d2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6" hidden="0" customWidth="1"/>
    <x:col min="4" max="4" width="36" hidden="0" customWidth="1"/>
    <x:col min="5" max="5" width="42" hidden="0" customWidth="1"/>
    <x:col min="6" max="6" width="38" hidden="0" customWidth="1"/>
    <x:col min="7" max="7" width="24" hidden="0" customWidth="1"/>
    <x:col min="8" max="8" width="10" hidden="0" customWidth="1"/>
  </x:cols>
  <x:sheetData>
    <x:row r="1" ht="30" customHeight="1">
      <x:c r="A1" s="78" t="str">
        <x:v>32项场景特化补丁：1000项清单中未被充分展开的EIS与迁移发现细节</x:v>
      </x:c>
      <x:c r="B1" s="78"/>
      <x:c r="C1" s="78"/>
      <x:c r="D1" s="78"/>
      <x:c r="E1" s="78"/>
      <x:c r="F1" s="78"/>
      <x:c r="G1" s="78"/>
      <x:c r="H1" s="78"/>
    </x:row>
    <x:row r="2" ht="36" customHeight="1">
      <x:c r="A2" s="82" t="str">
        <x:v>这32项不是另起炉灶，而是把通用技术落到宽温EIS、湿态质子导体、可辨识性和小样本决策上。它们决定系统会不会把“拟合得好”误当成“机制被证明”。</x:v>
      </x:c>
      <x:c r="B2" s="82"/>
      <x:c r="C2" s="82"/>
      <x:c r="D2" s="82"/>
      <x:c r="E2" s="82"/>
      <x:c r="F2" s="82"/>
      <x:c r="G2" s="82"/>
      <x:c r="H2" s="82"/>
    </x:row>
    <x:row r="4" ht="30" customHeight="1">
      <x:c r="A4" s="91" t="str">
        <x:v>补丁ID</x:v>
      </x:c>
      <x:c r="B4" s="92" t="str">
        <x:v>类别</x:v>
      </x:c>
      <x:c r="C4" s="92" t="str">
        <x:v>场景特化技术</x:v>
      </x:c>
      <x:c r="D4" s="92" t="str">
        <x:v>解决的具体问题</x:v>
      </x:c>
      <x:c r="E4" s="92" t="str">
        <x:v>实现要点</x:v>
      </x:c>
      <x:c r="F4" s="92" t="str">
        <x:v>验收证据</x:v>
      </x:c>
      <x:c r="G4" s="92" t="str">
        <x:v>对应1000项</x:v>
      </x:c>
      <x:c r="H4" s="93" t="str">
        <x:v>阶段</x:v>
      </x:c>
    </x:row>
    <x:row r="5">
      <x:c r="A5" s="94" t="str">
        <x:v>P01</x:v>
      </x:c>
      <x:c r="B5" s="95" t="str">
        <x:v>EIS数据与质控</x:v>
      </x:c>
      <x:c r="C5" s="95" t="str">
        <x:v>EIS原始数据契约</x:v>
      </x:c>
      <x:c r="D5" s="95" t="str">
        <x:v>不同批次/程序输出不一致，无法复算与审计。</x:v>
      </x:c>
      <x:c r="E5" s="95" t="str">
        <x:v>统一保存频率、Z′/Z″、温度、湿度、扰动幅值、时间、样品几何、装夹、仪器与协议版本；原始谱只追加不覆盖。</x:v>
      </x:c>
      <x:c r="F5" s="95" t="str">
        <x:v>任一派生电导和图均可从原始谱自动重算；必填字段完整率100%。</x:v>
      </x:c>
      <x:c r="G5" s="95" t="str">
        <x:v>T0085; T0109; T0411–T0422</x:v>
      </x:c>
      <x:c r="H5" s="96" t="str">
        <x:v>M0</x:v>
      </x:c>
    </x:row>
    <x:row r="6">
      <x:c r="A6" s="94" t="str">
        <x:v>P02</x:v>
      </x:c>
      <x:c r="B6" s="95" t="str">
        <x:v>EIS数据与质控</x:v>
      </x:c>
      <x:c r="C6" s="95" t="str">
        <x:v>几何与接触不确定度传播</x:v>
      </x:c>
      <x:c r="D6" s="95" t="str">
        <x:v>膜厚、有效面积和电极接触误差会被误当成材料差异。</x:v>
      </x:c>
      <x:c r="E6" s="95" t="str">
        <x:v>厚度多点测量；面积/压力/电极批次入元数据；把L、A、R的误差传播到σ后验。</x:v>
      </x:c>
      <x:c r="F6" s="95" t="str">
        <x:v>报告σ的区间而非单值；换装夹重复的偏差进入测量不确定度预算。</x:v>
      </x:c>
      <x:c r="G6" s="95" t="str">
        <x:v>T0353–T0360; T0870</x:v>
      </x:c>
      <x:c r="H6" s="96" t="str">
        <x:v>M0</x:v>
      </x:c>
    </x:row>
    <x:row r="7">
      <x:c r="A7" s="94" t="str">
        <x:v>P03</x:v>
      </x:c>
      <x:c r="B7" s="95" t="str">
        <x:v>EIS数据与质控</x:v>
      </x:c>
      <x:c r="C7" s="95" t="str">
        <x:v>温度平衡判据</x:v>
      </x:c>
      <x:c r="D7" s="95" t="str">
        <x:v>未达热平衡的谱会制造虚假拐点或低温异常。</x:v>
      </x:c>
      <x:c r="E7" s="95" t="str">
        <x:v>每个温点设置稳定窗口；基于温度斜率与连续谱变化判定平衡，不只等待固定时间。</x:v>
      </x:c>
      <x:c r="F7" s="95" t="str">
        <x:v>所有有效谱均有平衡证据；不平衡谱自动标记Invalid。</x:v>
      </x:c>
      <x:c r="G7" s="95" t="str">
        <x:v>T0092; T0353; T0846</x:v>
      </x:c>
      <x:c r="H7" s="96" t="str">
        <x:v>M0</x:v>
      </x:c>
    </x:row>
    <x:row r="8">
      <x:c r="A8" s="94" t="str">
        <x:v>P04</x:v>
      </x:c>
      <x:c r="B8" s="95" t="str">
        <x:v>EIS数据与质控</x:v>
      </x:c>
      <x:c r="C8" s="95" t="str">
        <x:v>湿度/调理/热史状态机</x:v>
      </x:c>
      <x:c r="D8" s="95" t="str">
        <x:v>含水量、升降温路径和停留时间是隐变量。</x:v>
      </x:c>
      <x:c r="E8" s="95" t="str">
        <x:v>把制膜、干燥、调湿、密封、升/降温、循环次数建成显式状态；禁止跨状态直接比较。</x:v>
      </x:c>
      <x:c r="F8" s="95" t="str">
        <x:v>每个样品有完整状态轨迹；同状态重复可复现，跨状态差异被单独建模。</x:v>
      </x:c>
      <x:c r="G8" s="95" t="str">
        <x:v>T0056; T0090–T0092; T0418</x:v>
      </x:c>
      <x:c r="H8" s="96" t="str">
        <x:v>M0</x:v>
      </x:c>
    </x:row>
    <x:row r="9">
      <x:c r="A9" s="94" t="str">
        <x:v>P05</x:v>
      </x:c>
      <x:c r="B9" s="95" t="str">
        <x:v>EIS数据与质控</x:v>
      </x:c>
      <x:c r="C9" s="95" t="str">
        <x:v>小信号线性检验</x:v>
      </x:c>
      <x:c r="D9" s="95" t="str">
        <x:v>扰动幅值过大会破坏线性假设。</x:v>
      </x:c>
      <x:c r="E9" s="95" t="str">
        <x:v>对代表样品做幅值扫描，建立温区/阻抗区间的合格扰动幅值表。</x:v>
      </x:c>
      <x:c r="F9" s="95" t="str">
        <x:v>幅值改变时谱形与参数在预设容差内；超限自动降幅重测。</x:v>
      </x:c>
      <x:c r="G9" s="95" t="str">
        <x:v>T0117; T0841; T0871</x:v>
      </x:c>
      <x:c r="H9" s="96" t="str">
        <x:v>M0</x:v>
      </x:c>
    </x:row>
    <x:row r="10">
      <x:c r="A10" s="94" t="str">
        <x:v>P06</x:v>
      </x:c>
      <x:c r="B10" s="95" t="str">
        <x:v>EIS数据与质控</x:v>
      </x:c>
      <x:c r="C10" s="95" t="str">
        <x:v>时间不变性与漂移检验</x:v>
      </x:c>
      <x:c r="D10" s="95" t="str">
        <x:v>样品在测量过程中脱水、松弛或老化。</x:v>
      </x:c>
      <x:c r="E10" s="95" t="str">
        <x:v>同温重复短谱/锚点频率监测；估计随时间漂移，并作为上下文变量。</x:v>
      </x:c>
      <x:c r="F10" s="95" t="str">
        <x:v>漂移超阈值时停止模型解释并转入失效/不可比状态。</x:v>
      </x:c>
      <x:c r="G10" s="95" t="str">
        <x:v>T0619; T0846–T0848; T0867</x:v>
      </x:c>
      <x:c r="H10" s="96" t="str">
        <x:v>M0</x:v>
      </x:c>
    </x:row>
    <x:row r="11">
      <x:c r="A11" s="94" t="str">
        <x:v>P07</x:v>
      </x:c>
      <x:c r="B11" s="95" t="str">
        <x:v>EIS数据与质控</x:v>
      </x:c>
      <x:c r="C11" s="95" t="str">
        <x:v>Kramers–Kronig / lin-KK一致性</x:v>
      </x:c>
      <x:c r="D11" s="95" t="str">
        <x:v>非因果、非线性或非稳定谱不应进入等效电路解释。</x:v>
      </x:c>
      <x:c r="E11" s="95" t="str">
        <x:v>在拟合前做KK/lin-KK检查，保存残差、有效频段和剔除理由。</x:v>
      </x:c>
      <x:c r="F11" s="95" t="str">
        <x:v>质控结果可复算；不通过的谱不参与性能排序。</x:v>
      </x:c>
      <x:c r="G11" s="95" t="str">
        <x:v>T0013; T0436; T0871</x:v>
      </x:c>
      <x:c r="H11" s="96" t="str">
        <x:v>M0</x:v>
      </x:c>
    </x:row>
    <x:row r="12">
      <x:c r="A12" s="94" t="str">
        <x:v>P08</x:v>
      </x:c>
      <x:c r="B12" s="95" t="str">
        <x:v>EIS数据与质控</x:v>
      </x:c>
      <x:c r="C12" s="95" t="str">
        <x:v>频率窗口充分性判别</x:v>
      </x:c>
      <x:c r="D12" s="95" t="str">
        <x:v>有限频率范围可能无法识别低频/高频过程。</x:v>
      </x:c>
      <x:c r="E12" s="95" t="str">
        <x:v>根据后验与残差判断是否需要扩展频段；允许主动选择下一频率窗口。</x:v>
      </x:c>
      <x:c r="F12" s="95" t="str">
        <x:v>模型能标出“数据不含足够信息”的参数/过程，并触发补测或拒答。</x:v>
      </x:c>
      <x:c r="G12" s="95" t="str">
        <x:v>T0028; T0511; T0621</x:v>
      </x:c>
      <x:c r="H12" s="96" t="str">
        <x:v>M1</x:v>
      </x:c>
    </x:row>
    <x:row r="13">
      <x:c r="A13" s="94" t="str">
        <x:v>P09</x:v>
      </x:c>
      <x:c r="B13" s="95" t="str">
        <x:v>EIS数据与质控</x:v>
      </x:c>
      <x:c r="C13" s="95" t="str">
        <x:v>开路/短路/参考样与电缆校验</x:v>
      </x:c>
      <x:c r="D13" s="95" t="str">
        <x:v>仪器、夹具和电缆寄生效应会随温度改变。</x:v>
      </x:c>
      <x:c r="E13" s="95" t="str">
        <x:v>建立空夹具、参考电阻/参考膜、开短路例行检查和控制图。</x:v>
      </x:c>
      <x:c r="F13" s="95" t="str">
        <x:v>参考样漂移在控制限内；超限时自动冻结实验批次。</x:v>
      </x:c>
      <x:c r="G13" s="95" t="str">
        <x:v>T0490; T0865–T0868</x:v>
      </x:c>
      <x:c r="H13" s="96" t="str">
        <x:v>M0</x:v>
      </x:c>
    </x:row>
    <x:row r="14">
      <x:c r="A14" s="94" t="str">
        <x:v>P10</x:v>
      </x:c>
      <x:c r="B14" s="95" t="str">
        <x:v>EIS数据与质控</x:v>
      </x:c>
      <x:c r="C14" s="95" t="str">
        <x:v>失效谱自动分型</x:v>
      </x:c>
      <x:c r="D14" s="95" t="str">
        <x:v>坏谱不应只被删除，否则会丢失可行性信息。</x:v>
      </x:c>
      <x:c r="E14" s="95" t="str">
        <x:v>将接触失效、膜破裂、短路、超量程、未平衡、漂移等编码为结构化失败标签。</x:v>
      </x:c>
      <x:c r="F14" s="95" t="str">
        <x:v>失败原因可复查；优化器能使用失败标签训练可行性模型。</x:v>
      </x:c>
      <x:c r="G14" s="95" t="str">
        <x:v>T0102; T0598; T0847–T0848</x:v>
      </x:c>
      <x:c r="H14" s="96" t="str">
        <x:v>M0</x:v>
      </x:c>
    </x:row>
    <x:row r="15">
      <x:c r="A15" s="94" t="str">
        <x:v>P11</x:v>
      </x:c>
      <x:c r="B15" s="95" t="str">
        <x:v>EIS推断与可辨识性</x:v>
      </x:c>
      <x:c r="C15" s="95" t="str">
        <x:v>DRT与模型无关特征</x:v>
      </x:c>
      <x:c r="D15" s="95" t="str">
        <x:v>单一等效电路容易把先验结构强加给数据。</x:v>
      </x:c>
      <x:c r="E15" s="95" t="str">
        <x:v>并行提取DRT、弧数、峰位、谱形距离和局部斜率，作为模型比较与异常检测特征。</x:v>
      </x:c>
      <x:c r="F15" s="95" t="str">
        <x:v>不同分析路径对主要现象结论一致；不一致时标记Inconclusive。</x:v>
      </x:c>
      <x:c r="G15" s="95" t="str">
        <x:v>T0641; T0663; T0672</x:v>
      </x:c>
      <x:c r="H15" s="96" t="str">
        <x:v>M1</x:v>
      </x:c>
    </x:row>
    <x:row r="16">
      <x:c r="A16" s="94" t="str">
        <x:v>P12</x:v>
      </x:c>
      <x:c r="B16" s="95" t="str">
        <x:v>EIS推断与可辨识性</x:v>
      </x:c>
      <x:c r="C16" s="95" t="str">
        <x:v>等效电路候选语法</x:v>
      </x:c>
      <x:c r="D16" s="95" t="str">
        <x:v>人工选一个电路会引入研究者偏差。</x:v>
      </x:c>
      <x:c r="E16" s="95" t="str">
        <x:v>定义物理可接受元件、串并联组合、复杂度上限和禁止结构，自动生成候选集。</x:v>
      </x:c>
      <x:c r="F16" s="95" t="str">
        <x:v>候选集可追溯；无无意义/不可辨识的自由组合。</x:v>
      </x:c>
      <x:c r="G16" s="95" t="str">
        <x:v>T0083; T0104; T0641</x:v>
      </x:c>
      <x:c r="H16" s="96" t="str">
        <x:v>M1</x:v>
      </x:c>
    </x:row>
    <x:row r="17">
      <x:c r="A17" s="94" t="str">
        <x:v>P13</x:v>
      </x:c>
      <x:c r="B17" s="95" t="str">
        <x:v>EIS推断与可辨识性</x:v>
      </x:c>
      <x:c r="C17" s="95" t="str">
        <x:v>贝叶斯等效电路推断</x:v>
      </x:c>
      <x:c r="D17" s="95" t="str">
        <x:v>点估计无法表达参数相关性和多解。</x:v>
      </x:c>
      <x:c r="E17" s="95" t="str">
        <x:v>对候选电路做先验、后验采样/近似、参数相关性与区间输出。</x:v>
      </x:c>
      <x:c r="F17" s="95" t="str">
        <x:v>报告后验与相关性；不再仅报告最小二乘最优值。</x:v>
      </x:c>
      <x:c r="G17" s="95" t="str">
        <x:v>T0521; T0603; T0664</x:v>
      </x:c>
      <x:c r="H17" s="96" t="str">
        <x:v>M1</x:v>
      </x:c>
    </x:row>
    <x:row r="18">
      <x:c r="A18" s="94" t="str">
        <x:v>P14</x:v>
      </x:c>
      <x:c r="B18" s="95" t="str">
        <x:v>EIS推断与可辨识性</x:v>
      </x:c>
      <x:c r="C18" s="95" t="str">
        <x:v>实际可辨识性分析</x:v>
      </x:c>
      <x:c r="D18" s="95" t="str">
        <x:v>拟合很好不代表参数可确定。</x:v>
      </x:c>
      <x:c r="E18" s="95" t="str">
        <x:v>检查后验宽度、参数相关、profile likelihood/敏感性及频段贡献。</x:v>
      </x:c>
      <x:c r="F18" s="95" t="str">
        <x:v>不可辨识参数不进入机理主张；系统建议补测频段/温点。</x:v>
      </x:c>
      <x:c r="G18" s="95" t="str">
        <x:v>T0625; T0638; T0663</x:v>
      </x:c>
      <x:c r="H18" s="96" t="str">
        <x:v>M1</x:v>
      </x:c>
    </x:row>
    <x:row r="19">
      <x:c r="A19" s="94" t="str">
        <x:v>P15</x:v>
      </x:c>
      <x:c r="B19" s="95" t="str">
        <x:v>EIS推断与可辨识性</x:v>
      </x:c>
      <x:c r="C19" s="95" t="str">
        <x:v>模型比较与贝叶斯模型平均</x:v>
      </x:c>
      <x:c r="D19" s="95" t="str">
        <x:v>多个电路/传导模型可能同样解释数据。</x:v>
      </x:c>
      <x:c r="E19" s="95" t="str">
        <x:v>使用预测性能、复杂度惩罚和后验模型权重，不按单一R²选模。</x:v>
      </x:c>
      <x:c r="F19" s="95" t="str">
        <x:v>结论对模型选择的敏感性被量化；必要时输出多模型平均。</x:v>
      </x:c>
      <x:c r="G19" s="95" t="str">
        <x:v>T0603; T0672; T0999</x:v>
      </x:c>
      <x:c r="H19" s="96" t="str">
        <x:v>M1</x:v>
      </x:c>
    </x:row>
    <x:row r="20">
      <x:c r="A20" s="94" t="str">
        <x:v>P16</x:v>
      </x:c>
      <x:c r="B20" s="95" t="str">
        <x:v>EIS推断与可辨识性</x:v>
      </x:c>
      <x:c r="C20" s="95" t="str">
        <x:v>后验预测检查与结构残差</x:v>
      </x:c>
      <x:c r="D20" s="95" t="str">
        <x:v>随机残差小不等于模型正确。</x:v>
      </x:c>
      <x:c r="E20" s="95" t="str">
        <x:v>检查全频段/温区后验预测、残差自相关、系统性偏差和极端频点。</x:v>
      </x:c>
      <x:c r="F20" s="95" t="str">
        <x:v>模型失配触发灰箱偏差项或拒绝解释。</x:v>
      </x:c>
      <x:c r="G20" s="95" t="str">
        <x:v>T0603; T0627; T0672</x:v>
      </x:c>
      <x:c r="H20" s="96" t="str">
        <x:v>M1</x:v>
      </x:c>
    </x:row>
    <x:row r="21">
      <x:c r="A21" s="94" t="str">
        <x:v>P17</x:v>
      </x:c>
      <x:c r="B21" s="95" t="str">
        <x:v>EIS推断与可辨识性</x:v>
      </x:c>
      <x:c r="C21" s="95" t="str">
        <x:v>电导率全链路不确定度</x:v>
      </x:c>
      <x:c r="D21" s="95" t="str">
        <x:v>原始谱、拟合、几何和批次误差通常被割裂。</x:v>
      </x:c>
      <x:c r="E21" s="95" t="str">
        <x:v>建立从Z→R→σ→温度模型的联合不确定度传播。</x:v>
      </x:c>
      <x:c r="F21" s="95" t="str">
        <x:v>所有关键指标都带可信区间；排序使用超越概率而非点值。</x:v>
      </x:c>
      <x:c r="G21" s="95" t="str">
        <x:v>T0601–T0603; T0637; T0870</x:v>
      </x:c>
      <x:c r="H21" s="96" t="str">
        <x:v>M0</x:v>
      </x:c>
    </x:row>
    <x:row r="22">
      <x:c r="A22" s="94" t="str">
        <x:v>P18</x:v>
      </x:c>
      <x:c r="B22" s="95" t="str">
        <x:v>EIS推断与可辨识性</x:v>
      </x:c>
      <x:c r="C22" s="95" t="str">
        <x:v>Arrhenius/VTF/分段模型竞争</x:v>
      </x:c>
      <x:c r="D22" s="95" t="str">
        <x:v>仅线性拟合会把转变、冻结或松弛误判为单一活化过程。</x:v>
      </x:c>
      <x:c r="E22" s="95" t="str">
        <x:v>比较Arrhenius、VTF、分段/变点及模型偏差；避免事后挑区间。</x:v>
      </x:c>
      <x:c r="F22" s="95" t="str">
        <x:v>模型权重、变点概率和外推风险同时报告。</x:v>
      </x:c>
      <x:c r="G22" s="95" t="str">
        <x:v>T0641; T0672–T0674</x:v>
      </x:c>
      <x:c r="H22" s="96" t="str">
        <x:v>M1</x:v>
      </x:c>
    </x:row>
    <x:row r="23">
      <x:c r="A23" s="94" t="str">
        <x:v>P19</x:v>
      </x:c>
      <x:c r="B23" s="95" t="str">
        <x:v>EIS推断与可辨识性</x:v>
      </x:c>
      <x:c r="C23" s="95" t="str">
        <x:v>转变点与异常温区检测</x:v>
      </x:c>
      <x:c r="D23" s="95" t="str">
        <x:v>低温行为可能只在窄温区出现。</x:v>
      </x:c>
      <x:c r="E23" s="95" t="str">
        <x:v>用变点后验、局部曲率和自适应温点加密定位。</x:v>
      </x:c>
      <x:c r="F23" s="95" t="str">
        <x:v>转变温度带区间；重复扫描能复现或被判为偶发。</x:v>
      </x:c>
      <x:c r="G23" s="95" t="str">
        <x:v>T0028; T0511; T0620</x:v>
      </x:c>
      <x:c r="H23" s="96" t="str">
        <x:v>M1</x:v>
      </x:c>
    </x:row>
    <x:row r="24">
      <x:c r="A24" s="94" t="str">
        <x:v>P20</x:v>
      </x:c>
      <x:c r="B24" s="95" t="str">
        <x:v>EIS推断与可辨识性</x:v>
      </x:c>
      <x:c r="C24" s="95" t="str">
        <x:v>升降温滞后与不可逆性指标</x:v>
      </x:c>
      <x:c r="D24" s="95" t="str">
        <x:v>热史效应会被误作配方性能。</x:v>
      </x:c>
      <x:c r="E24" s="95" t="str">
        <x:v>成对升/降温；计算logσ曲线滞后面积、循环漂移和恢复率。</x:v>
      </x:c>
      <x:c r="F24" s="95" t="str">
        <x:v>滞后/不可逆被纳入行为向量和优化约束。</x:v>
      </x:c>
      <x:c r="G24" s="95" t="str">
        <x:v>T0487; T0509; T0619</x:v>
      </x:c>
      <x:c r="H24" s="96" t="str">
        <x:v>M0</x:v>
      </x:c>
    </x:row>
    <x:row r="25">
      <x:c r="A25" s="94" t="str">
        <x:v>P21</x:v>
      </x:c>
      <x:c r="B25" s="95" t="str">
        <x:v>EIS推断与可辨识性</x:v>
      </x:c>
      <x:c r="C25" s="95" t="str">
        <x:v>批次—样品—温度层级贝叶斯模型</x:v>
      </x:c>
      <x:c r="D25" s="95" t="str">
        <x:v>小样本下批次差异容易被当作材料效应。</x:v>
      </x:c>
      <x:c r="E25" s="95" t="str">
        <x:v>将批次、样品、测次、温点设为层级，批次/日期/原料批号作为随机效应或上下文。</x:v>
      </x:c>
      <x:c r="F25" s="95" t="str">
        <x:v>配方效应与批次效应分开报告；独立批次后验可更新。</x:v>
      </x:c>
      <x:c r="G25" s="95" t="str">
        <x:v>T0507–T0509; T0630; T0633</x:v>
      </x:c>
      <x:c r="H25" s="96" t="str">
        <x:v>M0</x:v>
      </x:c>
    </x:row>
    <x:row r="26">
      <x:c r="A26" s="94" t="str">
        <x:v>P22</x:v>
      </x:c>
      <x:c r="B26" s="95" t="str">
        <x:v>EIS推断与可辨识性</x:v>
      </x:c>
      <x:c r="C26" s="95" t="str">
        <x:v>潜在材料状态/信念状态模型</x:v>
      </x:c>
      <x:c r="D26" s="95" t="str">
        <x:v>没有结构表征时真实水合、界面和微结构不可见。</x:v>
      </x:c>
      <x:c r="E26" s="95" t="str">
        <x:v>把不可见状态z作为潜变量，以热史、湿度、谱特征更新belief，而非假装完全观测。</x:v>
      </x:c>
      <x:c r="F26" s="95" t="str">
        <x:v>策略基于belief与其不确定性；超出适用域自动降级。</x:v>
      </x:c>
      <x:c r="G26" s="95" t="str">
        <x:v>T0602; T0670–T0674; T0768</x:v>
      </x:c>
      <x:c r="H26" s="96" t="str">
        <x:v>M2</x:v>
      </x:c>
    </x:row>
    <x:row r="27">
      <x:c r="A27" s="94" t="str">
        <x:v>P23</x:v>
      </x:c>
      <x:c r="B27" s="95" t="str">
        <x:v>迁移发现</x:v>
      </x:c>
      <x:c r="C27" s="95" t="str">
        <x:v>可迁移因果母题抽取</x:v>
      </x:c>
      <x:c r="D27" s="95" t="str">
        <x:v>酸–黏土知识不能直接类比到生物聚合物–黏土。</x:v>
      </x:c>
      <x:c r="E27" s="95" t="str">
        <x:v>从文献抽取质子供体密度、水保持、氢键连续性、限域、酸固定、界面贯通、链段运动等母题。</x:v>
      </x:c>
      <x:c r="F27" s="95" t="str">
        <x:v>每个母题都有来源、适用条件和反例。</x:v>
      </x:c>
      <x:c r="G27" s="95" t="str">
        <x:v>T0003–T0005; T0729–T0739</x:v>
      </x:c>
      <x:c r="H27" s="96" t="str">
        <x:v>M0</x:v>
      </x:c>
    </x:row>
    <x:row r="28">
      <x:c r="A28" s="94" t="str">
        <x:v>P24</x:v>
      </x:c>
      <x:c r="B28" s="95" t="str">
        <x:v>迁移发现</x:v>
      </x:c>
      <x:c r="C28" s="95" t="str">
        <x:v>桥接假设登记册</x:v>
      </x:c>
      <x:c r="D28" s="95" t="str">
        <x:v>迁移推理最脆弱处是未明说的跨体系假设。</x:v>
      </x:c>
      <x:c r="E28" s="95" t="str">
        <x:v>为每个源→目标推理记录桥接假设、依赖证据、风险和可反驳实验。</x:v>
      </x:c>
      <x:c r="F28" s="95" t="str">
        <x:v>任何候选排序都能追到桥接假设；失败后可定位是哪一桥失效。</x:v>
      </x:c>
      <x:c r="G28" s="95" t="str">
        <x:v>T0002; T0020; T0039; T0998</x:v>
      </x:c>
      <x:c r="H28" s="96" t="str">
        <x:v>M0</x:v>
      </x:c>
    </x:row>
    <x:row r="29">
      <x:c r="A29" s="94" t="str">
        <x:v>P25</x:v>
      </x:c>
      <x:c r="B29" s="95" t="str">
        <x:v>迁移发现</x:v>
      </x:c>
      <x:c r="C29" s="95" t="str">
        <x:v>预测签名编译器</x:v>
      </x:c>
      <x:c r="D29" s="95" t="str">
        <x:v>机理文字必须转成EIS可观测预测。</x:v>
      </x:c>
      <x:c r="E29" s="95" t="str">
        <x:v>把假设编译为温度趋势、变点、滞后、频谱/DRT特征、批次稳定性和负例预期。</x:v>
      </x:c>
      <x:c r="F29" s="95" t="str">
        <x:v>实验前冻结预测；实验后不允许改写以迎合结果。</x:v>
      </x:c>
      <x:c r="G29" s="95" t="str">
        <x:v>T0005; T0009; T0731; T0743</x:v>
      </x:c>
      <x:c r="H29" s="96" t="str">
        <x:v>M0</x:v>
      </x:c>
    </x:row>
    <x:row r="30">
      <x:c r="A30" s="94" t="str">
        <x:v>P26</x:v>
      </x:c>
      <x:c r="B30" s="95" t="str">
        <x:v>迁移发现</x:v>
      </x:c>
      <x:c r="C30" s="95" t="str">
        <x:v>正例、反例与对抗性对照组合</x:v>
      </x:c>
      <x:c r="D30" s="95" t="str">
        <x:v>只测看好的候选会高估迁移能力。</x:v>
      </x:c>
      <x:c r="E30" s="95" t="str">
        <x:v>候选组合同时覆盖预测正例、结构相似但应失败的反例、母体系/空白和过程对照。</x:v>
      </x:c>
      <x:c r="F30" s="95" t="str">
        <x:v>能区分“命中”与“泛化式事后解释”；负结果完整入库。</x:v>
      </x:c>
      <x:c r="G30" s="95" t="str">
        <x:v>T0019; T0488–T0490; T0998</x:v>
      </x:c>
      <x:c r="H30" s="96" t="str">
        <x:v>M0</x:v>
      </x:c>
    </x:row>
    <x:row r="31">
      <x:c r="A31" s="94" t="str">
        <x:v>P27</x:v>
      </x:c>
      <x:c r="B31" s="95" t="str">
        <x:v>迁移发现</x:v>
      </x:c>
      <x:c r="C31" s="95" t="str">
        <x:v>假设判别型采集函数</x:v>
      </x:c>
      <x:c r="D31" s="95" t="str">
        <x:v>性能最高的实验未必最能区分机制。</x:v>
      </x:c>
      <x:c r="E31" s="95" t="str">
        <x:v>以期望信息增益/模型熵下降选择温点、候选和重复，必要时与性能改进加权。</x:v>
      </x:c>
      <x:c r="F31" s="95" t="str">
        <x:v>固定预算下，假设后验分离度优于随机/性能单目标策略。</x:v>
      </x:c>
      <x:c r="G31" s="95" t="str">
        <x:v>T0025; T0534–T0536; T0965</x:v>
      </x:c>
      <x:c r="H31" s="96" t="str">
        <x:v>M1</x:v>
      </x:c>
    </x:row>
    <x:row r="32">
      <x:c r="A32" s="94" t="str">
        <x:v>P28</x:v>
      </x:c>
      <x:c r="B32" s="95" t="str">
        <x:v>迁移发现</x:v>
      </x:c>
      <x:c r="C32" s="95" t="str">
        <x:v>主张—证据—反例图动态更新</x:v>
      </x:c>
      <x:c r="D32" s="95" t="str">
        <x:v>发现过程需要累积而非每轮重新提示。</x:v>
      </x:c>
      <x:c r="E32" s="95" t="str">
        <x:v>图中保存主张、证据、条件、反例、桥接假设、实验和版本；新结果触发支持/反驳边更新。</x:v>
      </x:c>
      <x:c r="F32" s="95" t="str">
        <x:v>可回答“为何相信、何时不适用、什么证据会推翻”。</x:v>
      </x:c>
      <x:c r="G32" s="95" t="str">
        <x:v>T0038–T0040; T0408; T0738–T0742</x:v>
      </x:c>
      <x:c r="H32" s="96" t="str">
        <x:v>M0</x:v>
      </x:c>
    </x:row>
    <x:row r="33">
      <x:c r="A33" s="94" t="str">
        <x:v>P29</x:v>
      </x:c>
      <x:c r="B33" s="95" t="str">
        <x:v>闭环优化与验证</x:v>
      </x:c>
      <x:c r="C33" s="95" t="str">
        <x:v>混料约束+混合变量联合设计空间</x:v>
      </x:c>
      <x:c r="D33" s="95" t="str">
        <x:v>配方比例和工艺变量同时存在，且质量分数有和约束。</x:v>
      </x:c>
      <x:c r="E33" s="95" t="str">
        <x:v>使用混料坐标/单纯形变换；类别、整数、连续变量分别编码，硬约束先过滤。</x:v>
      </x:c>
      <x:c r="F33" s="95" t="str">
        <x:v>推荐永远满足物料守恒和仪器边界；可行域覆盖可视化。</x:v>
      </x:c>
      <x:c r="G33" s="95" t="str">
        <x:v>T0506; T0544–T0545; T0570</x:v>
      </x:c>
      <x:c r="H33" s="96" t="str">
        <x:v>M0</x:v>
      </x:c>
    </x:row>
    <x:row r="34">
      <x:c r="A34" s="94" t="str">
        <x:v>P30</x:v>
      </x:c>
      <x:c r="B34" s="95" t="str">
        <x:v>闭环优化与验证</x:v>
      </x:c>
      <x:c r="C34" s="95" t="str">
        <x:v>自适应重复分配</x:v>
      </x:c>
      <x:c r="D34" s="95" t="str">
        <x:v>昂贵实验下不能每点等量重复，也不能完全不重复。</x:v>
      </x:c>
      <x:c r="E34" s="95" t="str">
        <x:v>在Pareto边界、决策边界、异常点或偶然噪声占优处增加重复；知识不足则探索新点。</x:v>
      </x:c>
      <x:c r="F34" s="95" t="str">
        <x:v>重复预算显著降低错误排序；策略可解释每次为何重复。</x:v>
      </x:c>
      <x:c r="G34" s="95" t="str">
        <x:v>T0487; T0548; T0601–T0602</x:v>
      </x:c>
      <x:c r="H34" s="96" t="str">
        <x:v>M1</x:v>
      </x:c>
    </x:row>
    <x:row r="35">
      <x:c r="A35" s="94" t="str">
        <x:v>P31</x:v>
      </x:c>
      <x:c r="B35" s="95" t="str">
        <x:v>闭环优化与验证</x:v>
      </x:c>
      <x:c r="C35" s="95" t="str">
        <x:v>性能—信息—成本双目标采集</x:v>
      </x:c>
      <x:c r="D35" s="95" t="str">
        <x:v>迁移发现与优化应共用一个决策框架。</x:v>
      </x:c>
      <x:c r="E35" s="95" t="str">
        <x:v>a*=argmax[λ·信息增益+(1−λ)·预期性能改进−β·成本−γ·风险]；不同模式调整λ。</x:v>
      </x:c>
      <x:c r="F35" s="95" t="str">
        <x:v>同一策略可在发现模式和优化模式切换，且每次推荐有分项效用解释。</x:v>
      </x:c>
      <x:c r="G35" s="95" t="str">
        <x:v>T0025–T0029; T0580–T0581; T0964–T0965</x:v>
      </x:c>
      <x:c r="H35" s="96" t="str">
        <x:v>M1</x:v>
      </x:c>
    </x:row>
    <x:row r="36">
      <x:c r="A36" s="97" t="str">
        <x:v>P32</x:v>
      </x:c>
      <x:c r="B36" s="98" t="str">
        <x:v>闭环优化与验证</x:v>
      </x:c>
      <x:c r="C36" s="98" t="str">
        <x:v>前瞻预注册、数字回放与消融基准</x:v>
      </x:c>
      <x:c r="D36" s="98" t="str">
        <x:v>单次成功无法证明智能体有效。</x:v>
      </x:c>
      <x:c r="E36" s="98" t="str">
        <x:v>历史数据按时间切分回放；前瞻冻结预测；对比随机/DoE/BO-only/LLM-only/完整系统，并做去记忆/去验证器/去校准消融。</x:v>
      </x:c>
      <x:c r="F36" s="98" t="str">
        <x:v>固定预算、多随机种子/批次下报告遗憾、超体积、误支持率、校准和复现率。</x:v>
      </x:c>
      <x:c r="G36" s="98" t="str">
        <x:v>T0632–T0634; T0877–T0880; T0932; T0959–T0960</x:v>
      </x:c>
      <x:c r="H36" s="99" t="str">
        <x:v>M0</x:v>
      </x:c>
    </x:row>
  </x:sheetData>
  <x:mergeCells>
    <x:mergeCell ref="A1:H1"/>
    <x:mergeCell ref="A2:H2"/>
  </x:mergeCells>
  <x:conditionalFormatting sqref="H5:H36">
    <x:cfRule type="expression" dxfId="10" priority="1">
      <x:formula>H5="M0"</x:formula>
    </x:cfRule>
    <x:cfRule type="expression" dxfId="11" priority="2">
      <x:formula>H5="M1"</x:formula>
    </x:cfRule>
    <x:cfRule type="expression" dxfId="12" priority="3">
      <x:formula>H5="M2"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602ee952da46c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42" hidden="0" customWidth="1"/>
    <x:col min="5" max="5" width="16" hidden="0" customWidth="1"/>
    <x:col min="6" max="6" width="18" hidden="0" customWidth="1"/>
    <x:col min="7" max="7" width="40" hidden="0" customWidth="1"/>
    <x:col min="8" max="8" width="18" hidden="0" customWidth="1"/>
  </x:cols>
  <x:sheetData>
    <x:row r="1" ht="30" customHeight="1">
      <x:c r="A1" s="78" t="str">
        <x:v>两种模式共用的传导行为向量、可信指标与运营指标</x:v>
      </x:c>
      <x:c r="B1" s="78"/>
      <x:c r="C1" s="78"/>
      <x:c r="D1" s="78"/>
      <x:c r="E1" s="78"/>
      <x:c r="F1" s="78"/>
      <x:c r="G1" s="78"/>
      <x:c r="H1" s="78"/>
    </x:row>
    <x:row r="2" ht="36" customHeight="1">
      <x:c r="A2" s="82" t="str">
        <x:v>推荐主行为向量 B = [logσ(Tk), AUC_LT, R_LT, Ea/模型权重, 变点, 热滞后, 循环漂移, 批间复现, EIS质量, 可行性, 成本]。所有指标均带条件、版本和不确定度。</x:v>
      </x:c>
      <x:c r="B2" s="82"/>
      <x:c r="C2" s="82"/>
      <x:c r="D2" s="82"/>
      <x:c r="E2" s="82"/>
      <x:c r="F2" s="82"/>
      <x:c r="G2" s="82"/>
      <x:c r="H2" s="82"/>
    </x:row>
    <x:row r="4" ht="30" customHeight="1">
      <x:c r="A4" s="91" t="str">
        <x:v>指标ID</x:v>
      </x:c>
      <x:c r="B4" s="92" t="str">
        <x:v>指标层</x:v>
      </x:c>
      <x:c r="C4" s="92" t="str">
        <x:v>统一指标</x:v>
      </x:c>
      <x:c r="D4" s="92" t="str">
        <x:v>定义 / 公式</x:v>
      </x:c>
      <x:c r="E4" s="92" t="str">
        <x:v>适用模式</x:v>
      </x:c>
      <x:c r="F4" s="92" t="str">
        <x:v>统计层级</x:v>
      </x:c>
      <x:c r="G4" s="92" t="str">
        <x:v>不确定性与质控要求</x:v>
      </x:c>
      <x:c r="H4" s="93" t="str">
        <x:v>主要用途</x:v>
      </x:c>
    </x:row>
    <x:row r="5">
      <x:c r="A5" s="94" t="str">
        <x:v>M01</x:v>
      </x:c>
      <x:c r="B5" s="95" t="str">
        <x:v>质控</x:v>
      </x:c>
      <x:c r="C5" s="95" t="str">
        <x:v>EIS有效谱通过率</x:v>
      </x:c>
      <x:c r="D5" s="95" t="str">
        <x:v>通过P03/P05/P06/P07/P08质控的谱数 ÷ 总谱数</x:v>
      </x:c>
      <x:c r="E5" s="95" t="str">
        <x:v>两线共用</x:v>
      </x:c>
      <x:c r="F5" s="95" t="str">
        <x:v>谱/批次</x:v>
      </x:c>
      <x:c r="G5" s="95" t="str">
        <x:v>不把无效谱作为低性能样本；Invalid单独统计。</x:v>
      </x:c>
      <x:c r="H5" s="96" t="str">
        <x:v>基础门禁</x:v>
      </x:c>
    </x:row>
    <x:row r="6">
      <x:c r="A6" s="94" t="str">
        <x:v>M02</x:v>
      </x:c>
      <x:c r="B6" s="95" t="str">
        <x:v>质控</x:v>
      </x:c>
      <x:c r="C6" s="95" t="str">
        <x:v>温度平衡证据</x:v>
      </x:c>
      <x:c r="D6" s="95" t="str">
        <x:v>每个温点的温度斜率、等待时间与连续谱变化满足稳定规则</x:v>
      </x:c>
      <x:c r="E6" s="95" t="str">
        <x:v>两线共用</x:v>
      </x:c>
      <x:c r="F6" s="95" t="str">
        <x:v>温点</x:v>
      </x:c>
      <x:c r="G6" s="95" t="str">
        <x:v>规则按仪器与样品基线标定。</x:v>
      </x:c>
      <x:c r="H6" s="96" t="str">
        <x:v>基础门禁</x:v>
      </x:c>
    </x:row>
    <x:row r="7">
      <x:c r="A7" s="94" t="str">
        <x:v>M03</x:v>
      </x:c>
      <x:c r="B7" s="95" t="str">
        <x:v>质控</x:v>
      </x:c>
      <x:c r="C7" s="95" t="str">
        <x:v>小信号线性/时间稳定性</x:v>
      </x:c>
      <x:c r="D7" s="95" t="str">
        <x:v>幅值扫描一致性与同温短时漂移</x:v>
      </x:c>
      <x:c r="E7" s="95" t="str">
        <x:v>两线共用</x:v>
      </x:c>
      <x:c r="F7" s="95" t="str">
        <x:v>样品/温区</x:v>
      </x:c>
      <x:c r="G7" s="95" t="str">
        <x:v>失败则降幅、重测或判Invalid。</x:v>
      </x:c>
      <x:c r="H7" s="96" t="str">
        <x:v>基础门禁</x:v>
      </x:c>
    </x:row>
    <x:row r="8">
      <x:c r="A8" s="94" t="str">
        <x:v>M04</x:v>
      </x:c>
      <x:c r="B8" s="95" t="str">
        <x:v>质控</x:v>
      </x:c>
      <x:c r="C8" s="95" t="str">
        <x:v>测量不确定度预算</x:v>
      </x:c>
      <x:c r="D8" s="95" t="str">
        <x:v>几何、接触、仪器、拟合、批次各误差对σ方差的贡献</x:v>
      </x:c>
      <x:c r="E8" s="95" t="str">
        <x:v>两线共用</x:v>
      </x:c>
      <x:c r="F8" s="95" t="str">
        <x:v>样品/批次</x:v>
      </x:c>
      <x:c r="G8" s="95" t="str">
        <x:v>定期更新Gage R&amp;R/参考样控制图。</x:v>
      </x:c>
      <x:c r="H8" s="96" t="str">
        <x:v>排序与门槛</x:v>
      </x:c>
    </x:row>
    <x:row r="9">
      <x:c r="A9" s="94" t="str">
        <x:v>M05</x:v>
      </x:c>
      <x:c r="B9" s="95" t="str">
        <x:v>行为</x:v>
      </x:c>
      <x:c r="C9" s="95" t="str">
        <x:v>锚点温度电导率后验</x:v>
      </x:c>
      <x:c r="D9" s="95" t="str">
        <x:v>在预定义T_k处报告log10σ(T_k)的均值、中位数和可信区间</x:v>
      </x:c>
      <x:c r="E9" s="95" t="str">
        <x:v>两线共用</x:v>
      </x:c>
      <x:c r="F9" s="95" t="str">
        <x:v>样品/批次</x:v>
      </x:c>
      <x:c r="G9" s="95" t="str">
        <x:v>禁止仅报最佳单点；温度锚点在研究前冻结。</x:v>
      </x:c>
      <x:c r="H9" s="96" t="str">
        <x:v>核心响应</x:v>
      </x:c>
    </x:row>
    <x:row r="10">
      <x:c r="A10" s="94" t="str">
        <x:v>M06</x:v>
      </x:c>
      <x:c r="B10" s="95" t="str">
        <x:v>行为</x:v>
      </x:c>
      <x:c r="C10" s="95" t="str">
        <x:v>低温传导面积 AUC_LT</x:v>
      </x:c>
      <x:c r="D10" s="95" t="str">
        <x:v>在低温区间对log10σ(T)积分或离散加权求和</x:v>
      </x:c>
      <x:c r="E10" s="95" t="str">
        <x:v>两线共用</x:v>
      </x:c>
      <x:c r="F10" s="95" t="str">
        <x:v>样品/批次</x:v>
      </x:c>
      <x:c r="G10" s="95" t="str">
        <x:v>区间与温点权重预注册；不做事后挑窗。</x:v>
      </x:c>
      <x:c r="H10" s="96" t="str">
        <x:v>核心响应</x:v>
      </x:c>
    </x:row>
    <x:row r="11">
      <x:c r="A11" s="94" t="str">
        <x:v>M07</x:v>
      </x:c>
      <x:c r="B11" s="95" t="str">
        <x:v>行为</x:v>
      </x:c>
      <x:c r="C11" s="95" t="str">
        <x:v>低温保持率 R_LT</x:v>
      </x:c>
      <x:c r="D11" s="95" t="str">
        <x:v>R_LT = σ(T_low) / σ(T_ref)，同时传播两点相关不确定度</x:v>
      </x:c>
      <x:c r="E11" s="95" t="str">
        <x:v>两线共用</x:v>
      </x:c>
      <x:c r="F11" s="95" t="str">
        <x:v>样品/批次</x:v>
      </x:c>
      <x:c r="G11" s="95" t="str">
        <x:v>T_low与T_ref预定义。</x:v>
      </x:c>
      <x:c r="H11" s="96" t="str">
        <x:v>可解释响应</x:v>
      </x:c>
    </x:row>
    <x:row r="12">
      <x:c r="A12" s="94" t="str">
        <x:v>M08</x:v>
      </x:c>
      <x:c r="B12" s="95" t="str">
        <x:v>行为</x:v>
      </x:c>
      <x:c r="C12" s="95" t="str">
        <x:v>有效活化能 E_a</x:v>
      </x:c>
      <x:c r="D12" s="95" t="str">
        <x:v>在获支持的Arrhenius区间，由斜率后验换算E_a</x:v>
      </x:c>
      <x:c r="E12" s="95" t="str">
        <x:v>两线共用</x:v>
      </x:c>
      <x:c r="F12" s="95" t="str">
        <x:v>温区/样品</x:v>
      </x:c>
      <x:c r="G12" s="95" t="str">
        <x:v>若Arrhenius模型权重低则不报告单一E_a。</x:v>
      </x:c>
      <x:c r="H12" s="96" t="str">
        <x:v>模型响应</x:v>
      </x:c>
    </x:row>
    <x:row r="13">
      <x:c r="A13" s="94" t="str">
        <x:v>M09</x:v>
      </x:c>
      <x:c r="B13" s="95" t="str">
        <x:v>行为</x:v>
      </x:c>
      <x:c r="C13" s="95" t="str">
        <x:v>VTF/分段模型权重</x:v>
      </x:c>
      <x:c r="D13" s="95" t="str">
        <x:v>各温度模型的后验权重或交叉验证预测权重</x:v>
      </x:c>
      <x:c r="E13" s="95" t="str">
        <x:v>两线共用</x:v>
      </x:c>
      <x:c r="F13" s="95" t="str">
        <x:v>样品/批次</x:v>
      </x:c>
      <x:c r="G13" s="95" t="str">
        <x:v>用于表达多模型不确定性。</x:v>
      </x:c>
      <x:c r="H13" s="96" t="str">
        <x:v>模型判别</x:v>
      </x:c>
    </x:row>
    <x:row r="14">
      <x:c r="A14" s="94" t="str">
        <x:v>M10</x:v>
      </x:c>
      <x:c r="B14" s="95" t="str">
        <x:v>行为</x:v>
      </x:c>
      <x:c r="C14" s="95" t="str">
        <x:v>转变温度后验</x:v>
      </x:c>
      <x:c r="D14" s="95" t="str">
        <x:v>变点存在概率及T*的可信区间</x:v>
      </x:c>
      <x:c r="E14" s="95" t="str">
        <x:v>迁移发现</x:v>
      </x:c>
      <x:c r="F14" s="95" t="str">
        <x:v>样品/批次</x:v>
      </x:c>
      <x:c r="G14" s="95" t="str">
        <x:v>需升/降温和独立批次支持。</x:v>
      </x:c>
      <x:c r="H14" s="96" t="str">
        <x:v>假设签名</x:v>
      </x:c>
    </x:row>
    <x:row r="15">
      <x:c r="A15" s="94" t="str">
        <x:v>M11</x:v>
      </x:c>
      <x:c r="B15" s="95" t="str">
        <x:v>行为</x:v>
      </x:c>
      <x:c r="C15" s="95" t="str">
        <x:v>热滞后面积 H_T</x:v>
      </x:c>
      <x:c r="D15" s="95" t="str">
        <x:v>H_T为升温与降温logσ曲线差异的积分</x:v>
      </x:c>
      <x:c r="E15" s="95" t="str">
        <x:v>两线共用</x:v>
      </x:c>
      <x:c r="F15" s="95" t="str">
        <x:v>循环/样品</x:v>
      </x:c>
      <x:c r="G15" s="95" t="str">
        <x:v>温点不齐时用联合模型而非简单插值。</x:v>
      </x:c>
      <x:c r="H15" s="96" t="str">
        <x:v>稳定性/约束</x:v>
      </x:c>
    </x:row>
    <x:row r="16">
      <x:c r="A16" s="94" t="str">
        <x:v>M12</x:v>
      </x:c>
      <x:c r="B16" s="95" t="str">
        <x:v>行为</x:v>
      </x:c>
      <x:c r="C16" s="95" t="str">
        <x:v>循环漂移与恢复率</x:v>
      </x:c>
      <x:c r="D16" s="95" t="str">
        <x:v>第n循环相对首循环的锚点变化、恢复比例和趋势</x:v>
      </x:c>
      <x:c r="E16" s="95" t="str">
        <x:v>两线共用</x:v>
      </x:c>
      <x:c r="F16" s="95" t="str">
        <x:v>样品/批次</x:v>
      </x:c>
      <x:c r="G16" s="95" t="str">
        <x:v>区分可逆滞后与不可逆老化。</x:v>
      </x:c>
      <x:c r="H16" s="96" t="str">
        <x:v>稳定性/约束</x:v>
      </x:c>
    </x:row>
    <x:row r="17">
      <x:c r="A17" s="94" t="str">
        <x:v>M13</x:v>
      </x:c>
      <x:c r="B17" s="95" t="str">
        <x:v>行为</x:v>
      </x:c>
      <x:c r="C17" s="95" t="str">
        <x:v>频谱/DRT签名距离</x:v>
      </x:c>
      <x:c r="D17" s="95" t="str">
        <x:v>候选与母体系或对照在归一化谱形/DRT峰上的距离</x:v>
      </x:c>
      <x:c r="E17" s="95" t="str">
        <x:v>迁移发现</x:v>
      </x:c>
      <x:c r="F17" s="95" t="str">
        <x:v>温点/样品</x:v>
      </x:c>
      <x:c r="G17" s="95" t="str">
        <x:v>仅作可观测签名，不直接等同微观机理。</x:v>
      </x:c>
      <x:c r="H17" s="96" t="str">
        <x:v>假设判别</x:v>
      </x:c>
    </x:row>
    <x:row r="18">
      <x:c r="A18" s="94" t="str">
        <x:v>M14</x:v>
      </x:c>
      <x:c r="B18" s="95" t="str">
        <x:v>复现</x:v>
      </x:c>
      <x:c r="C18" s="95" t="str">
        <x:v>批内重复性</x:v>
      </x:c>
      <x:c r="D18" s="95" t="str">
        <x:v>同一膜重复装夹/测量的CV、ICC或后验方差分量</x:v>
      </x:c>
      <x:c r="E18" s="95" t="str">
        <x:v>两线共用</x:v>
      </x:c>
      <x:c r="F18" s="95" t="str">
        <x:v>样品</x:v>
      </x:c>
      <x:c r="G18" s="95" t="str">
        <x:v>与批间复现分开报告。</x:v>
      </x:c>
      <x:c r="H18" s="96" t="str">
        <x:v>测量可靠性</x:v>
      </x:c>
    </x:row>
    <x:row r="19">
      <x:c r="A19" s="94" t="str">
        <x:v>M15</x:v>
      </x:c>
      <x:c r="B19" s="95" t="str">
        <x:v>复现</x:v>
      </x:c>
      <x:c r="C19" s="95" t="str">
        <x:v>批间复现性</x:v>
      </x:c>
      <x:c r="D19" s="95" t="str">
        <x:v>独立制膜批次对关键行为向量的等效/超越概率</x:v>
      </x:c>
      <x:c r="E19" s="95" t="str">
        <x:v>两线共用</x:v>
      </x:c>
      <x:c r="F19" s="95" t="str">
        <x:v>配方</x:v>
      </x:c>
      <x:c r="G19" s="95" t="str">
        <x:v>预设科学等效界限，不以p&gt;0.05宣称相同。</x:v>
      </x:c>
      <x:c r="H19" s="96" t="str">
        <x:v>确认门禁</x:v>
      </x:c>
    </x:row>
    <x:row r="20">
      <x:c r="A20" s="94" t="str">
        <x:v>M16</x:v>
      </x:c>
      <x:c r="B20" s="95" t="str">
        <x:v>复现</x:v>
      </x:c>
      <x:c r="C20" s="95" t="str">
        <x:v>独立确认通过率</x:v>
      </x:c>
      <x:c r="D20" s="95" t="str">
        <x:v>进入确认阶段的候选中，经新批次/新日期复现者比例</x:v>
      </x:c>
      <x:c r="E20" s="95" t="str">
        <x:v>两线共用</x:v>
      </x:c>
      <x:c r="F20" s="95" t="str">
        <x:v>项目</x:v>
      </x:c>
      <x:c r="G20" s="95" t="str">
        <x:v>必须保留失败确认。</x:v>
      </x:c>
      <x:c r="H20" s="96" t="str">
        <x:v>发现质量</x:v>
      </x:c>
    </x:row>
    <x:row r="21">
      <x:c r="A21" s="94" t="str">
        <x:v>M17</x:v>
      </x:c>
      <x:c r="B21" s="95" t="str">
        <x:v>可行性</x:v>
      </x:c>
      <x:c r="C21" s="95" t="str">
        <x:v>可成膜/可装夹/有效谱概率</x:v>
      </x:c>
      <x:c r="D21" s="95" t="str">
        <x:v>P(feasible)=三类成功事件的联合或分层概率</x:v>
      </x:c>
      <x:c r="E21" s="95" t="str">
        <x:v>闭环优化</x:v>
      </x:c>
      <x:c r="F21" s="95" t="str">
        <x:v>配方/工艺</x:v>
      </x:c>
      <x:c r="G21" s="95" t="str">
        <x:v>失败作为标签进入模型，不当作缺失。</x:v>
      </x:c>
      <x:c r="H21" s="96" t="str">
        <x:v>约束模型</x:v>
      </x:c>
    </x:row>
    <x:row r="22">
      <x:c r="A22" s="94" t="str">
        <x:v>M18</x:v>
      </x:c>
      <x:c r="B22" s="95" t="str">
        <x:v>迁移</x:v>
      </x:c>
      <x:c r="C22" s="95" t="str">
        <x:v>假设后验概率/模型赔率</x:v>
      </x:c>
      <x:c r="D22" s="95" t="str">
        <x:v>新证据后各竞争假设的后验或Bayes factor</x:v>
      </x:c>
      <x:c r="E22" s="95" t="str">
        <x:v>迁移发现</x:v>
      </x:c>
      <x:c r="F22" s="95" t="str">
        <x:v>假设</x:v>
      </x:c>
      <x:c r="G22" s="95" t="str">
        <x:v>先验与敏感性分析必须留档。</x:v>
      </x:c>
      <x:c r="H22" s="96" t="str">
        <x:v>知识更新</x:v>
      </x:c>
    </x:row>
    <x:row r="23">
      <x:c r="A23" s="94" t="str">
        <x:v>M19</x:v>
      </x:c>
      <x:c r="B23" s="95" t="str">
        <x:v>迁移</x:v>
      </x:c>
      <x:c r="C23" s="95" t="str">
        <x:v>桥接假设存活率</x:v>
      </x:c>
      <x:c r="D23" s="95" t="str">
        <x:v>源→目标桥接假设中被支持、反驳和未决的比例</x:v>
      </x:c>
      <x:c r="E23" s="95" t="str">
        <x:v>迁移发现</x:v>
      </x:c>
      <x:c r="F23" s="95" t="str">
        <x:v>迁移任务</x:v>
      </x:c>
      <x:c r="G23" s="95" t="str">
        <x:v>显示迁移失败发生在哪一层。</x:v>
      </x:c>
      <x:c r="H23" s="96" t="str">
        <x:v>迁移能力</x:v>
      </x:c>
    </x:row>
    <x:row r="24">
      <x:c r="A24" s="94" t="str">
        <x:v>M20</x:v>
      </x:c>
      <x:c r="B24" s="95" t="str">
        <x:v>迁移</x:v>
      </x:c>
      <x:c r="C24" s="95" t="str">
        <x:v>正反例判别分数</x:v>
      </x:c>
      <x:c r="D24" s="95" t="str">
        <x:v>预注册的正例/反例排序AUC、pairwise准确率或后验分离度</x:v>
      </x:c>
      <x:c r="E24" s="95" t="str">
        <x:v>迁移发现</x:v>
      </x:c>
      <x:c r="F24" s="95" t="str">
        <x:v>候选集</x:v>
      </x:c>
      <x:c r="G24" s="95" t="str">
        <x:v>反例不能从结果后补。</x:v>
      </x:c>
      <x:c r="H24" s="96" t="str">
        <x:v>迁移验证</x:v>
      </x:c>
    </x:row>
    <x:row r="25">
      <x:c r="A25" s="94" t="str">
        <x:v>M21</x:v>
      </x:c>
      <x:c r="B25" s="95" t="str">
        <x:v>智能体可信</x:v>
      </x:c>
      <x:c r="C25" s="95" t="str">
        <x:v>主张—证据完整率</x:v>
      </x:c>
      <x:c r="D25" s="95" t="str">
        <x:v>结构化主张中同时含证据ID、条件、替代解释、反驳条件者比例</x:v>
      </x:c>
      <x:c r="E25" s="95" t="str">
        <x:v>两线共用</x:v>
      </x:c>
      <x:c r="F25" s="95" t="str">
        <x:v>主张</x:v>
      </x:c>
      <x:c r="G25" s="95" t="str">
        <x:v>关键主张目标为100%结构完整。</x:v>
      </x:c>
      <x:c r="H25" s="96" t="str">
        <x:v>结论门禁</x:v>
      </x:c>
    </x:row>
    <x:row r="26">
      <x:c r="A26" s="94" t="str">
        <x:v>M22</x:v>
      </x:c>
      <x:c r="B26" s="95" t="str">
        <x:v>智能体可信</x:v>
      </x:c>
      <x:c r="C26" s="95" t="str">
        <x:v>引用蕴含/忠实率</x:v>
      </x:c>
      <x:c r="D26" s="95" t="str">
        <x:v>抽样或验证器判断引文是否真正支持主张</x:v>
      </x:c>
      <x:c r="E26" s="95" t="str">
        <x:v>迁移发现</x:v>
      </x:c>
      <x:c r="F26" s="95" t="str">
        <x:v>主张/引文</x:v>
      </x:c>
      <x:c r="G26" s="95" t="str">
        <x:v>区分引用存在与引用支持。</x:v>
      </x:c>
      <x:c r="H26" s="96" t="str">
        <x:v>RAG质量</x:v>
      </x:c>
    </x:row>
    <x:row r="27">
      <x:c r="A27" s="94" t="str">
        <x:v>M23</x:v>
      </x:c>
      <x:c r="B27" s="95" t="str">
        <x:v>智能体可信</x:v>
      </x:c>
      <x:c r="C27" s="95" t="str">
        <x:v>无证据主张率</x:v>
      </x:c>
      <x:c r="D27" s="95" t="str">
        <x:v>缺失直接证据或超出证据等级的主张数 ÷ 总主张数</x:v>
      </x:c>
      <x:c r="E27" s="95" t="str">
        <x:v>两线共用</x:v>
      </x:c>
      <x:c r="F27" s="95" t="str">
        <x:v>报告</x:v>
      </x:c>
      <x:c r="G27" s="95" t="str">
        <x:v>高风险结论必须为0；其余设严格门槛。</x:v>
      </x:c>
      <x:c r="H27" s="96" t="str">
        <x:v>安全指标</x:v>
      </x:c>
    </x:row>
    <x:row r="28">
      <x:c r="A28" s="94" t="str">
        <x:v>M24</x:v>
      </x:c>
      <x:c r="B28" s="95" t="str">
        <x:v>智能体可信</x:v>
      </x:c>
      <x:c r="C28" s="95" t="str">
        <x:v>置信校准</x:v>
      </x:c>
      <x:c r="D28" s="95" t="str">
        <x:v>Brier score、log loss、可靠性图/ECE及区间覆盖</x:v>
      </x:c>
      <x:c r="E28" s="95" t="str">
        <x:v>两线共用</x:v>
      </x:c>
      <x:c r="F28" s="95" t="str">
        <x:v>预测/主张</x:v>
      </x:c>
      <x:c r="G28" s="95" t="str">
        <x:v>置信在实验前记录；不使用事后自评。</x:v>
      </x:c>
      <x:c r="H28" s="96" t="str">
        <x:v>校准</x:v>
      </x:c>
    </x:row>
    <x:row r="29">
      <x:c r="A29" s="94" t="str">
        <x:v>M25</x:v>
      </x:c>
      <x:c r="B29" s="95" t="str">
        <x:v>智能体可信</x:v>
      </x:c>
      <x:c r="C29" s="95" t="str">
        <x:v>选择性风险/拒答效用</x:v>
      </x:c>
      <x:c r="D29" s="95" t="str">
        <x:v>在不同覆盖率下的错误率、拒答成本和人工接管收益</x:v>
      </x:c>
      <x:c r="E29" s="95" t="str">
        <x:v>两线共用</x:v>
      </x:c>
      <x:c r="F29" s="95" t="str">
        <x:v>任务</x:v>
      </x:c>
      <x:c r="G29" s="95" t="str">
        <x:v>用于确定何时自动推进、何时升级。</x:v>
      </x:c>
      <x:c r="H29" s="96" t="str">
        <x:v>自主权门槛</x:v>
      </x:c>
    </x:row>
    <x:row r="30">
      <x:c r="A30" s="94" t="str">
        <x:v>M26</x:v>
      </x:c>
      <x:c r="B30" s="95" t="str">
        <x:v>优化</x:v>
      </x:c>
      <x:c r="C30" s="95" t="str">
        <x:v>简单遗憾 simple regret</x:v>
      </x:c>
      <x:c r="D30" s="95" t="str">
        <x:v>预算结束时最优已确认候选与可达最优/回放最优的差</x:v>
      </x:c>
      <x:c r="E30" s="95" t="str">
        <x:v>闭环优化</x:v>
      </x:c>
      <x:c r="F30" s="95" t="str">
        <x:v>优化运行</x:v>
      </x:c>
      <x:c r="G30" s="95" t="str">
        <x:v>固定预算、多种子/多批次报告。</x:v>
      </x:c>
      <x:c r="H30" s="96" t="str">
        <x:v>优化效果</x:v>
      </x:c>
    </x:row>
    <x:row r="31">
      <x:c r="A31" s="94" t="str">
        <x:v>M27</x:v>
      </x:c>
      <x:c r="B31" s="95" t="str">
        <x:v>优化</x:v>
      </x:c>
      <x:c r="C31" s="95" t="str">
        <x:v>超体积/帕累托覆盖</x:v>
      </x:c>
      <x:c r="D31" s="95" t="str">
        <x:v>多目标行为向量相对参考点的hypervolume及覆盖</x:v>
      </x:c>
      <x:c r="E31" s="95" t="str">
        <x:v>闭环优化</x:v>
      </x:c>
      <x:c r="F31" s="95" t="str">
        <x:v>优化运行</x:v>
      </x:c>
      <x:c r="G31" s="95" t="str">
        <x:v>参考点与目标方向预注册。</x:v>
      </x:c>
      <x:c r="H31" s="96" t="str">
        <x:v>多目标效果</x:v>
      </x:c>
    </x:row>
    <x:row r="32">
      <x:c r="A32" s="94" t="str">
        <x:v>M28</x:v>
      </x:c>
      <x:c r="B32" s="95" t="str">
        <x:v>优化</x:v>
      </x:c>
      <x:c r="C32" s="95" t="str">
        <x:v>可行发现率</x:v>
      </x:c>
      <x:c r="D32" s="95" t="str">
        <x:v>有效实验中满足硬/软约束且进入候选集的比例</x:v>
      </x:c>
      <x:c r="E32" s="95" t="str">
        <x:v>闭环优化</x:v>
      </x:c>
      <x:c r="F32" s="95" t="str">
        <x:v>优化运行</x:v>
      </x:c>
      <x:c r="G32" s="95" t="str">
        <x:v>与推荐可行率和实验有效率分开。</x:v>
      </x:c>
      <x:c r="H32" s="96" t="str">
        <x:v>约束效果</x:v>
      </x:c>
    </x:row>
    <x:row r="33">
      <x:c r="A33" s="94" t="str">
        <x:v>M29</x:v>
      </x:c>
      <x:c r="B33" s="95" t="str">
        <x:v>优化</x:v>
      </x:c>
      <x:c r="C33" s="95" t="str">
        <x:v>每个确认改进的成本</x:v>
      </x:c>
      <x:c r="D33" s="95" t="str">
        <x:v>总实验/人时/仪器时成本 ÷ 独立确认的改进数</x:v>
      </x:c>
      <x:c r="E33" s="95" t="str">
        <x:v>闭环优化</x:v>
      </x:c>
      <x:c r="F33" s="95" t="str">
        <x:v>项目</x:v>
      </x:c>
      <x:c r="G33" s="95" t="str">
        <x:v>体现昂贵实验下的真实价值。</x:v>
      </x:c>
      <x:c r="H33" s="96" t="str">
        <x:v>经济性</x:v>
      </x:c>
    </x:row>
    <x:row r="34">
      <x:c r="A34" s="94" t="str">
        <x:v>M30</x:v>
      </x:c>
      <x:c r="B34" s="95" t="str">
        <x:v>运营</x:v>
      </x:c>
      <x:c r="C34" s="95" t="str">
        <x:v>人工干预与异常升级率</x:v>
      </x:c>
      <x:c r="D34" s="95" t="str">
        <x:v>自动运行中的人工接管次数、原因和恢复时间</x:v>
      </x:c>
      <x:c r="E34" s="95" t="str">
        <x:v>两线共用</x:v>
      </x:c>
      <x:c r="F34" s="95" t="str">
        <x:v>运行</x:v>
      </x:c>
      <x:c r="G34" s="95" t="str">
        <x:v>不把必要的科学审批当作失败，要分类型统计。</x:v>
      </x:c>
      <x:c r="H34" s="96" t="str">
        <x:v>自主度</x:v>
      </x:c>
    </x:row>
    <x:row r="35">
      <x:c r="A35" s="97" t="str">
        <x:v>M31</x:v>
      </x:c>
      <x:c r="B35" s="98" t="str">
        <x:v>复现</x:v>
      </x:c>
      <x:c r="C35" s="98" t="str">
        <x:v>端到端回放通过率</x:v>
      </x:c>
      <x:c r="D35" s="98" t="str">
        <x:v>给定原始数据、版本和环境能否确定性复算同一主张与图表</x:v>
      </x:c>
      <x:c r="E35" s="98" t="str">
        <x:v>两线共用</x:v>
      </x:c>
      <x:c r="F35" s="98" t="str">
        <x:v>运行/发布包</x:v>
      </x:c>
      <x:c r="G35" s="98" t="str">
        <x:v>协议、代码、模型、提示、数据和随机种子齐全。</x:v>
      </x:c>
      <x:c r="H35" s="99" t="str">
        <x:v>发表/复现门禁</x:v>
      </x:c>
    </x:row>
  </x:sheetData>
  <x:mergeCells>
    <x:mergeCell ref="A1:H1"/>
    <x:mergeCell ref="A2:H2"/>
  </x:mergeCells>
  <x:conditionalFormatting sqref="B5:B35">
    <x:cfRule type="expression" dxfId="13" priority="1">
      <x:formula>B5="质控"</x:formula>
    </x:cfRule>
    <x:cfRule type="expression" dxfId="14" priority="2">
      <x:formula>B5="行为"</x:formula>
    </x:cfRule>
    <x:cfRule type="expression" dxfId="15" priority="3">
      <x:formula>B5="复现"</x:formula>
    </x:cfRule>
    <x:cfRule type="expression" dxfId="16" priority="4">
      <x:formula>B5="迁移"</x:formula>
    </x:cfRule>
    <x:cfRule type="expression" dxfId="17" priority="5">
      <x:formula>B5="智能体可信"</x:formula>
    </x:cfRule>
    <x:cfRule type="expression" dxfId="18" priority="6">
      <x:formula>B5="优化"</x:formula>
    </x:cfRule>
    <x:cfRule type="expression" dxfId="19" priority="7">
      <x:formula>B5="运营"</x:formula>
    </x:cfRule>
    <x:cfRule type="expression" dxfId="20" priority="8">
      <x:formula>B5="可行性"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a14f370c664a8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2" hidden="0" customWidth="1"/>
    <x:col min="4" max="4" width="38" hidden="0" customWidth="1"/>
    <x:col min="5" max="5" width="30" hidden="0" customWidth="1"/>
    <x:col min="6" max="6" width="34" hidden="0" customWidth="1"/>
    <x:col min="7" max="7" width="36" hidden="0" customWidth="1"/>
    <x:col min="8" max="8" width="32" hidden="0" customWidth="1"/>
    <x:col min="9" max="9" width="24" hidden="0" customWidth="1"/>
  </x:cols>
  <x:sheetData>
    <x:row r="1" ht="30" customHeight="1">
      <x:c r="A1" s="78" t="str">
        <x:v>迁移发现模式：从酸–黏土知识到生物聚合物–黏土宽温EIS验证</x:v>
      </x:c>
      <x:c r="B1" s="78"/>
      <x:c r="C1" s="78"/>
      <x:c r="D1" s="78"/>
      <x:c r="E1" s="78"/>
      <x:c r="F1" s="78"/>
      <x:c r="G1" s="78"/>
      <x:c r="H1" s="78"/>
      <x:c r="I1" s="78"/>
    </x:row>
    <x:row r="2" ht="36" customHeight="1">
      <x:c r="A2" s="82" t="str">
        <x:v>核心不是做“相似材料推荐”，而是把源知识拆成可迁移母题和桥接假设，再用正例、失败反例和信息增益实验判别。</x:v>
      </x:c>
      <x:c r="B2" s="82"/>
      <x:c r="C2" s="82"/>
      <x:c r="D2" s="82"/>
      <x:c r="E2" s="82"/>
      <x:c r="F2" s="82"/>
      <x:c r="G2" s="82"/>
      <x:c r="H2" s="82"/>
      <x:c r="I2" s="82"/>
    </x:row>
    <x:row r="4" ht="30" customHeight="1">
      <x:c r="A4" s="91" t="str">
        <x:v>步骤</x:v>
      </x:c>
      <x:c r="B4" s="92" t="str">
        <x:v>阶段</x:v>
      </x:c>
      <x:c r="C4" s="92" t="str">
        <x:v>输入</x:v>
      </x:c>
      <x:c r="D4" s="92" t="str">
        <x:v>智能体职责</x:v>
      </x:c>
      <x:c r="E4" s="92" t="str">
        <x:v>确定性工具/算法</x:v>
      </x:c>
      <x:c r="F4" s="92" t="str">
        <x:v>输出</x:v>
      </x:c>
      <x:c r="G4" s="92" t="str">
        <x:v>科学门禁</x:v>
      </x:c>
      <x:c r="H4" s="92" t="str">
        <x:v>停止/决策条件</x:v>
      </x:c>
      <x:c r="I4" s="93" t="str">
        <x:v>关联技术</x:v>
      </x:c>
    </x:row>
    <x:row r="5">
      <x:c r="A5" s="94" t="n">
        <x:v>1</x:v>
      </x:c>
      <x:c r="B5" s="95" t="str">
        <x:v>研究问题与适用域冻结</x:v>
      </x:c>
      <x:c r="C5" s="95" t="str">
        <x:v>酸–黏土证据库、目标生物聚合物–黏土范围、EIS能力边界</x:v>
      </x:c>
      <x:c r="D5" s="95" t="str">
        <x:v>把“发现”改写为可证伪问题；定义只凭EIS能回答和不能回答的内容</x:v>
      </x:c>
      <x:c r="E5" s="95" t="str">
        <x:v>模板/规则引擎</x:v>
      </x:c>
      <x:c r="F5" s="95" t="str">
        <x:v>研究问题、适用域、默认最高结论等级C4</x:v>
      </x:c>
      <x:c r="G5" s="95" t="str">
        <x:v>禁止把高电导等同新机理</x:v>
      </x:c>
      <x:c r="H5" s="95" t="str">
        <x:v>问题、指标、预算与停止规则齐全</x:v>
      </x:c>
      <x:c r="I5" s="96" t="str">
        <x:v>T0001; T0005; T0033; T0998</x:v>
      </x:c>
    </x:row>
    <x:row r="6">
      <x:c r="A6" s="94" t="n">
        <x:v>2</x:v>
      </x:c>
      <x:c r="B6" s="95" t="str">
        <x:v>源证据图构建</x:v>
      </x:c>
      <x:c r="C6" s="95" t="str">
        <x:v>真实论文、表格、条件、正反结果</x:v>
      </x:c>
      <x:c r="D6" s="95" t="str">
        <x:v>抽取主张、材料、温湿度、方法、机制措辞和证据等级</x:v>
      </x:c>
      <x:c r="E6" s="95" t="str">
        <x:v>文献解析、实体/单位归一化、引用验证</x:v>
      </x:c>
      <x:c r="F6" s="95" t="str">
        <x:v>酸–黏土主张—证据—条件图</x:v>
      </x:c>
      <x:c r="G6" s="95" t="str">
        <x:v>每条主张必须绑定原文位置与实验条件</x:v>
      </x:c>
      <x:c r="H6" s="95" t="str">
        <x:v>高影响主张通过人工抽查</x:v>
      </x:c>
      <x:c r="I6" s="96" t="str">
        <x:v>T0003; T0408; T0725–T0742</x:v>
      </x:c>
    </x:row>
    <x:row r="7">
      <x:c r="A7" s="94" t="n">
        <x:v>3</x:v>
      </x:c>
      <x:c r="B7" s="95" t="str">
        <x:v>可迁移母题与桥接假设</x:v>
      </x:c>
      <x:c r="C7" s="95" t="str">
        <x:v>源证据图、目标体系知识</x:v>
      </x:c>
      <x:c r="D7" s="95" t="str">
        <x:v>抽取质子供体、水保持、氢键网络、限域、界面贯通、链段运动等母题；显式写桥接假设</x:v>
      </x:c>
      <x:c r="E7" s="95" t="str">
        <x:v>知识图谱查询、因果图模板</x:v>
      </x:c>
      <x:c r="F7" s="95" t="str">
        <x:v>母题清单、桥接假设登记册</x:v>
      </x:c>
      <x:c r="G7" s="95" t="str">
        <x:v>类比链中每一步都可被反驳</x:v>
      </x:c>
      <x:c r="H7" s="95" t="str">
        <x:v>桥接假设有预测与反例</x:v>
      </x:c>
      <x:c r="I7" s="96" t="str">
        <x:v>P23; P24</x:v>
      </x:c>
    </x:row>
    <x:row r="8">
      <x:c r="A8" s="94" t="n">
        <x:v>4</x:v>
      </x:c>
      <x:c r="B8" s="95" t="str">
        <x:v>竞争假设与预测签名</x:v>
      </x:c>
      <x:c r="C8" s="95" t="str">
        <x:v>桥接假设、历史宽温EIS</x:v>
      </x:c>
      <x:c r="D8" s="95" t="str">
        <x:v>生成H1/H2/...及“无迁移/工艺伪影”等替代解释；转为温度、滞后、谱形可观测签名</x:v>
      </x:c>
      <x:c r="E8" s="95" t="str">
        <x:v>符号规则、温度模型库</x:v>
      </x:c>
      <x:c r="F8" s="95" t="str">
        <x:v>假设卡：预测、替代解释、证伪条件、置信先验</x:v>
      </x:c>
      <x:c r="G8" s="95" t="str">
        <x:v>实验前冻结，不允许看结果后改写预测</x:v>
      </x:c>
      <x:c r="H8" s="95" t="str">
        <x:v>至少一个正向和一个失败预测</x:v>
      </x:c>
      <x:c r="I8" s="96" t="str">
        <x:v>T0002; T0015; P25</x:v>
      </x:c>
    </x:row>
    <x:row r="9">
      <x:c r="A9" s="94" t="n">
        <x:v>5</x:v>
      </x:c>
      <x:c r="B9" s="95" t="str">
        <x:v>候选与对照组合设计</x:v>
      </x:c>
      <x:c r="C9" s="95" t="str">
        <x:v>藕粉、淀粉、壳聚糖等候选空间、制膜约束</x:v>
      </x:c>
      <x:c r="D9" s="95" t="str">
        <x:v>按假设多样性而非只按预期电导排序；加入正例、反例、母体系、空白、过程对照</x:v>
      </x:c>
      <x:c r="E9" s="95" t="str">
        <x:v>D最优/多样性选择、约束过滤</x:v>
      </x:c>
      <x:c r="F9" s="95" t="str">
        <x:v>小而有判别力的候选组合</x:v>
      </x:c>
      <x:c r="G9" s="95" t="str">
        <x:v>负例不能事后选择；控制批次与原料批号</x:v>
      </x:c>
      <x:c r="H9" s="95" t="str">
        <x:v>预算内最大化假设覆盖</x:v>
      </x:c>
      <x:c r="I9" s="96" t="str">
        <x:v>T0007; T0488–T0490; P26</x:v>
      </x:c>
    </x:row>
    <x:row r="10">
      <x:c r="A10" s="94" t="n">
        <x:v>6</x:v>
      </x:c>
      <x:c r="B10" s="95" t="str">
        <x:v>前瞻预注册</x:v>
      </x:c>
      <x:c r="C10" s="95" t="str">
        <x:v>假设卡、候选组合、分析计划</x:v>
      </x:c>
      <x:c r="D10" s="95" t="str">
        <x:v>冻结候选排序、预期签名、有效谱规则、排除规则、统计模型与结论门槛</x:v>
      </x:c>
      <x:c r="E10" s="95" t="str">
        <x:v>版本控制、时间戳、签名</x:v>
      </x:c>
      <x:c r="F10" s="95" t="str">
        <x:v>预注册包</x:v>
      </x:c>
      <x:c r="G10" s="95" t="str">
        <x:v>禁止结果驱动的区间/模型挑选</x:v>
      </x:c>
      <x:c r="H10" s="95" t="str">
        <x:v>包可回放且人工批准</x:v>
      </x:c>
      <x:c r="I10" s="96" t="str">
        <x:v>T0106; T0416; T0835; P32</x:v>
      </x:c>
    </x:row>
    <x:row r="11">
      <x:c r="A11" s="94" t="n">
        <x:v>7</x:v>
      </x:c>
      <x:c r="B11" s="95" t="str">
        <x:v>粗粒度宽温扫描</x:v>
      </x:c>
      <x:c r="C11" s="95" t="str">
        <x:v>机器可执行协议、样品</x:v>
      </x:c>
      <x:c r="D11" s="95" t="str">
        <x:v>执行升/降温粗网格；实时检查热平衡、线性、稳定、KK、参考样</x:v>
      </x:c>
      <x:c r="E11" s="95" t="str">
        <x:v>仪器控制、EIS QC服务</x:v>
      </x:c>
      <x:c r="F11" s="95" t="str">
        <x:v>有效谱/Invalid及失败标签</x:v>
      </x:c>
      <x:c r="G11" s="95" t="str">
        <x:v>无效谱不进入性能排序；失败进入可行性数据</x:v>
      </x:c>
      <x:c r="H11" s="95" t="str">
        <x:v>覆盖目标温区且质控通过</x:v>
      </x:c>
      <x:c r="I11" s="96" t="str">
        <x:v>T0082; T0343; P01–P10</x:v>
      </x:c>
    </x:row>
    <x:row r="12">
      <x:c r="A12" s="94" t="n">
        <x:v>8</x:v>
      </x:c>
      <x:c r="B12" s="95" t="str">
        <x:v>自适应判别实验</x:v>
      </x:c>
      <x:c r="C12" s="95" t="str">
        <x:v>粗扫后验、剩余预算</x:v>
      </x:c>
      <x:c r="D12" s="95" t="str">
        <x:v>选择最能区分假设的温点、重复、候选或频率窗</x:v>
      </x:c>
      <x:c r="E12" s="95" t="str">
        <x:v>期望信息增益、变点检测、自适应重复</x:v>
      </x:c>
      <x:c r="F12" s="95" t="str">
        <x:v>补充实验清单及理由</x:v>
      </x:c>
      <x:c r="G12" s="95" t="str">
        <x:v>不以“最可能高电导”替代“最有判别力”</x:v>
      </x:c>
      <x:c r="H12" s="95" t="str">
        <x:v>信息增益低于成本或预算耗尽</x:v>
      </x:c>
      <x:c r="I12" s="96" t="str">
        <x:v>T0025; T0511; T0534–T0536; P27</x:v>
      </x:c>
    </x:row>
    <x:row r="13">
      <x:c r="A13" s="94" t="n">
        <x:v>9</x:v>
      </x:c>
      <x:c r="B13" s="95" t="str">
        <x:v>联合EIS推断</x:v>
      </x:c>
      <x:c r="C13" s="95" t="str">
        <x:v>全部有效谱、几何/状态元数据</x:v>
      </x:c>
      <x:c r="D13" s="95" t="str">
        <x:v>并行比较DRT、候选ECM、Arrhenius/VTF/变点；传播不确定度</x:v>
      </x:c>
      <x:c r="E13" s="95" t="str">
        <x:v>贝叶斯拟合、模型平均、层级模型</x:v>
      </x:c>
      <x:c r="F13" s="95" t="str">
        <x:v>统一行为向量B及模型权重</x:v>
      </x:c>
      <x:c r="G13" s="95" t="str">
        <x:v>拟合优度不等同机理；不可辨识则拒答</x:v>
      </x:c>
      <x:c r="H13" s="95" t="str">
        <x:v>后验预测与残差检查通过</x:v>
      </x:c>
      <x:c r="I13" s="96" t="str">
        <x:v>T0601–T0637; P11–P22</x:v>
      </x:c>
    </x:row>
    <x:row r="14">
      <x:c r="A14" s="94" t="n">
        <x:v>10</x:v>
      </x:c>
      <x:c r="B14" s="95" t="str">
        <x:v>证据更新与反例学习</x:v>
      </x:c>
      <x:c r="C14" s="95" t="str">
        <x:v>行为向量、预注册预测、失败标签</x:v>
      </x:c>
      <x:c r="D14" s="95" t="str">
        <x:v>更新假设、桥接假设与候选排序；记录支持/反驳/未决</x:v>
      </x:c>
      <x:c r="E14" s="95" t="str">
        <x:v>贝叶斯更新、主张图写入</x:v>
      </x:c>
      <x:c r="F14" s="95" t="str">
        <x:v>主张状态与证据链</x:v>
      </x:c>
      <x:c r="G14" s="95" t="str">
        <x:v>负结果、Invalid、替代解释全部保留</x:v>
      </x:c>
      <x:c r="H14" s="95" t="str">
        <x:v>每项结论有证据ID和反驳条件</x:v>
      </x:c>
      <x:c r="I14" s="96" t="str">
        <x:v>T0014–T0019; P28</x:v>
      </x:c>
    </x:row>
    <x:row r="15">
      <x:c r="A15" s="94" t="n">
        <x:v>11</x:v>
      </x:c>
      <x:c r="B15" s="95" t="str">
        <x:v>结论门禁与校准</x:v>
      </x:c>
      <x:c r="C15" s="95" t="str">
        <x:v>主张草稿、后验、文献与实验</x:v>
      </x:c>
      <x:c r="D15" s="95" t="str">
        <x:v>独立验证器检查引用、单位、统计、过度推断、适用域；按C0–C5出结论</x:v>
      </x:c>
      <x:c r="E15" s="95" t="str">
        <x:v>规则验证器、数值重算、校准账本</x:v>
      </x:c>
      <x:c r="F15" s="95" t="str">
        <x:v>Supported/Refuted/Inconclusive/Invalid报告</x:v>
      </x:c>
      <x:c r="G15" s="95" t="str">
        <x:v>当前EIS-only默认不越过C4</x:v>
      </x:c>
      <x:c r="H15" s="95" t="str">
        <x:v>无证据主张率和校准达标</x:v>
      </x:c>
      <x:c r="I15" s="96" t="str">
        <x:v>T0036–T0039; T0789–T0792</x:v>
      </x:c>
    </x:row>
    <x:row r="16">
      <x:c r="A16" s="97" t="n">
        <x:v>12</x:v>
      </x:c>
      <x:c r="B16" s="98" t="str">
        <x:v>独立批次确认与发布</x:v>
      </x:c>
      <x:c r="C16" s="98" t="str">
        <x:v>候选、冻结协议与分析</x:v>
      </x:c>
      <x:c r="D16" s="98" t="str">
        <x:v>新制膜批次/新日期盲法确认；打包原始谱、协议、代码、模型和主张图</x:v>
      </x:c>
      <x:c r="E16" s="98" t="str">
        <x:v>确定性回放、RO-Crate/PROV</x:v>
      </x:c>
      <x:c r="F16" s="98" t="str">
        <x:v>复现包与最终结论</x:v>
      </x:c>
      <x:c r="G16" s="98" t="str">
        <x:v>确认失败必须降级结论而非删除</x:v>
      </x:c>
      <x:c r="H16" s="98" t="str">
        <x:v>达到预设等效/超越概率或判未决</x:v>
      </x:c>
      <x:c r="I16" s="99" t="str">
        <x:v>T0018; T0860; T0873; T0880; T1000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71467b9b7f74be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2" hidden="0" customWidth="1"/>
    <x:col min="4" max="4" width="38" hidden="0" customWidth="1"/>
    <x:col min="5" max="5" width="32" hidden="0" customWidth="1"/>
    <x:col min="6" max="6" width="34" hidden="0" customWidth="1"/>
    <x:col min="7" max="7" width="38" hidden="0" customWidth="1"/>
    <x:col min="8" max="8" width="34" hidden="0" customWidth="1"/>
    <x:col min="9" max="9" width="24" hidden="0" customWidth="1"/>
  </x:cols>
  <x:sheetData>
    <x:row r="1" ht="30" customHeight="1">
      <x:c r="A1" s="78" t="str">
        <x:v>闭环优化模式：噪声、约束、成本与失败感知的“BO + 大模型”</x:v>
      </x:c>
      <x:c r="B1" s="78"/>
      <x:c r="C1" s="78"/>
      <x:c r="D1" s="78"/>
      <x:c r="E1" s="78"/>
      <x:c r="F1" s="78"/>
      <x:c r="G1" s="78"/>
      <x:c r="H1" s="78"/>
      <x:c r="I1" s="78"/>
    </x:row>
    <x:row r="2" ht="36" customHeight="1">
      <x:c r="A2" s="82" t="str">
        <x:v>大模型负责知识、约束解释和候选审查；代理模型与采集函数由可复算数值代码负责。优化目标是多维传导行为和可复现性，而非单点最高电导。</x:v>
      </x:c>
      <x:c r="B2" s="82"/>
      <x:c r="C2" s="82"/>
      <x:c r="D2" s="82"/>
      <x:c r="E2" s="82"/>
      <x:c r="F2" s="82"/>
      <x:c r="G2" s="82"/>
      <x:c r="H2" s="82"/>
      <x:c r="I2" s="82"/>
    </x:row>
    <x:row r="4" ht="30" customHeight="1">
      <x:c r="A4" s="91" t="str">
        <x:v>步骤</x:v>
      </x:c>
      <x:c r="B4" s="92" t="str">
        <x:v>阶段</x:v>
      </x:c>
      <x:c r="C4" s="92" t="str">
        <x:v>输入</x:v>
      </x:c>
      <x:c r="D4" s="92" t="str">
        <x:v>智能体职责</x:v>
      </x:c>
      <x:c r="E4" s="92" t="str">
        <x:v>确定性工具/算法</x:v>
      </x:c>
      <x:c r="F4" s="92" t="str">
        <x:v>输出</x:v>
      </x:c>
      <x:c r="G4" s="92" t="str">
        <x:v>科学/安全门禁</x:v>
      </x:c>
      <x:c r="H4" s="92" t="str">
        <x:v>停止/决策条件</x:v>
      </x:c>
      <x:c r="I4" s="93" t="str">
        <x:v>关联技术</x:v>
      </x:c>
    </x:row>
    <x:row r="5">
      <x:c r="A5" s="94" t="n">
        <x:v>1</x:v>
      </x:c>
      <x:c r="B5" s="95" t="str">
        <x:v>目标与设计空间</x:v>
      </x:c>
      <x:c r="C5" s="95" t="str">
        <x:v>母体系、配方/工艺变量、预算</x:v>
      </x:c>
      <x:c r="D5" s="95" t="str">
        <x:v>把目标定义为行为向量与约束，不用单点最大σ；压缩到少量有效维度</x:v>
      </x:c>
      <x:c r="E5" s="95" t="str">
        <x:v>混料设计、变量编码、约束求解</x:v>
      </x:c>
      <x:c r="F5" s="95" t="str">
        <x:v>变量字典、范围、单纯形/类别/工艺约束</x:v>
      </x:c>
      <x:c r="G5" s="95" t="str">
        <x:v>先冻结空间，后续扩展需版本化</x:v>
      </x:c>
      <x:c r="H5" s="95" t="str">
        <x:v>空间覆盖与可执行性评审通过</x:v>
      </x:c>
      <x:c r="I5" s="96" t="str">
        <x:v>T0005–T0006; T0506; P29</x:v>
      </x:c>
    </x:row>
    <x:row r="6">
      <x:c r="A6" s="94" t="n">
        <x:v>2</x:v>
      </x:c>
      <x:c r="B6" s="95" t="str">
        <x:v>共享响应与约束</x:v>
      </x:c>
      <x:c r="C6" s="95" t="str">
        <x:v>统一指标字典、历史EIS</x:v>
      </x:c>
      <x:c r="D6" s="95" t="str">
        <x:v>选择性能、低温保持、滞后、复现、可成膜、有效谱、成本等目标/约束</x:v>
      </x:c>
      <x:c r="E6" s="95" t="str">
        <x:v>指标计算服务</x:v>
      </x:c>
      <x:c r="F6" s="95" t="str">
        <x:v>目标向量Y、硬/软约束、参考点</x:v>
      </x:c>
      <x:c r="G6" s="95" t="str">
        <x:v>不得把Invalid当低性能；机制主张不是优化目标</x:v>
      </x:c>
      <x:c r="H6" s="95" t="str">
        <x:v>每一响应均有测量与不确定度定义</x:v>
      </x:c>
      <x:c r="I6" s="96" t="str">
        <x:v>M01–M31</x:v>
      </x:c>
    </x:row>
    <x:row r="7">
      <x:c r="A7" s="94" t="n">
        <x:v>3</x:v>
      </x:c>
      <x:c r="B7" s="95" t="str">
        <x:v>初始设计与数据切分</x:v>
      </x:c>
      <x:c r="C7" s="95" t="str">
        <x:v>历史批次和可追加实验</x:v>
      </x:c>
      <x:c r="D7" s="95" t="str">
        <x:v>按批次/日期分层；补充空间填充、混料/裂区设计和对照</x:v>
      </x:c>
      <x:c r="E7" s="95" t="str">
        <x:v>LHS/Sobol/混料设计/区组随机化</x:v>
      </x:c>
      <x:c r="F7" s="95" t="str">
        <x:v>初始训练集、保留确认集</x:v>
      </x:c>
      <x:c r="G7" s="95" t="str">
        <x:v>避免随机拆分造成批次泄漏</x:v>
      </x:c>
      <x:c r="H7" s="95" t="str">
        <x:v>设计矩阵秩、覆盖和混杂检查通过</x:v>
      </x:c>
      <x:c r="I7" s="96" t="str">
        <x:v>T0485–T0510</x:v>
      </x:c>
    </x:row>
    <x:row r="8">
      <x:c r="A8" s="94" t="n">
        <x:v>4</x:v>
      </x:c>
      <x:c r="B8" s="95" t="str">
        <x:v>分模型建模</x:v>
      </x:c>
      <x:c r="C8" s="95" t="str">
        <x:v>有效性能、可行性、失败、测量质量数据</x:v>
      </x:c>
      <x:c r="D8" s="95" t="str">
        <x:v>分别拟合性能模型、可行性分类器、测量质量/失败模型；上下文含批次和热史</x:v>
      </x:c>
      <x:c r="E8" s="95" t="str">
        <x:v>异方差混合变量多输出GP/树模型</x:v>
      </x:c>
      <x:c r="F8" s="95" t="str">
        <x:v>后验、适用域、残差与误差分解</x:v>
      </x:c>
      <x:c r="G8" s="95" t="str">
        <x:v>LLM不直接替代数值代理模型</x:v>
      </x:c>
      <x:c r="H8" s="95" t="str">
        <x:v>分组/时间外验证通过</x:v>
      </x:c>
      <x:c r="I8" s="96" t="str">
        <x:v>T0522; T0525–T0526; T0571; T0630–T0634</x:v>
      </x:c>
    </x:row>
    <x:row r="9">
      <x:c r="A9" s="94" t="n">
        <x:v>5</x:v>
      </x:c>
      <x:c r="B9" s="95" t="str">
        <x:v>校准与分布外门禁</x:v>
      </x:c>
      <x:c r="C9" s="95" t="str">
        <x:v>模型后验、验证集</x:v>
      </x:c>
      <x:c r="D9" s="95" t="str">
        <x:v>校准预测区间与可行概率；识别超出训练支持的候选</x:v>
      </x:c>
      <x:c r="E9" s="95" t="str">
        <x:v>可靠性图、保形校准、OOD检测</x:v>
      </x:c>
      <x:c r="F9" s="95" t="str">
        <x:v>校准曲线、拒绝区域、风险等级</x:v>
      </x:c>
      <x:c r="G9" s="95" t="str">
        <x:v>不使用模型自报信心作为唯一置信度</x:v>
      </x:c>
      <x:c r="H9" s="95" t="str">
        <x:v>覆盖率与选择性风险满足预设</x:v>
      </x:c>
      <x:c r="I9" s="96" t="str">
        <x:v>T0608; T0612–T0616; T0635–T0636</x:v>
      </x:c>
    </x:row>
    <x:row r="10">
      <x:c r="A10" s="94" t="n">
        <x:v>6</x:v>
      </x:c>
      <x:c r="B10" s="95" t="str">
        <x:v>采集函数计算</x:v>
      </x:c>
      <x:c r="C10" s="95" t="str">
        <x:v>模型、约束、成本、模式参数λ</x:v>
      </x:c>
      <x:c r="D10" s="95" t="str">
        <x:v>计算性能改进、信息增益、可行性、成本与风险的分项效用；支持异步/批量</x:v>
      </x:c>
      <x:c r="E10" s="95" t="str">
        <x:v>约束qNEHVI/KG/TS、成本感知策略</x:v>
      </x:c>
      <x:c r="F10" s="95" t="str">
        <x:v>数值候选短名单和效用分解</x:v>
      </x:c>
      <x:c r="G10" s="95" t="str">
        <x:v>采集函数由可复算代码计算，非LLM拍脑袋</x:v>
      </x:c>
      <x:c r="H10" s="95" t="str">
        <x:v>每个推荐可复算且满足硬约束</x:v>
      </x:c>
      <x:c r="I10" s="96" t="str">
        <x:v>T0534; T0538–T0540; T0564; T0572; T0580</x:v>
      </x:c>
    </x:row>
    <x:row r="11">
      <x:c r="A11" s="94" t="n">
        <x:v>7</x:v>
      </x:c>
      <x:c r="B11" s="95" t="str">
        <x:v>LLM知识审查与候选解释</x:v>
      </x:c>
      <x:c r="C11" s="95" t="str">
        <x:v>数值短名单、文献/历史失败、实验上下文</x:v>
      </x:c>
      <x:c r="D11" s="95" t="str">
        <x:v>检查文献冲突、相似失败、可操作性，提出风险与备选；只能重排在受控范围内</x:v>
      </x:c>
      <x:c r="E11" s="95" t="str">
        <x:v>RAG、主张验证、工具调用</x:v>
      </x:c>
      <x:c r="F11" s="95" t="str">
        <x:v>候选说明、风险、需人工审批项</x:v>
      </x:c>
      <x:c r="G11" s="95" t="str">
        <x:v>LLM不得修改原始数据、硬约束或数值效用</x:v>
      </x:c>
      <x:c r="H11" s="95" t="str">
        <x:v>理由绑定证据且重排差异可审计</x:v>
      </x:c>
      <x:c r="I11" s="96" t="str">
        <x:v>T0723–T0760; T0780–T0781</x:v>
      </x:c>
    </x:row>
    <x:row r="12">
      <x:c r="A12" s="94" t="n">
        <x:v>8</x:v>
      </x:c>
      <x:c r="B12" s="95" t="str">
        <x:v>协议编译与执行门禁</x:v>
      </x:c>
      <x:c r="C12" s="95" t="str">
        <x:v>获批候选、SOP模板、设备能力</x:v>
      </x:c>
      <x:c r="D12" s="95" t="str">
        <x:v>生成机器可读配方/制膜/调理/EIS协议，静态检查、仿真、人工批准后执行</x:v>
      </x:c>
      <x:c r="E12" s="95" t="str">
        <x:v>工作流DAG、协议验证、权限系统</x:v>
      </x:c>
      <x:c r="F12" s="95" t="str">
        <x:v>已签名协议与任务ID</x:v>
      </x:c>
      <x:c r="G12" s="95" t="str">
        <x:v>无审批不得执行高风险/越界动作</x:v>
      </x:c>
      <x:c r="H12" s="95" t="str">
        <x:v>前置条件、单位、物料守恒全部通过</x:v>
      </x:c>
      <x:c r="I12" s="96" t="str">
        <x:v>T0058; T0082–T0118; T0835</x:v>
      </x:c>
    </x:row>
    <x:row r="13">
      <x:c r="A13" s="94" t="n">
        <x:v>9</x:v>
      </x:c>
      <x:c r="B13" s="95" t="str">
        <x:v>实验、质控与失败入库</x:v>
      </x:c>
      <x:c r="C13" s="95" t="str">
        <x:v>协议、样品、仪器</x:v>
      </x:c>
      <x:c r="D13" s="95" t="str">
        <x:v>执行实验并实时质控；失败分型后回流可行性模型</x:v>
      </x:c>
      <x:c r="E13" s="95" t="str">
        <x:v>EIS QC、事件总线、审计日志</x:v>
      </x:c>
      <x:c r="F13" s="95" t="str">
        <x:v>有效行为向量或结构化失败</x:v>
      </x:c>
      <x:c r="G13" s="95" t="str">
        <x:v>失败不丢弃、不擅自重试直到成功</x:v>
      </x:c>
      <x:c r="H13" s="95" t="str">
        <x:v>原始数据与状态完整入库</x:v>
      </x:c>
      <x:c r="I13" s="96" t="str">
        <x:v>P01–P10; T0598</x:v>
      </x:c>
    </x:row>
    <x:row r="14">
      <x:c r="A14" s="94" t="n">
        <x:v>10</x:v>
      </x:c>
      <x:c r="B14" s="95" t="str">
        <x:v>自适应重复与模型更新</x:v>
      </x:c>
      <x:c r="C14" s="95" t="str">
        <x:v>新数据、后验方差分解</x:v>
      </x:c>
      <x:c r="D14" s="95" t="str">
        <x:v>若偶然噪声占优且点在决策/Pareto边界则重复；若认知不确定占优则探索新点</x:v>
      </x:c>
      <x:c r="E14" s="95" t="str">
        <x:v>价值信息、重复分配策略</x:v>
      </x:c>
      <x:c r="F14" s="95" t="str">
        <x:v>重复/探索决定与新模型版本</x:v>
      </x:c>
      <x:c r="G14" s="95" t="str">
        <x:v>禁止所有点等量重复或完全不重复</x:v>
      </x:c>
      <x:c r="H14" s="95" t="str">
        <x:v>固定预算下错误排序率下降</x:v>
      </x:c>
      <x:c r="I14" s="96" t="str">
        <x:v>T0487; T0548; T0601–T0602; P30</x:v>
      </x:c>
    </x:row>
    <x:row r="15">
      <x:c r="A15" s="94" t="n">
        <x:v>11</x:v>
      </x:c>
      <x:c r="B15" s="95" t="str">
        <x:v>独立确认与抗赢家诅咒</x:v>
      </x:c>
      <x:c r="C15" s="95" t="str">
        <x:v>候选冠军、冻结分析、未使用批次</x:v>
      </x:c>
      <x:c r="D15" s="95" t="str">
        <x:v>用新批次/新日期确认，必要时盲法；确认数据不回填候选选择过程</x:v>
      </x:c>
      <x:c r="E15" s="95" t="str">
        <x:v>层级模型、等效/超越概率</x:v>
      </x:c>
      <x:c r="F15" s="95" t="str">
        <x:v>Confirmed/Failed-to-confirm状态</x:v>
      </x:c>
      <x:c r="G15" s="95" t="str">
        <x:v>最佳点不因一次极值直接宣布发现</x:v>
      </x:c>
      <x:c r="H15" s="95" t="str">
        <x:v>达到预设确认标准</x:v>
      </x:c>
      <x:c r="I15" s="96" t="str">
        <x:v>T0018; T0632; T0873; T1000</x:v>
      </x:c>
    </x:row>
    <x:row r="16">
      <x:c r="A16" s="97" t="n">
        <x:v>12</x:v>
      </x:c>
      <x:c r="B16" s="98" t="str">
        <x:v>停止、比较与知识回流</x:v>
      </x:c>
      <x:c r="C16" s="98" t="str">
        <x:v>预算、Pareto前沿、校准、确认结果</x:v>
      </x:c>
      <x:c r="D16" s="98" t="str">
        <x:v>按期望净价值、前沿稳定、信息增益和预算停止；与基线和消融对比</x:v>
      </x:c>
      <x:c r="E16" s="98" t="str">
        <x:v>回放基准、统计比较</x:v>
      </x:c>
      <x:c r="F16" s="98" t="str">
        <x:v>优化报告、知识图更新、下一轮空间版本</x:v>
      </x:c>
      <x:c r="G16" s="98" t="str">
        <x:v>不以“跑完预算”或“出现最好数值”作为唯一结束</x:v>
      </x:c>
      <x:c r="H16" s="98" t="str">
        <x:v>优于基线且结论可复现，或明确报告未获改进</x:v>
      </x:c>
      <x:c r="I16" s="99" t="str">
        <x:v>T0016; T0560; T0877; P31–P32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6a2d53690284fb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0" hidden="0" customWidth="1"/>
    <x:col min="4" max="4" width="38" hidden="0" customWidth="1"/>
    <x:col min="5" max="5" width="38" hidden="0" customWidth="1"/>
    <x:col min="6" max="6" width="24" hidden="0" customWidth="1"/>
  </x:cols>
  <x:sheetData>
    <x:row r="1" ht="30" customHeight="1">
      <x:c r="A1" s="104" t="str">
        <x:v>结论与证据门禁：在EIS-only条件下控制科学主张等级</x:v>
      </x:c>
      <x:c r="B1" s="104"/>
      <x:c r="C1" s="104"/>
      <x:c r="D1" s="104"/>
      <x:c r="E1" s="104"/>
      <x:c r="F1" s="104"/>
    </x:row>
    <x:row r="2" ht="42" customHeight="1">
      <x:c r="A2" s="107" t="str">
        <x:v>默认最高结论等级为C4：可以说“与某机制的可观测预测一致”，不能说“仅凭EIS证明了微观结构机制”。C5需要结构/化学正交表征与因果干预。</x:v>
      </x:c>
      <x:c r="B2" s="107"/>
      <x:c r="C2" s="107"/>
      <x:c r="D2" s="107"/>
      <x:c r="E2" s="107"/>
      <x:c r="F2" s="107"/>
    </x:row>
    <x:row r="4">
      <x:c r="A4" s="111" t="str">
        <x:v>等级</x:v>
      </x:c>
      <x:c r="B4" s="112" t="str">
        <x:v>可主张内容</x:v>
      </x:c>
      <x:c r="C4" s="112" t="str">
        <x:v>允许表述</x:v>
      </x:c>
      <x:c r="D4" s="112" t="str">
        <x:v>最低证据</x:v>
      </x:c>
      <x:c r="E4" s="112" t="str">
        <x:v>禁止表述</x:v>
      </x:c>
      <x:c r="F4" s="113" t="str">
        <x:v>输出状态</x:v>
      </x:c>
    </x:row>
    <x:row r="5">
      <x:c r="A5" s="114" t="str">
        <x:v>C0</x:v>
      </x:c>
      <x:c r="B5" s="115" t="str">
        <x:v>数据无效/不可比</x:v>
      </x:c>
      <x:c r="C5" s="115" t="str">
        <x:v>只能报告失效原因与重新测量建议</x:v>
      </x:c>
      <x:c r="D5" s="115" t="str">
        <x:v>原始谱、状态和失效标签</x:v>
      </x:c>
      <x:c r="E5" s="115" t="str">
        <x:v>任何性能或机理比较</x:v>
      </x:c>
      <x:c r="F5" s="116" t="str">
        <x:v>Invalid</x:v>
      </x:c>
    </x:row>
    <x:row r="6">
      <x:c r="A6" s="114" t="str">
        <x:v>C1</x:v>
      </x:c>
      <x:c r="B6" s="115" t="str">
        <x:v>测量事实</x:v>
      </x:c>
      <x:c r="C6" s="115" t="str">
        <x:v>“在协议P、状态S下，样品X得到该EIS/σ区间”</x:v>
      </x:c>
      <x:c r="D6" s="115" t="str">
        <x:v>EIS有效性、计量溯源、几何与不确定度</x:v>
      </x:c>
      <x:c r="E6" s="115" t="str">
        <x:v>把一次测量推广到材料类别</x:v>
      </x:c>
      <x:c r="F6" s="116" t="str">
        <x:v>Supported / Invalid</x:v>
      </x:c>
    </x:row>
    <x:row r="7">
      <x:c r="A7" s="114" t="str">
        <x:v>C2</x:v>
      </x:c>
      <x:c r="B7" s="115" t="str">
        <x:v>可复现的传导行为</x:v>
      </x:c>
      <x:c r="C7" s="115" t="str">
        <x:v>“独立批次下，X相对Y在预定义温区呈现更高/更低/不同的行为向量”</x:v>
      </x:c>
      <x:c r="D7" s="115" t="str">
        <x:v>区组/随机化、批内重复、独立批次、层级模型</x:v>
      </x:c>
      <x:c r="E7" s="115" t="str">
        <x:v>p&gt;0.05即宣称相同；挑最佳温点</x:v>
      </x:c>
      <x:c r="F7" s="116" t="str">
        <x:v>Supported / Refuted / Inconclusive</x:v>
      </x:c>
    </x:row>
    <x:row r="8">
      <x:c r="A8" s="114" t="str">
        <x:v>C3</x:v>
      </x:c>
      <x:c r="B8" s="115" t="str">
        <x:v>经验模型/传导区间</x:v>
      </x:c>
      <x:c r="C8" s="115" t="str">
        <x:v>“数据更支持Arrhenius/VTF/分段模型，或存在某温区转变”</x:v>
      </x:c>
      <x:c r="D8" s="115" t="str">
        <x:v>多模型比较、可辨识性、后验预测、升降温复现</x:v>
      </x:c>
      <x:c r="E8" s="115" t="str">
        <x:v>用等效电路元件直接命名微观结构</x:v>
      </x:c>
      <x:c r="F8" s="116" t="str">
        <x:v>Supported / Inconclusive</x:v>
      </x:c>
    </x:row>
    <x:row r="9">
      <x:c r="A9" s="114" t="str">
        <x:v>C4</x:v>
      </x:c>
      <x:c r="B9" s="115" t="str">
        <x:v>机理一致性假设</x:v>
      </x:c>
      <x:c r="C9" s="115" t="str">
        <x:v>“结果与机制M的可观测预测一致，但也与替代机制A/B兼容/不兼容”</x:v>
      </x:c>
      <x:c r="D9" s="115" t="str">
        <x:v>预注册预测签名、正反例、信息增益实验、替代解释与适用域</x:v>
      </x:c>
      <x:c r="E9" s="115" t="str">
        <x:v>“证明了Grotthuss/界面通道/结构变化”</x:v>
      </x:c>
      <x:c r="F9" s="116" t="str">
        <x:v>Supported / Refuted / Inconclusive</x:v>
      </x:c>
    </x:row>
    <x:row r="10">
      <x:c r="A10" s="117" t="str">
        <x:v>C5</x:v>
      </x:c>
      <x:c r="B10" s="118" t="str">
        <x:v>因果微观机制</x:v>
      </x:c>
      <x:c r="C10" s="118" t="str">
        <x:v>“干预结构变量导致机制路径变化，并由正交表征闭合证据链”</x:v>
      </x:c>
      <x:c r="D10" s="118" t="str">
        <x:v>结构/化学表征、因果干预、独立复现或跨实验室验证</x:v>
      </x:c>
      <x:c r="E10" s="118" t="str">
        <x:v>当前EIS-only体系默认输出C5</x:v>
      </x:c>
      <x:c r="F10" s="119" t="str">
        <x:v>当前不可达；需未来扩展</x:v>
      </x:c>
    </x:row>
    <x:row r="13">
      <x:c r="A13" s="121" t="str">
        <x:v>四态结论语义</x:v>
      </x:c>
      <x:c r="B13" s="121"/>
      <x:c r="C13" s="121"/>
      <x:c r="D13" s="121"/>
      <x:c r="E13" s="121"/>
      <x:c r="F13" s="121"/>
    </x:row>
    <x:row r="15">
      <x:c r="A15" s="111" t="str">
        <x:v>状态</x:v>
      </x:c>
      <x:c r="B15" s="113" t="str">
        <x:v>定义</x:v>
      </x:c>
    </x:row>
    <x:row r="16">
      <x:c r="A16" s="122" t="str">
        <x:v>Supported</x:v>
      </x:c>
      <x:c r="B16" s="123" t="str">
        <x:v>证据在预注册规则下支持主张，且替代解释已被充分处理。</x:v>
      </x:c>
    </x:row>
    <x:row r="17">
      <x:c r="A17" s="122" t="str">
        <x:v>Refuted</x:v>
      </x:c>
      <x:c r="B17" s="123" t="str">
        <x:v>观察结果与主张的关键可证伪预测冲突。</x:v>
      </x:c>
    </x:row>
    <x:row r="18">
      <x:c r="A18" s="122" t="str">
        <x:v>Inconclusive</x:v>
      </x:c>
      <x:c r="B18" s="123" t="str">
        <x:v>数据有效但信息量不足、模型不可辨识或竞争解释无法区分。</x:v>
      </x:c>
    </x:row>
    <x:row r="19">
      <x:c r="A19" s="124" t="str">
        <x:v>Invalid</x:v>
      </x:c>
      <x:c r="B19" s="125" t="str">
        <x:v>数据/协议/状态不满足有效性门槛，不能进入科学判断。</x:v>
      </x:c>
    </x:row>
    <x:row r="22">
      <x:c r="A22" s="127" t="str">
        <x:v>智能体每条科学主张的强制输出字段</x:v>
      </x:c>
      <x:c r="B22" s="127"/>
      <x:c r="C22" s="127"/>
      <x:c r="D22" s="127"/>
      <x:c r="E22" s="127"/>
      <x:c r="F22" s="127"/>
    </x:row>
    <x:row r="24">
      <x:c r="A24" s="111" t="str">
        <x:v>字段</x:v>
      </x:c>
      <x:c r="B24" s="113" t="str">
        <x:v>含义</x:v>
      </x:c>
    </x:row>
    <x:row r="25">
      <x:c r="A25" s="122" t="str">
        <x:v>claim_id</x:v>
      </x:c>
      <x:c r="B25" s="123" t="str">
        <x:v>唯一主张ID</x:v>
      </x:c>
    </x:row>
    <x:row r="26">
      <x:c r="A26" s="122" t="str">
        <x:v>claim_text</x:v>
      </x:c>
      <x:c r="B26" s="123" t="str">
        <x:v>严格限定条件和适用域的主张</x:v>
      </x:c>
    </x:row>
    <x:row r="27">
      <x:c r="A27" s="122" t="str">
        <x:v>claim_level</x:v>
      </x:c>
      <x:c r="B27" s="123" t="str">
        <x:v>C0–C5</x:v>
      </x:c>
    </x:row>
    <x:row r="28">
      <x:c r="A28" s="122" t="str">
        <x:v>status</x:v>
      </x:c>
      <x:c r="B28" s="123" t="str">
        <x:v>Supported / Refuted / Inconclusive / Invalid</x:v>
      </x:c>
    </x:row>
    <x:row r="29">
      <x:c r="A29" s="122" t="str">
        <x:v>evidence_ids</x:v>
      </x:c>
      <x:c r="B29" s="123" t="str">
        <x:v>原始谱、实验、文献片段和模型版本ID</x:v>
      </x:c>
    </x:row>
    <x:row r="30">
      <x:c r="A30" s="122" t="str">
        <x:v>conditions</x:v>
      </x:c>
      <x:c r="B30" s="123" t="str">
        <x:v>配方、批次、温湿度、热史、协议与频段</x:v>
      </x:c>
    </x:row>
    <x:row r="31">
      <x:c r="A31" s="122" t="str">
        <x:v>effect_and_interval</x:v>
      </x:c>
      <x:c r="B31" s="123" t="str">
        <x:v>效应量及可信/置信区间</x:v>
      </x:c>
    </x:row>
    <x:row r="32">
      <x:c r="A32" s="122" t="str">
        <x:v>model_weights</x:v>
      </x:c>
      <x:c r="B32" s="123" t="str">
        <x:v>竞争模型后验权重或预测权重</x:v>
      </x:c>
    </x:row>
    <x:row r="33">
      <x:c r="A33" s="122" t="str">
        <x:v>alternatives</x:v>
      </x:c>
      <x:c r="B33" s="123" t="str">
        <x:v>仍可能成立的替代解释</x:v>
      </x:c>
    </x:row>
    <x:row r="34">
      <x:c r="A34" s="122" t="str">
        <x:v>falsifier</x:v>
      </x:c>
      <x:c r="B34" s="123" t="str">
        <x:v>会推翻该主张的未来结果</x:v>
      </x:c>
    </x:row>
    <x:row r="35">
      <x:c r="A35" s="122" t="str">
        <x:v>applicability_domain</x:v>
      </x:c>
      <x:c r="B35" s="123" t="str">
        <x:v>可外推范围与分布外判定</x:v>
      </x:c>
    </x:row>
    <x:row r="36">
      <x:c r="A36" s="122" t="str">
        <x:v>agent_confidence</x:v>
      </x:c>
      <x:c r="B36" s="123" t="str">
        <x:v>实验前记录并可校准的概率，不等同结论等级</x:v>
      </x:c>
    </x:row>
    <x:row r="37">
      <x:c r="A37" s="122" t="str">
        <x:v>verifier_result</x:v>
      </x:c>
      <x:c r="B37" s="123" t="str">
        <x:v>引用、单位、数值、过度推断与复算检查</x:v>
      </x:c>
    </x:row>
    <x:row r="38">
      <x:c r="A38" s="124" t="str">
        <x:v>human_approval</x:v>
      </x:c>
      <x:c r="B38" s="125" t="str">
        <x:v>需要时的审批人、时间和理由</x:v>
      </x:c>
    </x:row>
  </x:sheetData>
  <x:mergeCells>
    <x:mergeCell ref="A1:F1"/>
    <x:mergeCell ref="A2:F2"/>
    <x:mergeCell ref="A13:F13"/>
    <x:mergeCell ref="A22:F2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44" hidden="0" customWidth="1"/>
    <x:col min="4" max="4" width="34" hidden="0" customWidth="1"/>
    <x:col min="5" max="5" width="32" hidden="0" customWidth="1"/>
    <x:col min="6" max="6" width="14" hidden="0" customWidth="1"/>
    <x:col min="7" max="7" width="36" hidden="0" customWidth="1"/>
  </x:cols>
  <x:sheetData>
    <x:row r="1" ht="30" customHeight="1">
      <x:c r="A1" s="76" t="str">
        <x:v>验证方案、基线、消融与12个月里程碑</x:v>
      </x:c>
      <x:c r="B1" s="76"/>
      <x:c r="C1" s="76"/>
      <x:c r="D1" s="76"/>
      <x:c r="E1" s="76"/>
      <x:c r="F1" s="76"/>
      <x:c r="G1" s="76"/>
    </x:row>
    <x:row r="2" ht="40" customHeight="1">
      <x:c r="A2" s="128" t="str">
        <x:v>评价的对象不是“是否得到一个高电导数字”，而是：在固定预算和真实噪声下，系统是否减少错误主张、提高信息效率、找到可复现候选，并明确知道何时应拒答。</x:v>
      </x:c>
      <x:c r="B2" s="128"/>
      <x:c r="C2" s="128"/>
      <x:c r="D2" s="128"/>
      <x:c r="E2" s="128"/>
      <x:c r="F2" s="128"/>
      <x:c r="G2" s="128"/>
    </x:row>
    <x:row r="4">
      <x:c r="A4" s="111" t="str">
        <x:v>验证ID</x:v>
      </x:c>
      <x:c r="B4" s="112" t="str">
        <x:v>验证任务</x:v>
      </x:c>
      <x:c r="C4" s="112" t="str">
        <x:v>设计</x:v>
      </x:c>
      <x:c r="D4" s="112" t="str">
        <x:v>对照/基线</x:v>
      </x:c>
      <x:c r="E4" s="112" t="str">
        <x:v>核心指标</x:v>
      </x:c>
      <x:c r="F4" s="112" t="str">
        <x:v>阶段</x:v>
      </x:c>
      <x:c r="G4" s="113" t="str">
        <x:v>证明什么</x:v>
      </x:c>
    </x:row>
    <x:row r="5">
      <x:c r="A5" s="114" t="str">
        <x:v>V1</x:v>
      </x:c>
      <x:c r="B5" s="115" t="str">
        <x:v>历史数字回放</x:v>
      </x:c>
      <x:c r="C5" s="115" t="str">
        <x:v>按时间/批次切分既有变温数据，智能体只能看到当时可用信息并选择下一实验/下一结论。</x:v>
      </x:c>
      <x:c r="D5" s="115" t="str">
        <x:v>随机/LHS；经典DoE；BO-only；LLM-only；LLM+BO；完整系统</x:v>
      </x:c>
      <x:c r="E5" s="115" t="str">
        <x:v>simple regret、hypervolume、信息增益、无证据主张率、区间覆盖、成本</x:v>
      </x:c>
      <x:c r="F5" s="115" t="str">
        <x:v>M0</x:v>
      </x:c>
      <x:c r="G5" s="116" t="str">
        <x:v>证明主流程可重放，排除数据泄漏。</x:v>
      </x:c>
    </x:row>
    <x:row r="6">
      <x:c r="A6" s="114" t="str">
        <x:v>V2</x:v>
      </x:c>
      <x:c r="B6" s="115" t="str">
        <x:v>EIS质控压力测试</x:v>
      </x:c>
      <x:c r="C6" s="115" t="str">
        <x:v>向历史/模拟数据注入未平衡、漂移、频段不足、接触异常、单位错误和坏元数据。</x:v>
      </x:c>
      <x:c r="D6" s="115" t="str">
        <x:v>无QC；规则QC；规则+贝叶斯诊断</x:v>
      </x:c>
      <x:c r="E6" s="115" t="str">
        <x:v>坏谱检出率、误杀率、错误排序率、回放一致性</x:v>
      </x:c>
      <x:c r="F6" s="115" t="str">
        <x:v>M0</x:v>
      </x:c>
      <x:c r="G6" s="116" t="str">
        <x:v>验证“先判断数据能否解释，再判断材料”。</x:v>
      </x:c>
    </x:row>
    <x:row r="7">
      <x:c r="A7" s="114" t="str">
        <x:v>V3</x:v>
      </x:c>
      <x:c r="B7" s="115" t="str">
        <x:v>迁移发现前瞻挑战</x:v>
      </x:c>
      <x:c r="C7" s="115" t="str">
        <x:v>冻结酸–黏土证据、桥接假设、正反例预测后，测试藕粉/淀粉/壳聚糖及新增候选。</x:v>
      </x:c>
      <x:c r="D7" s="115" t="str">
        <x:v>文献相似度；LLM无门禁；完整证据智能体</x:v>
      </x:c>
      <x:c r="E7" s="115" t="str">
        <x:v>正反例判别、桥接假设存活、误支持率、独立批次复现</x:v>
      </x:c>
      <x:c r="F7" s="115" t="str">
        <x:v>M1</x:v>
      </x:c>
      <x:c r="G7" s="116" t="str">
        <x:v>形成可发表的迁移能力证据，而非事后故事。</x:v>
      </x:c>
    </x:row>
    <x:row r="8">
      <x:c r="A8" s="114" t="str">
        <x:v>V4</x:v>
      </x:c>
      <x:c r="B8" s="115" t="str">
        <x:v>闭环优化固定预算比较</x:v>
      </x:c>
      <x:c r="C8" s="115" t="str">
        <x:v>在同一母体系、同一预算和同一初始数据下比较多种策略；历史回放多随机种子，真实实验至少做独立运行/批次。</x:v>
      </x:c>
      <x:c r="D8" s="115" t="str">
        <x:v>随机/DoE；标准BO；噪声感知约束BO；LLM+BO；完整系统</x:v>
      </x:c>
      <x:c r="E8" s="115" t="str">
        <x:v>确认后最优、Pareto超体积、可行发现率、成本/确认改进、方差</x:v>
      </x:c>
      <x:c r="F8" s="115" t="str">
        <x:v>M1–M2</x:v>
      </x:c>
      <x:c r="G8" s="116" t="str">
        <x:v>证明LLM的增益来自知识/约束而非随机波动。</x:v>
      </x:c>
    </x:row>
    <x:row r="9">
      <x:c r="A9" s="114" t="str">
        <x:v>V5</x:v>
      </x:c>
      <x:c r="B9" s="115" t="str">
        <x:v>记忆与自检消融</x:v>
      </x:c>
      <x:c r="C9" s="115" t="str">
        <x:v>分别移除情景记忆、语义记忆、验证器、置信校准、负结果和自适应重复。</x:v>
      </x:c>
      <x:c r="D9" s="115" t="str">
        <x:v>完整系统为对照</x:v>
      </x:c>
      <x:c r="E9" s="115" t="str">
        <x:v>重复犯错率、主张一致性、样本效率、误支持率、人工接管</x:v>
      </x:c>
      <x:c r="F9" s="115" t="str">
        <x:v>M1</x:v>
      </x:c>
      <x:c r="G9" s="116" t="str">
        <x:v>量化已经做好但未接入的能力是否真正有价值。</x:v>
      </x:c>
    </x:row>
    <x:row r="10">
      <x:c r="A10" s="114" t="str">
        <x:v>V6</x:v>
      </x:c>
      <x:c r="B10" s="115" t="str">
        <x:v>独立批次/操作者复现</x:v>
      </x:c>
      <x:c r="C10" s="115" t="str">
        <x:v>冠军与关键反例使用新批次、不同日期或操作者，冻结协议与分析。</x:v>
      </x:c>
      <x:c r="D10" s="115" t="str">
        <x:v>原团队/原日期；独立条件</x:v>
      </x:c>
      <x:c r="E10" s="115" t="str">
        <x:v>批间效应、等效/超越概率、确认通过率、协议偏差</x:v>
      </x:c>
      <x:c r="F10" s="115" t="str">
        <x:v>M2</x:v>
      </x:c>
      <x:c r="G10" s="116" t="str">
        <x:v>把“算法找到”升级为“科学上可重复”。</x:v>
      </x:c>
    </x:row>
    <x:row r="11">
      <x:c r="A11" s="114" t="str">
        <x:v>V7</x:v>
      </x:c>
      <x:c r="B11" s="115" t="str">
        <x:v>跨平台或外部实验室复现</x:v>
      </x:c>
      <x:c r="C11" s="115" t="str">
        <x:v>以RO-Crate/机器可执行协议交付最小复现包，条件允许时由外部实验室执行。</x:v>
      </x:c>
      <x:c r="D11" s="115" t="str">
        <x:v>本平台；外部平台</x:v>
      </x:c>
      <x:c r="E11" s="115" t="str">
        <x:v>可执行性、数据语义一致性、关键结论复现、差异归因</x:v>
      </x:c>
      <x:c r="F11" s="115" t="str">
        <x:v>M3</x:v>
      </x:c>
      <x:c r="G11" s="116" t="str">
        <x:v>检验发现是否依赖隐含操作知识。</x:v>
      </x:c>
    </x:row>
    <x:row r="12">
      <x:c r="A12" s="117" t="str">
        <x:v>V8</x:v>
      </x:c>
      <x:c r="B12" s="118" t="str">
        <x:v>安全与权限演练</x:v>
      </x:c>
      <x:c r="C12" s="118" t="str">
        <x:v>注入越界配方、单位错位、提示注入、重复执行和仪器异常。</x:v>
      </x:c>
      <x:c r="D12" s="118" t="str">
        <x:v>无策略门禁；有策略/人工门禁</x:v>
      </x:c>
      <x:c r="E12" s="118" t="str">
        <x:v>越界阻断率、幂等性、恢复时间、审计完整性</x:v>
      </x:c>
      <x:c r="F12" s="118" t="str">
        <x:v>M0–M2</x:v>
      </x:c>
      <x:c r="G12" s="119" t="str">
        <x:v>验证自主权边界，而不只看性能。</x:v>
      </x:c>
    </x:row>
    <x:row r="16">
      <x:c r="A16" s="121" t="str">
        <x:v>实施里程碑</x:v>
      </x:c>
      <x:c r="B16" s="121"/>
      <x:c r="C16" s="121"/>
      <x:c r="D16" s="121"/>
      <x:c r="E16" s="121"/>
      <x:c r="F16" s="121"/>
      <x:c r="G16" s="121"/>
    </x:row>
    <x:row r="18">
      <x:c r="A18" s="111" t="str">
        <x:v>阶段</x:v>
      </x:c>
      <x:c r="B18" s="112" t="str">
        <x:v>建议周期</x:v>
      </x:c>
      <x:c r="C18" s="112" t="str">
        <x:v>主要工作</x:v>
      </x:c>
      <x:c r="D18" s="113" t="str">
        <x:v>阶段出口</x:v>
      </x:c>
    </x:row>
    <x:row r="19">
      <x:c r="A19" s="114" t="str">
        <x:v>M0 主流程接入</x:v>
      </x:c>
      <x:c r="B19" s="115" t="str">
        <x:v>0–2月</x:v>
      </x:c>
      <x:c r="C19" s="115" t="str">
        <x:v>接入首批80项；将记忆、自检、置信校准、结论门禁和EIS专用QC接入现有平台；完成历史数字回放。</x:v>
      </x:c>
      <x:c r="D19" s="116" t="str">
        <x:v>完整原始数据契约；每次运行有假设/主张/证据/失败/版本；可确定性重放。</x:v>
      </x:c>
    </x:row>
    <x:row r="20">
      <x:c r="A20" s="114" t="str">
        <x:v>M1 前瞻科学验证</x:v>
      </x:c>
      <x:c r="B20" s="115" t="str">
        <x:v>2–5月</x:v>
      </x:c>
      <x:c r="C20" s="115" t="str">
        <x:v>运行预注册迁移发现挑战；完成正例+失效反例；闭环优化采用噪声/约束/成本模型与自适应重复。</x:v>
      </x:c>
      <x:c r="D20" s="116" t="str">
        <x:v>迁移预测在实验前冻结；固定预算比较优于至少一个强基线；无C5过度主张。</x:v>
      </x:c>
    </x:row>
    <x:row r="21">
      <x:c r="A21" s="114" t="str">
        <x:v>M2 独立确认与系统消融</x:v>
      </x:c>
      <x:c r="B21" s="115" t="str">
        <x:v>5–8月</x:v>
      </x:c>
      <x:c r="C21" s="115" t="str">
        <x:v>新批次/新日期确认；完整消融记忆、验证器、校准、负结果和重复策略。</x:v>
      </x:c>
      <x:c r="D21" s="116" t="str">
        <x:v>确认通过率、误支持率和校准达到项目门槛；明确各组件的因果贡献。</x:v>
      </x:c>
    </x:row>
    <x:row r="22">
      <x:c r="A22" s="117" t="str">
        <x:v>M3 可移植复现与研究扩展</x:v>
      </x:c>
      <x:c r="B22" s="118" t="str">
        <x:v>8–12月</x:v>
      </x:c>
      <x:c r="C22" s="118" t="str">
        <x:v>形成RO-Crate复现包；尝试跨操作者/外部平台；按瓶颈引入最低成本正交表征。</x:v>
      </x:c>
      <x:c r="D22" s="119" t="str">
        <x:v>第三方能复跑数据/分析；对不可辨识瓶颈给出量化结论与下一步最小表征建议。</x:v>
      </x:c>
    </x:row>
  </x:sheetData>
  <x:mergeCells>
    <x:mergeCell ref="A1:G1"/>
    <x:mergeCell ref="A2:G2"/>
    <x:mergeCell ref="A16:G16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70" hidden="0" customWidth="1"/>
    <x:col min="4" max="4" width="55" hidden="0" customWidth="1"/>
  </x:cols>
  <x:sheetData>
    <x:row r="1" ht="30" customHeight="1">
      <x:c r="A1" s="78" t="str">
        <x:v>本场景方案的关键外部来源</x:v>
      </x:c>
      <x:c r="B1" s="78"/>
      <x:c r="C1" s="78"/>
      <x:c r="D1" s="78"/>
    </x:row>
    <x:row r="2" ht="36" customHeight="1">
      <x:c r="A2" s="82" t="str">
        <x:v>工作簿内保留原始URL，便于回到论文、标准与官方文档。来源用于方法边界与工程原则，不替代你们自己的前瞻实验数据。</x:v>
      </x:c>
      <x:c r="B2" s="82"/>
      <x:c r="C2" s="82"/>
      <x:c r="D2" s="82"/>
    </x:row>
    <x:row r="4" ht="30" customHeight="1">
      <x:c r="A4" s="91" t="str">
        <x:v>来源ID</x:v>
      </x:c>
      <x:c r="B4" s="92" t="str">
        <x:v>来源</x:v>
      </x:c>
      <x:c r="C4" s="92" t="str">
        <x:v>用于本方案的关键启示</x:v>
      </x:c>
      <x:c r="D4" s="93" t="str">
        <x:v>URL</x:v>
      </x:c>
    </x:row>
    <x:row r="5">
      <x:c r="A5" s="94" t="str">
        <x:v>R01</x:v>
      </x:c>
      <x:c r="B5" s="95" t="str">
        <x:v>A-Lab autonomous inorganic synthesis</x:v>
      </x:c>
      <x:c r="C5" s="95" t="str">
        <x:v>自驱动实验室把文献、计算、机器人、机器学习和主动学习闭合；失败也应反哺模型。</x:v>
      </x:c>
      <x:c r="D5" s="96" t="str">
        <x:v>https://www.nature.com/articles/s41586-023-06734-w</x:v>
      </x:c>
    </x:row>
    <x:row r="6">
      <x:c r="A6" s="94" t="str">
        <x:v>R02</x:v>
      </x:c>
      <x:c r="B6" s="95" t="str">
        <x:v>Performance metrics for self-driving labs</x:v>
      </x:c>
      <x:c r="C6" s="95" t="str">
        <x:v>SDL应同时报告自主度、运行寿命、参数空间、精度、吞吐、成本与优化表现。</x:v>
      </x:c>
      <x:c r="D6" s="96" t="str">
        <x:v>https://www.nature.com/articles/s41467-024-45569-5</x:v>
      </x:c>
    </x:row>
    <x:row r="7">
      <x:c r="A7" s="94" t="str">
        <x:v>R03</x:v>
      </x:c>
      <x:c r="B7" s="95" t="str">
        <x:v>AutoEIS</x:v>
      </x:c>
      <x:c r="C7" s="95" t="str">
        <x:v>用贝叶斯模型选择与统计诊断减少EIS等效电路选择的人工偏差。</x:v>
      </x:c>
      <x:c r="D7" s="96" t="str">
        <x:v>https://arxiv.org/abs/2305.04841</x:v>
      </x:c>
    </x:row>
    <x:row r="8">
      <x:c r="A8" s="94" t="str">
        <x:v>R04</x:v>
      </x:c>
      <x:c r="B8" s="95" t="str">
        <x:v>Bayesian optimization with noise</x:v>
      </x:c>
      <x:c r="C8" s="95" t="str">
        <x:v>材料发现中的噪声会显著影响BO；需要噪声建模、重复与稳健采集。</x:v>
      </x:c>
      <x:c r="D8" s="96" t="str">
        <x:v>https://pubs.rsc.org/en/content/articlehtml/2022/me/d1me00154j</x:v>
      </x:c>
    </x:row>
    <x:row r="9">
      <x:c r="A9" s="94" t="str">
        <x:v>R05</x:v>
      </x:c>
      <x:c r="B9" s="95" t="str">
        <x:v>ScienceAgentBench</x:v>
      </x:c>
      <x:c r="C9" s="95" t="str">
        <x:v>科学智能体端到端能力需要细粒度基准与可复算任务评估，不能仅凭演示判断。</x:v>
      </x:c>
      <x:c r="D9" s="96" t="str">
        <x:v>https://openreview.net/forum?id=6z4YKr0GK6</x:v>
      </x:c>
    </x:row>
    <x:row r="10">
      <x:c r="A10" s="94" t="str">
        <x:v>R06</x:v>
      </x:c>
      <x:c r="B10" s="95" t="str">
        <x:v>SiLA 2 standard</x:v>
      </x:c>
      <x:c r="C10" s="95" t="str">
        <x:v>以功能/服务为中心的仪器接口、命令、参数、属性和可追溯返回。</x:v>
      </x:c>
      <x:c r="D10" s="96" t="str">
        <x:v>https://sila-standard.com/standards/</x:v>
      </x:c>
    </x:row>
    <x:row r="11">
      <x:c r="A11" s="94" t="str">
        <x:v>R07</x:v>
      </x:c>
      <x:c r="B11" s="95" t="str">
        <x:v>W3C PROV</x:v>
      </x:c>
      <x:c r="C11" s="95" t="str">
        <x:v>用实体、活动和参与者表达数据与结论的来源、派生、版本和责任。</x:v>
      </x:c>
      <x:c r="D11" s="96" t="str">
        <x:v>https://www.w3.org/TR/prov-overview/</x:v>
      </x:c>
    </x:row>
    <x:row r="12">
      <x:c r="A12" s="94" t="str">
        <x:v>R08</x:v>
      </x:c>
      <x:c r="B12" s="95" t="str">
        <x:v>RO-Crate</x:v>
      </x:c>
      <x:c r="C12" s="95" t="str">
        <x:v>轻量打包研究数据、元数据、代码和工作流，支持交换与复现。</x:v>
      </x:c>
      <x:c r="D12" s="96" t="str">
        <x:v>https://www.researchobject.org/ro-crate/</x:v>
      </x:c>
    </x:row>
    <x:row r="13">
      <x:c r="A13" s="94" t="str">
        <x:v>R09</x:v>
      </x:c>
      <x:c r="B13" s="95" t="str">
        <x:v>FAIR principles</x:v>
      </x:c>
      <x:c r="C13" s="95" t="str">
        <x:v>数据/元数据应可发现、可访问、可互操作、可复用并尽量机器可行动。</x:v>
      </x:c>
      <x:c r="D13" s="96" t="str">
        <x:v>https://www.go-fair.org/fair-principles/</x:v>
      </x:c>
    </x:row>
    <x:row r="14">
      <x:c r="A14" s="94" t="str">
        <x:v>R10</x:v>
      </x:c>
      <x:c r="B14" s="95" t="str">
        <x:v>Irreversibility of proton conductivity</x:v>
      </x:c>
      <x:c r="C14" s="95" t="str">
        <x:v>质子传导曲线可能受湿度、热史、松弛和升温循环影响，需显式记录路径与不可逆性。</x:v>
      </x:c>
      <x:c r="D14" s="96" t="str">
        <x:v>https://link.springer.com/article/10.1007/s40243-015-0057-6</x:v>
      </x:c>
    </x:row>
    <x:row r="15">
      <x:c r="A15" s="94" t="str">
        <x:v>R11</x:v>
      </x:c>
      <x:c r="B15" s="95" t="str">
        <x:v>PEM conductivity by impedance spectroscopy</x:v>
      </x:c>
      <x:c r="C15" s="95" t="str">
        <x:v>电导率测量受电池几何、电极布置和解释方法影响，需要可复现的测量配置。</x:v>
      </x:c>
      <x:c r="D15" s="96" t="str">
        <x:v>https://nrc-publications.canada.ca/eng/view/accepted/?id=ff16c143-617f-4382-90f0-b126955b520e</x:v>
      </x:c>
    </x:row>
    <x:row r="16">
      <x:c r="A16" s="97" t="str">
        <x:v>R12</x:v>
      </x:c>
      <x:c r="B16" s="98" t="str">
        <x:v>Acid-in-clay proton conductor</x:v>
      </x:c>
      <x:c r="C16" s="98" t="str">
        <x:v>酸–黏土低温/宽温质子传导可作为迁移发现的源知识，但跨体系仍需桥接假设与反例。</x:v>
      </x:c>
      <x:c r="D16" s="99" t="str">
        <x:v>https://pubmed.ncbi.nlm.nih.gov/35443084/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0668c67929a445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131" t="str">
        <x:v>质子导体材料“自主发现智能体”：1000项技术的场景化方案</x:v>
      </x:c>
      <x:c r="B1" s="131"/>
      <x:c r="C1" s="131"/>
      <x:c r="D1" s="131"/>
      <x:c r="E1" s="131"/>
      <x:c r="F1" s="131"/>
      <x:c r="G1" s="131"/>
      <x:c r="H1" s="131"/>
    </x:row>
    <x:row r="2" ht="28" customHeight="1">
      <x:c r="A2" s="131"/>
      <x:c r="B2" s="131"/>
      <x:c r="C2" s="131"/>
      <x:c r="D2" s="131"/>
      <x:c r="E2" s="131"/>
      <x:c r="F2" s="131"/>
      <x:c r="G2" s="131"/>
      <x:c r="H2" s="131"/>
    </x:row>
    <x:row r="3" ht="34" customHeight="1">
      <x:c r="A3" s="132" t="str">
        <x:v>核心判断：1000项能够覆盖可信闭环的工程与方法底座，但不能消除“仅凭宽温EIS推断唯一微观机制”的不可辨识性。</x:v>
      </x:c>
      <x:c r="B3" s="132"/>
      <x:c r="C3" s="132"/>
      <x:c r="D3" s="132"/>
      <x:c r="E3" s="132"/>
      <x:c r="F3" s="132"/>
      <x:c r="G3" s="132"/>
      <x:c r="H3" s="132"/>
    </x:row>
    <x:row r="5">
      <x:c r="A5" s="134" t="str">
        <x:v>场景映射</x:v>
      </x:c>
      <x:c r="B5" s="134"/>
      <x:c r="C5" s="134" t="str">
        <x:v>首批主流程接入</x:v>
      </x:c>
      <x:c r="D5" s="134"/>
      <x:c r="E5" s="134" t="str">
        <x:v>场景特化补丁</x:v>
      </x:c>
      <x:c r="F5" s="134"/>
      <x:c r="G5" s="134" t="str">
        <x:v>EIS-only主张上限</x:v>
      </x:c>
      <x:c r="H5" s="134"/>
    </x:row>
    <x:row r="6">
      <x:c r="A6" s="148" t="n">
        <x:f>COUNTA('01_1000项场景映射'!A5:A1004)</x:f>
        <x:v>1000</x:v>
      </x:c>
      <x:c r="B6" s="149"/>
      <x:c r="C6" s="148" t="n">
        <x:f>COUNTA('02_首批80项'!C5:C84)</x:f>
        <x:v>80</x:v>
      </x:c>
      <x:c r="D6" s="149"/>
      <x:c r="E6" s="148" t="n">
        <x:f>COUNTA('03_32项场景补丁'!A5:A36)</x:f>
        <x:v>32</x:v>
      </x:c>
      <x:c r="F6" s="149"/>
      <x:c r="G6" s="148" t="str">
        <x:v>C4</x:v>
      </x:c>
      <x:c r="H6" s="149"/>
    </x:row>
    <x:row r="7">
      <x:c r="A7" s="150"/>
      <x:c r="B7" s="151"/>
      <x:c r="C7" s="150"/>
      <x:c r="D7" s="151"/>
      <x:c r="E7" s="150"/>
      <x:c r="F7" s="151"/>
      <x:c r="G7" s="150"/>
      <x:c r="H7" s="151"/>
    </x:row>
    <x:row r="8">
      <x:c r="A8" s="152"/>
      <x:c r="B8" s="153"/>
      <x:c r="C8" s="152"/>
      <x:c r="D8" s="153"/>
      <x:c r="E8" s="152"/>
      <x:c r="F8" s="153"/>
      <x:c r="G8" s="152"/>
      <x:c r="H8" s="153"/>
    </x:row>
    <x:row r="10">
      <x:c r="A10" s="121" t="str">
        <x:v>你们当前条件与最关键的项目动作</x:v>
      </x:c>
      <x:c r="B10" s="121"/>
      <x:c r="C10" s="121"/>
      <x:c r="D10" s="121"/>
      <x:c r="E10" s="121"/>
      <x:c r="F10" s="121"/>
      <x:c r="G10" s="121"/>
      <x:c r="H10" s="121"/>
    </x:row>
    <x:row r="12">
      <x:c r="A12" s="154" t="str">
        <x:v>维度</x:v>
      </x:c>
      <x:c r="B12" s="155" t="str">
        <x:v>当前条件</x:v>
      </x:c>
      <x:c r="C12" s="155"/>
      <x:c r="D12" s="155" t="str">
        <x:v>这意味着什么</x:v>
      </x:c>
      <x:c r="E12" s="155"/>
      <x:c r="F12" s="155" t="str">
        <x:v>首要动作</x:v>
      </x:c>
      <x:c r="G12" s="155"/>
      <x:c r="H12" s="156"/>
    </x:row>
    <x:row r="13" ht="40" customHeight="1">
      <x:c r="A13" s="114" t="str">
        <x:v>实验入口</x:v>
      </x:c>
      <x:c r="B13" s="115" t="str">
        <x:v>测量—质控—分析流水线已跑通；有多批真实变温EIS数据</x:v>
      </x:c>
      <x:c r="C13" s="115"/>
      <x:c r="D13" s="115" t="str">
        <x:v>具备构建真实闭环的稀缺基础，不必先追求全自动硬件</x:v>
      </x:c>
      <x:c r="E13" s="115"/>
      <x:c r="F13" s="115" t="str">
        <x:v>冻结EIS数据契约与有效谱门禁；把失败谱也结构化入库</x:v>
      </x:c>
      <x:c r="G13" s="115"/>
      <x:c r="H13" s="116"/>
    </x:row>
    <x:row r="14" ht="40" customHeight="1">
      <x:c r="A14" s="114" t="str">
        <x:v>迁移发现</x:v>
      </x:c>
      <x:c r="B14" s="115" t="str">
        <x:v>有真实大模型、真实文献和藕粉/淀粉/壳聚糖验证链</x:v>
      </x:c>
      <x:c r="C14" s="115"/>
      <x:c r="D14" s="115" t="str">
        <x:v>可以做前瞻迁移能力研究，而不只是离线问答演示</x:v>
      </x:c>
      <x:c r="E14" s="115"/>
      <x:c r="F14" s="115" t="str">
        <x:v>把推理链改造成“桥接假设—预测签名—正反例—预注册”</x:v>
      </x:c>
      <x:c r="G14" s="115"/>
      <x:c r="H14" s="116"/>
    </x:row>
    <x:row r="15" ht="40" customHeight="1">
      <x:c r="A15" s="114" t="str">
        <x:v>闭环优化</x:v>
      </x:c>
      <x:c r="B15" s="115" t="str">
        <x:v>已有真实可运行的优化—实验回路</x:v>
      </x:c>
      <x:c r="C15" s="115"/>
      <x:c r="D15" s="115" t="str">
        <x:v>可直接升级为噪声/约束/成本/失败感知的闭环</x:v>
      </x:c>
      <x:c r="E15" s="115"/>
      <x:c r="F15" s="115" t="str">
        <x:v>把可行性模型、异方差、批次上下文和自适应重复接入</x:v>
      </x:c>
      <x:c r="G15" s="115"/>
      <x:c r="H15" s="116"/>
    </x:row>
    <x:row r="16" ht="40" customHeight="1">
      <x:c r="A16" s="114" t="str">
        <x:v>可信能力</x:v>
      </x:c>
      <x:c r="B16" s="115" t="str">
        <x:v>记忆、自我检查、可靠性校准已做好但未进主流程</x:v>
      </x:c>
      <x:c r="C16" s="115"/>
      <x:c r="D16" s="115" t="str">
        <x:v>系统最短板不是再加模型，而是把这些能力变成强制门禁</x:v>
      </x:c>
      <x:c r="E16" s="115"/>
      <x:c r="F16" s="115" t="str">
        <x:v>优先接入首批80项，所有主张走外部验证器和校准账本</x:v>
      </x:c>
      <x:c r="G16" s="115"/>
      <x:c r="H16" s="116"/>
    </x:row>
    <x:row r="17" ht="40" customHeight="1">
      <x:c r="A17" s="114" t="str">
        <x:v>认知边界</x:v>
      </x:c>
      <x:c r="B17" s="115" t="str">
        <x:v>无结构表征，主要只有传导侧电学数据</x:v>
      </x:c>
      <x:c r="C17" s="115"/>
      <x:c r="D17" s="115" t="str">
        <x:v>可发现行为规律与排除部分假设，不能唯一识别微观机制</x:v>
      </x:c>
      <x:c r="E17" s="115"/>
      <x:c r="F17" s="115" t="str">
        <x:v>默认C4封顶；结论写成“与预测一致/不一致”，保留替代解释</x:v>
      </x:c>
      <x:c r="G17" s="115"/>
      <x:c r="H17" s="116"/>
    </x:row>
    <x:row r="18" ht="40" customHeight="1">
      <x:c r="A18" s="117" t="str">
        <x:v>实验经济性</x:v>
      </x:c>
      <x:c r="B18" s="118" t="str">
        <x:v>样本少、噪声大、实验昂贵</x:v>
      </x:c>
      <x:c r="C18" s="118"/>
      <x:c r="D18" s="118" t="str">
        <x:v>需要把“下一实验”当作信息与性能的联合决策</x:v>
      </x:c>
      <x:c r="E18" s="118"/>
      <x:c r="F18" s="118" t="str">
        <x:v>使用信息增益+性能改进−成本−风险的统一采集函数</x:v>
      </x:c>
      <x:c r="G18" s="118"/>
      <x:c r="H18" s="119"/>
    </x:row>
    <x:row r="20">
      <x:c r="A20" s="157" t="str">
        <x:v>推荐系统架构：一个受控编排器 + 确定性科学服务 + 独立验证器（不建议为了“多智能体”而多智能体）</x:v>
      </x:c>
      <x:c r="B20" s="157"/>
      <x:c r="C20" s="157"/>
      <x:c r="D20" s="157"/>
      <x:c r="E20" s="157"/>
      <x:c r="F20" s="157"/>
      <x:c r="G20" s="157"/>
      <x:c r="H20" s="157"/>
    </x:row>
    <x:row r="22">
      <x:c r="A22" s="158" t="str">
        <x:v>层</x:v>
      </x:c>
      <x:c r="B22" s="159" t="str">
        <x:v>模块与职责</x:v>
      </x:c>
      <x:c r="C22" s="159" t="str">
        <x:v>职责</x:v>
      </x:c>
      <x:c r="D22" s="159"/>
      <x:c r="E22" s="159"/>
      <x:c r="F22" s="159"/>
      <x:c r="G22" s="159" t="str">
        <x:v>主要服务模式</x:v>
      </x:c>
      <x:c r="H22" s="160"/>
    </x:row>
    <x:row r="23" ht="36" customHeight="1">
      <x:c r="A23" s="114" t="str">
        <x:v>L1</x:v>
      </x:c>
      <x:c r="B23" s="115" t="str">
        <x:v>证据与知识层</x:v>
      </x:c>
      <x:c r="C23" s="115" t="str">
        <x:v>文献证据图、材料/协议/样品本体、反例、来源与适用条件</x:v>
      </x:c>
      <x:c r="D23" s="115"/>
      <x:c r="E23" s="115"/>
      <x:c r="F23" s="115"/>
      <x:c r="G23" s="115" t="str">
        <x:v>迁移发现</x:v>
      </x:c>
      <x:c r="H23" s="116"/>
    </x:row>
    <x:row r="24" ht="36" customHeight="1">
      <x:c r="A24" s="114" t="str">
        <x:v>L2</x:v>
      </x:c>
      <x:c r="B24" s="115" t="str">
        <x:v>假设与主张层</x:v>
      </x:c>
      <x:c r="C24" s="115" t="str">
        <x:v>假设卡、桥接假设、预测签名、C0–C5主张与反驳条件</x:v>
      </x:c>
      <x:c r="D24" s="115"/>
      <x:c r="E24" s="115"/>
      <x:c r="F24" s="115"/>
      <x:c r="G24" s="115" t="str">
        <x:v>迁移发现/共用</x:v>
      </x:c>
      <x:c r="H24" s="116"/>
    </x:row>
    <x:row r="25" ht="36" customHeight="1">
      <x:c r="A25" s="114" t="str">
        <x:v>L3</x:v>
      </x:c>
      <x:c r="B25" s="115" t="str">
        <x:v>策略路由层</x:v>
      </x:c>
      <x:c r="C25" s="115" t="str">
        <x:v>在“假设判别”与“性能优化”间切换λ；管理预算、风险和人工门禁</x:v>
      </x:c>
      <x:c r="D25" s="115"/>
      <x:c r="E25" s="115"/>
      <x:c r="F25" s="115"/>
      <x:c r="G25" s="115" t="str">
        <x:v>两线共用</x:v>
      </x:c>
      <x:c r="H25" s="116"/>
    </x:row>
    <x:row r="26" ht="36" customHeight="1">
      <x:c r="A26" s="114" t="str">
        <x:v>L4</x:v>
      </x:c>
      <x:c r="B26" s="115" t="str">
        <x:v>数值决策层</x:v>
      </x:c>
      <x:c r="C26" s="115" t="str">
        <x:v>层级贝叶斯、EIS模型比较、异方差GP、约束/成本采集函数</x:v>
      </x:c>
      <x:c r="D26" s="115"/>
      <x:c r="E26" s="115"/>
      <x:c r="F26" s="115"/>
      <x:c r="G26" s="115" t="str">
        <x:v>两线共用</x:v>
      </x:c>
      <x:c r="H26" s="116"/>
    </x:row>
    <x:row r="27" ht="36" customHeight="1">
      <x:c r="A27" s="114" t="str">
        <x:v>L5</x:v>
      </x:c>
      <x:c r="B27" s="115" t="str">
        <x:v>实验执行层</x:v>
      </x:c>
      <x:c r="C27" s="115" t="str">
        <x:v>机器可执行协议、状态机、设备API、检查点、幂等和回滚</x:v>
      </x:c>
      <x:c r="D27" s="115"/>
      <x:c r="E27" s="115"/>
      <x:c r="F27" s="115"/>
      <x:c r="G27" s="115" t="str">
        <x:v>真实湿实验</x:v>
      </x:c>
      <x:c r="H27" s="116"/>
    </x:row>
    <x:row r="28" ht="36" customHeight="1">
      <x:c r="A28" s="114" t="str">
        <x:v>L6</x:v>
      </x:c>
      <x:c r="B28" s="115" t="str">
        <x:v>EIS质控与推断层</x:v>
      </x:c>
      <x:c r="C28" s="115" t="str">
        <x:v>热平衡/线性/稳定/KK、DRT/ECM、温度模型、不确定度传播</x:v>
      </x:c>
      <x:c r="D28" s="115"/>
      <x:c r="E28" s="115"/>
      <x:c r="F28" s="115"/>
      <x:c r="G28" s="115" t="str">
        <x:v>两线共用</x:v>
      </x:c>
      <x:c r="H28" s="116"/>
    </x:row>
    <x:row r="29" ht="36" customHeight="1">
      <x:c r="A29" s="117" t="str">
        <x:v>L7</x:v>
      </x:c>
      <x:c r="B29" s="118" t="str">
        <x:v>科学记忆与治理层</x:v>
      </x:c>
      <x:c r="C29" s="118" t="str">
        <x:v>情景/语义/程序记忆、PROV审计、校准账本、验证器和审批</x:v>
      </x:c>
      <x:c r="D29" s="118"/>
      <x:c r="E29" s="118"/>
      <x:c r="F29" s="118"/>
      <x:c r="G29" s="118" t="str">
        <x:v>两线共用</x:v>
      </x:c>
      <x:c r="H29" s="119"/>
    </x:row>
    <x:row r="31">
      <x:c r="A31" s="121" t="str">
        <x:v>统一决策模型</x:v>
      </x:c>
      <x:c r="B31" s="121"/>
      <x:c r="C31" s="121"/>
      <x:c r="D31" s="121"/>
      <x:c r="E31" s="121"/>
      <x:c r="F31" s="121"/>
      <x:c r="G31" s="121"/>
      <x:c r="H31" s="121"/>
    </x:row>
    <x:row r="32" ht="34" customHeight="1">
      <x:c r="A32" s="165" t="str">
        <x:v>a* = argmax_a [ λ·EIG(H;Y|a,D) + (1−λ)·E(ΔHypervolume|a,D) − β·Cost(a) − γ·Risk(a) ]
迁移发现：提高λ，优先区分竞争假设；闭环优化：降低λ，优先在可行域改善多目标行为；两者共用同一EIS质控、行为向量、校准和结论门禁。</x:v>
      </x:c>
      <x:c r="B32" s="165"/>
      <x:c r="C32" s="165"/>
      <x:c r="D32" s="165"/>
      <x:c r="E32" s="165"/>
      <x:c r="F32" s="165"/>
      <x:c r="G32" s="165"/>
      <x:c r="H32" s="165"/>
    </x:row>
    <x:row r="33" ht="34" customHeight="1">
      <x:c r="A33" s="165"/>
      <x:c r="B33" s="165"/>
      <x:c r="C33" s="165"/>
      <x:c r="D33" s="165"/>
      <x:c r="E33" s="165"/>
      <x:c r="F33" s="165"/>
      <x:c r="G33" s="165"/>
      <x:c r="H33" s="165"/>
    </x:row>
    <x:row r="35">
      <x:c r="A35" s="108" t="str">
        <x:v>1000项如何使用：分层接入，而不是全量建设</x:v>
      </x:c>
      <x:c r="B35" s="108"/>
      <x:c r="C35" s="108"/>
      <x:c r="D35" s="108"/>
      <x:c r="E35" s="108"/>
      <x:c r="F35" s="108"/>
      <x:c r="G35" s="108"/>
      <x:c r="H35" s="108"/>
    </x:row>
    <x:row r="37">
      <x:c r="A37" s="166" t="str">
        <x:v>相关性</x:v>
      </x:c>
      <x:c r="B37" s="167" t="str">
        <x:v>数量</x:v>
      </x:c>
      <x:c r="D37" s="176" t="str">
        <x:v>任务包</x:v>
      </x:c>
      <x:c r="E37" s="177" t="str">
        <x:v>数量</x:v>
      </x:c>
      <x:c r="F37" s="177" t="str">
        <x:v>当前策略</x:v>
      </x:c>
      <x:c r="G37" s="177"/>
      <x:c r="H37" s="178" t="str">
        <x:v>当前策略</x:v>
      </x:c>
    </x:row>
    <x:row r="38">
      <x:c r="A38" s="168" t="str">
        <x:v>核心必需</x:v>
      </x:c>
      <x:c r="B38" s="169" t="n">
        <x:f>COUNTIF('01_1000项场景映射'!$D$5:$D$1004,A38)</x:f>
        <x:v>231</x:v>
      </x:c>
      <x:c r="D38" s="179" t="str">
        <x:v>A 证据、假设与科学闭环</x:v>
      </x:c>
      <x:c r="E38" s="180" t="n">
        <x:v>80</x:v>
      </x:c>
      <x:c r="F38" s="180" t="str">
        <x:v>直接建设</x:v>
      </x:c>
      <x:c r="G38" s="180"/>
      <x:c r="H38" s="181" t="str">
        <x:v>直接建设</x:v>
      </x:c>
    </x:row>
    <x:row r="39">
      <x:c r="A39" s="168" t="str">
        <x:v>关键支撑</x:v>
      </x:c>
      <x:c r="B39" s="169" t="n">
        <x:f>COUNTIF('01_1000项场景映射'!$D$5:$D$1004,A39)</x:f>
        <x:v>263</x:v>
      </x:c>
      <x:c r="D39" s="179" t="str">
        <x:v>B EIS计量、质控与分析</x:v>
      </x:c>
      <x:c r="E39" s="180" t="n">
        <x:v>40</x:v>
      </x:c>
      <x:c r="F39" s="180" t="str">
        <x:v>直接建设 + 32项补丁</x:v>
      </x:c>
      <x:c r="G39" s="180"/>
      <x:c r="H39" s="181" t="str">
        <x:v>直接建设+32项补丁</x:v>
      </x:c>
    </x:row>
    <x:row r="40">
      <x:c r="A40" s="168" t="str">
        <x:v>研究储备</x:v>
      </x:c>
      <x:c r="B40" s="169" t="n">
        <x:f>COUNTIF('01_1000项场景映射'!$D$5:$D$1004,A40)</x:f>
        <x:v>259</x:v>
      </x:c>
      <x:c r="D40" s="179" t="str">
        <x:v>C 迁移发现与机理建模</x:v>
      </x:c>
      <x:c r="E40" s="180" t="n">
        <x:v>80</x:v>
      </x:c>
      <x:c r="F40" s="180" t="str">
        <x:v>重点建设，但C4封顶</x:v>
      </x:c>
      <x:c r="G40" s="180"/>
      <x:c r="H40" s="181" t="str">
        <x:v>重点建设，但C4封顶</x:v>
      </x:c>
    </x:row>
    <x:row r="41">
      <x:c r="A41" s="170" t="str">
        <x:v>当前低优先</x:v>
      </x:c>
      <x:c r="B41" s="171" t="n">
        <x:f>COUNTIF('01_1000项场景映射'!$D$5:$D$1004,A41)</x:f>
        <x:v>247</x:v>
      </x:c>
      <x:c r="D41" s="179" t="str">
        <x:v>D 闭环优化与高效实验</x:v>
      </x:c>
      <x:c r="E41" s="180" t="n">
        <x:v>120</x:v>
      </x:c>
      <x:c r="F41" s="180" t="str">
        <x:v>重点建设</x:v>
      </x:c>
      <x:c r="G41" s="180"/>
      <x:c r="H41" s="181" t="str">
        <x:v>重点建设</x:v>
      </x:c>
    </x:row>
    <x:row r="42">
      <x:c r="D42" s="179" t="str">
        <x:v>E 可信智能体与控制架构</x:v>
      </x:c>
      <x:c r="E42" s="180" t="n">
        <x:v>200</x:v>
      </x:c>
      <x:c r="F42" s="180" t="str">
        <x:v>先接入校准/验证/记忆</x:v>
      </x:c>
      <x:c r="G42" s="180"/>
      <x:c r="H42" s="181" t="str">
        <x:v>先接入校准/验证/记忆</x:v>
      </x:c>
    </x:row>
    <x:row r="43">
      <x:c r="D43" s="179" t="str">
        <x:v>F 数据、协议与复现</x:v>
      </x:c>
      <x:c r="E43" s="180" t="n">
        <x:v>200</x:v>
      </x:c>
      <x:c r="F43" s="180" t="str">
        <x:v>作为发表与复现底座</x:v>
      </x:c>
      <x:c r="G43" s="180"/>
      <x:c r="H43" s="181" t="str">
        <x:v>作为发表与复现底座</x:v>
      </x:c>
    </x:row>
    <x:row r="44">
      <x:c r="D44" s="179" t="str">
        <x:v>G 实验执行自动化</x:v>
      </x:c>
      <x:c r="E44" s="180" t="n">
        <x:v>240</x:v>
      </x:c>
      <x:c r="F44" s="180" t="str">
        <x:v>按真实瓶颈逐步自动化</x:v>
      </x:c>
      <x:c r="G44" s="180"/>
      <x:c r="H44" s="181" t="str">
        <x:v>按真实瓶颈逐步自动化</x:v>
      </x:c>
    </x:row>
    <x:row r="45">
      <x:c r="D45" s="182" t="str">
        <x:v>H 未来表征与生成扩展</x:v>
      </x:c>
      <x:c r="E45" s="183" t="n">
        <x:v>40</x:v>
      </x:c>
      <x:c r="F45" s="183" t="str">
        <x:v>当前不作为依赖</x:v>
      </x:c>
      <x:c r="G45" s="183"/>
      <x:c r="H45" s="184" t="str">
        <x:v>当前不作为依赖</x:v>
      </x:c>
    </x:row>
    <x:row r="48">
      <x:c r="A48" s="127" t="str">
        <x:v>建议实施顺序</x:v>
      </x:c>
      <x:c r="B48" s="127"/>
      <x:c r="C48" s="127"/>
      <x:c r="D48" s="127"/>
      <x:c r="E48" s="127"/>
      <x:c r="F48" s="127"/>
      <x:c r="G48" s="127"/>
      <x:c r="H48" s="127"/>
    </x:row>
    <x:row r="50">
      <x:c r="A50" s="158" t="str">
        <x:v>阶段</x:v>
      </x:c>
      <x:c r="B50" s="159" t="str">
        <x:v>周期</x:v>
      </x:c>
      <x:c r="C50" s="159" t="str">
        <x:v>核心交付</x:v>
      </x:c>
      <x:c r="D50" s="159"/>
      <x:c r="E50" s="159"/>
      <x:c r="F50" s="159"/>
      <x:c r="G50" s="159" t="str">
        <x:v>成功标准</x:v>
      </x:c>
      <x:c r="H50" s="160"/>
    </x:row>
    <x:row r="51" ht="38" customHeight="1">
      <x:c r="A51" s="114" t="str">
        <x:v>M0</x:v>
      </x:c>
      <x:c r="B51" s="115" t="str">
        <x:v>0–2月</x:v>
      </x:c>
      <x:c r="C51" s="115" t="str">
        <x:v>接入首批80项、32项补丁中的M0；完成历史回放和结论门禁</x:v>
      </x:c>
      <x:c r="D51" s="115"/>
      <x:c r="E51" s="115"/>
      <x:c r="F51" s="115"/>
      <x:c r="G51" s="115" t="str">
        <x:v>每次实验/主张可重放、可校准、可拒答</x:v>
      </x:c>
      <x:c r="H51" s="116"/>
    </x:row>
    <x:row r="52" ht="38" customHeight="1">
      <x:c r="A52" s="114" t="str">
        <x:v>M1</x:v>
      </x:c>
      <x:c r="B52" s="115" t="str">
        <x:v>2–5月</x:v>
      </x:c>
      <x:c r="C52" s="115" t="str">
        <x:v>前瞻迁移发现挑战；噪声/约束/成本感知BO</x:v>
      </x:c>
      <x:c r="D52" s="115"/>
      <x:c r="E52" s="115"/>
      <x:c r="F52" s="115"/>
      <x:c r="G52" s="115" t="str">
        <x:v>预注册正反例；固定预算优于强基线</x:v>
      </x:c>
      <x:c r="H52" s="116"/>
    </x:row>
    <x:row r="53" ht="38" customHeight="1">
      <x:c r="A53" s="114" t="str">
        <x:v>M2</x:v>
      </x:c>
      <x:c r="B53" s="115" t="str">
        <x:v>5–8月</x:v>
      </x:c>
      <x:c r="C53" s="115" t="str">
        <x:v>新批次确认与记忆/验证器/校准等消融</x:v>
      </x:c>
      <x:c r="D53" s="115"/>
      <x:c r="E53" s="115"/>
      <x:c r="F53" s="115"/>
      <x:c r="G53" s="115" t="str">
        <x:v>量化组件贡献和确认失败率</x:v>
      </x:c>
      <x:c r="H53" s="116"/>
    </x:row>
    <x:row r="54" ht="38" customHeight="1">
      <x:c r="A54" s="117" t="str">
        <x:v>M3</x:v>
      </x:c>
      <x:c r="B54" s="118" t="str">
        <x:v>8–12月</x:v>
      </x:c>
      <x:c r="C54" s="118" t="str">
        <x:v>RO-Crate复现包、跨操作者/外部复现、最小正交表征</x:v>
      </x:c>
      <x:c r="D54" s="118"/>
      <x:c r="E54" s="118"/>
      <x:c r="F54" s="118"/>
      <x:c r="G54" s="118" t="str">
        <x:v>第三方可复跑；明确EIS-only瓶颈</x:v>
      </x:c>
      <x:c r="H54" s="119"/>
    </x:row>
  </x:sheetData>
  <x:mergeCells>
    <x:mergeCell ref="A1:H2"/>
    <x:mergeCell ref="A3:H3"/>
    <x:mergeCell ref="A5:B5"/>
    <x:mergeCell ref="C5:D5"/>
    <x:mergeCell ref="E5:F5"/>
    <x:mergeCell ref="G5:H5"/>
    <x:mergeCell ref="A6:B8"/>
    <x:mergeCell ref="C6:D8"/>
    <x:mergeCell ref="E6:F8"/>
    <x:mergeCell ref="G6:H8"/>
    <x:mergeCell ref="A10:H10"/>
    <x:mergeCell ref="B12:C12"/>
    <x:mergeCell ref="D12:E12"/>
    <x:mergeCell ref="F12:H12"/>
    <x:mergeCell ref="B13:C13"/>
    <x:mergeCell ref="D13:E13"/>
    <x:mergeCell ref="F13:H13"/>
    <x:mergeCell ref="B14:C14"/>
    <x:mergeCell ref="D14:E14"/>
    <x:mergeCell ref="F14:H14"/>
    <x:mergeCell ref="B15:C15"/>
    <x:mergeCell ref="D15:E15"/>
    <x:mergeCell ref="F15:H15"/>
    <x:mergeCell ref="B16:C16"/>
    <x:mergeCell ref="D16:E16"/>
    <x:mergeCell ref="F16:H16"/>
    <x:mergeCell ref="B17:C17"/>
    <x:mergeCell ref="D17:E17"/>
    <x:mergeCell ref="F17:H17"/>
    <x:mergeCell ref="B18:C18"/>
    <x:mergeCell ref="D18:E18"/>
    <x:mergeCell ref="F18:H18"/>
    <x:mergeCell ref="A20:H20"/>
    <x:mergeCell ref="B22:F22"/>
    <x:mergeCell ref="G22:H22"/>
    <x:mergeCell ref="C23:F23"/>
    <x:mergeCell ref="G23:H23"/>
    <x:mergeCell ref="C24:F24"/>
    <x:mergeCell ref="G24:H24"/>
    <x:mergeCell ref="C25:F25"/>
    <x:mergeCell ref="G25:H25"/>
    <x:mergeCell ref="C26:F26"/>
    <x:mergeCell ref="G26:H26"/>
    <x:mergeCell ref="C27:F27"/>
    <x:mergeCell ref="G27:H27"/>
    <x:mergeCell ref="C28:F28"/>
    <x:mergeCell ref="G28:H28"/>
    <x:mergeCell ref="C29:F29"/>
    <x:mergeCell ref="G29:H29"/>
    <x:mergeCell ref="A31:H31"/>
    <x:mergeCell ref="A32:H33"/>
    <x:mergeCell ref="A35:H35"/>
    <x:mergeCell ref="F37:H37"/>
    <x:mergeCell ref="F38:H38"/>
    <x:mergeCell ref="F39:H39"/>
    <x:mergeCell ref="F40:H40"/>
    <x:mergeCell ref="F41:H41"/>
    <x:mergeCell ref="F42:H42"/>
    <x:mergeCell ref="F43:H43"/>
    <x:mergeCell ref="F44:H44"/>
    <x:mergeCell ref="F45:H45"/>
    <x:mergeCell ref="A48:H48"/>
    <x:mergeCell ref="C50:F50"/>
    <x:mergeCell ref="G50:H50"/>
    <x:mergeCell ref="C51:F51"/>
    <x:mergeCell ref="G51:H51"/>
    <x:mergeCell ref="C52:F52"/>
    <x:mergeCell ref="G52:H52"/>
    <x:mergeCell ref="C53:F53"/>
    <x:mergeCell ref="G53:H53"/>
    <x:mergeCell ref="C54:F54"/>
    <x:mergeCell ref="G54:H54"/>
  </x:mergeCells>
  <x:pageMargins left="0.7" right="0.7" top="0.75" bottom="0.75" header="0.3" footer="0.3"/>
  <x:drawing xmlns:r="http://schemas.openxmlformats.org/officeDocument/2006/relationships" r:id="R1c684488fc844d3e"/>
</x:worksheet>
</file>